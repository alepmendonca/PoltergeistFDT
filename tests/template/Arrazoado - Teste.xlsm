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rograms\AIIMGenerator\tests\template\"/>
    </mc:Choice>
  </mc:AlternateContent>
  <xr:revisionPtr revIDLastSave="0" documentId="13_ncr:1_{6F22A091-199B-4308-8322-CA4EDF0CA8FC}" xr6:coauthVersionLast="47" xr6:coauthVersionMax="47" xr10:uidLastSave="{00000000-0000-0000-0000-000000000000}"/>
  <bookViews>
    <workbookView xWindow="7380" yWindow="1515" windowWidth="26535" windowHeight="12645" activeTab="3" xr2:uid="{00000000-000D-0000-FFFF-FFFF00000000}"/>
  </bookViews>
  <sheets>
    <sheet name="EFDs" sheetId="2" r:id="rId1"/>
    <sheet name="template" sheetId="7" r:id="rId2"/>
    <sheet name="planilha" sheetId="8" r:id="rId3"/>
    <sheet name="planilha_agrup" sheetId="10" r:id="rId4"/>
  </sheets>
  <functionGroups builtInGroupCount="19"/>
  <definedNames>
    <definedName name="_xlnm.Print_Area" localSheetId="0">EFDs!#REF!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8" i="10" l="1"/>
  <c r="A18" i="10"/>
  <c r="K17" i="10"/>
  <c r="A17" i="10"/>
  <c r="L16" i="10"/>
  <c r="L15" i="10"/>
  <c r="L14" i="10"/>
  <c r="L13" i="10"/>
  <c r="K12" i="10"/>
  <c r="A12" i="10"/>
  <c r="L11" i="10"/>
  <c r="A8" i="10"/>
  <c r="A5" i="10"/>
  <c r="A4" i="10"/>
  <c r="A2" i="10"/>
  <c r="A1" i="10"/>
  <c r="A8" i="8"/>
  <c r="A5" i="8"/>
  <c r="A4" i="8"/>
  <c r="A2" i="8"/>
  <c r="A1" i="8"/>
  <c r="A5" i="7"/>
  <c r="A4" i="7"/>
  <c r="A2" i="7"/>
  <c r="A1" i="7"/>
  <c r="A8" i="7"/>
</calcChain>
</file>

<file path=xl/sharedStrings.xml><?xml version="1.0" encoding="utf-8"?>
<sst xmlns="http://schemas.openxmlformats.org/spreadsheetml/2006/main" count="55" uniqueCount="39">
  <si>
    <t>Relação de Arquivos de Escrituração Fiscal Digital - EFD - utilizados</t>
  </si>
  <si>
    <t>CNPJ</t>
  </si>
  <si>
    <t>IE</t>
  </si>
  <si>
    <t>Contribuinte</t>
  </si>
  <si>
    <t>Referência</t>
  </si>
  <si>
    <t>Hash</t>
  </si>
  <si>
    <t>Cabeçalho</t>
  </si>
  <si>
    <t>GOVERNO DO ESTADO DE SÃO PAULO</t>
  </si>
  <si>
    <t>SECRETARIA DA FAZENDA E PLANEJAMENTO</t>
  </si>
  <si>
    <t>DELEGACIA</t>
  </si>
  <si>
    <t>NÚCLEO/EQUIPE</t>
  </si>
  <si>
    <t>SUBSECRETARIA DA RECEITA ESTADUAL</t>
  </si>
  <si>
    <t>Chave</t>
  </si>
  <si>
    <t>Modelo</t>
  </si>
  <si>
    <t>Emissão</t>
  </si>
  <si>
    <t>Entrada</t>
  </si>
  <si>
    <t>ICMS Devido</t>
  </si>
  <si>
    <t>Número</t>
  </si>
  <si>
    <t>35190451172880000114550000001420511002411920</t>
  </si>
  <si>
    <t>Anexo</t>
  </si>
  <si>
    <t>35190757029431004780570850000120151636362716</t>
  </si>
  <si>
    <t>CNPJ Emitente</t>
  </si>
  <si>
    <t>CNPJ Destinatário/ Recebedor</t>
  </si>
  <si>
    <t>Série</t>
  </si>
  <si>
    <t>Manifestação NF</t>
  </si>
  <si>
    <t>Natureza da Operação</t>
  </si>
  <si>
    <t>ICMS</t>
  </si>
  <si>
    <t>Total</t>
  </si>
  <si>
    <t>mês</t>
  </si>
  <si>
    <t>43180104884082001379570000023355991023355990</t>
  </si>
  <si>
    <t xml:space="preserve"> 04.884.082/0013-79</t>
  </si>
  <si>
    <t xml:space="preserve"> 10.817.699/0001-30</t>
  </si>
  <si>
    <t>Servico de Transporte</t>
  </si>
  <si>
    <t>35180204884082000135570000183227591183227599</t>
  </si>
  <si>
    <t xml:space="preserve"> 04.884.082/0001-35</t>
  </si>
  <si>
    <t>35180204884082000135570000184422131184422135</t>
  </si>
  <si>
    <t>35180204884082000135570000185181271185181270</t>
  </si>
  <si>
    <t>35180204884082000135570000186054191186054191</t>
  </si>
  <si>
    <t>Total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</si>
</sst>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mm/yyyy"/>
    <numFmt numFmtId="165" formatCode="_-\R\$\ * #,##0.00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3">
    <xf numFmtId="0" fontId="0" fillId="0" borderId="0" xfId="0"/>
    <xf numFmtId="49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wrapText="1"/>
    </xf>
    <xf numFmtId="44" fontId="2" fillId="2" borderId="1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4" fontId="0" fillId="0" borderId="0" xfId="2" applyFont="1"/>
    <xf numFmtId="44" fontId="0" fillId="0" borderId="1" xfId="2" applyFont="1" applyBorder="1"/>
    <xf numFmtId="49" fontId="0" fillId="0" borderId="1" xfId="0" applyNumberFormat="1" applyBorder="1"/>
    <xf numFmtId="49" fontId="0" fillId="0" borderId="1" xfId="0" applyNumberFormat="1" applyBorder="1" applyAlignment="1">
      <alignment vertical="center"/>
    </xf>
    <xf numFmtId="1" fontId="0" fillId="0" borderId="0" xfId="0" applyNumberFormat="1"/>
    <xf numFmtId="1" fontId="2" fillId="2" borderId="1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165" fontId="0" fillId="0" borderId="1" xfId="0" applyNumberFormat="1" applyBorder="1"/>
    <xf numFmtId="14" fontId="0" fillId="0" borderId="0" xfId="0" applyNumberFormat="1"/>
    <xf numFmtId="0" fontId="2" fillId="3" borderId="1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165" fontId="2" fillId="3" borderId="1" xfId="0" applyNumberFormat="1" applyFont="1" applyFill="1" applyBorder="1"/>
    <xf numFmtId="14" fontId="2" fillId="0" borderId="0" xfId="0" applyNumberFormat="1" applyFont="1"/>
  </cellXfs>
  <cellStyles count="3">
    <cellStyle name="Moeda" xfId="2" builtinId="4"/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16067</xdr:colOff>
      <xdr:row>0</xdr:row>
      <xdr:rowOff>0</xdr:rowOff>
    </xdr:from>
    <xdr:to>
      <xdr:col>1</xdr:col>
      <xdr:colOff>901644</xdr:colOff>
      <xdr:row>5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6B1525F-B405-4D16-A37A-C7CC0283A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2392" y="0"/>
          <a:ext cx="885577" cy="1047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4FCCA-B67E-4B63-9985-902D7EB394DC}">
  <sheetPr codeName="Planilha1">
    <pageSetUpPr fitToPage="1"/>
  </sheetPr>
  <dimension ref="A1:E10"/>
  <sheetViews>
    <sheetView workbookViewId="0">
      <selection sqref="A1:E1"/>
    </sheetView>
  </sheetViews>
  <sheetFormatPr defaultRowHeight="15" x14ac:dyDescent="0.25"/>
  <cols>
    <col min="1" max="1" width="16.140625" customWidth="1"/>
    <col min="2" max="2" width="14.85546875" style="5" bestFit="1" customWidth="1"/>
    <col min="3" max="3" width="46.7109375" style="5" bestFit="1" customWidth="1"/>
    <col min="4" max="4" width="10.5703125" style="6" bestFit="1" customWidth="1"/>
    <col min="5" max="5" width="45.140625" style="5" bestFit="1" customWidth="1"/>
  </cols>
  <sheetData>
    <row r="1" spans="1:5" ht="18.75" x14ac:dyDescent="0.3">
      <c r="A1" s="26" t="s">
        <v>7</v>
      </c>
      <c r="B1" s="26"/>
      <c r="C1" s="26"/>
      <c r="D1" s="26"/>
      <c r="E1" s="26"/>
    </row>
    <row r="2" spans="1:5" ht="17.25" x14ac:dyDescent="0.3">
      <c r="A2" s="27" t="s">
        <v>8</v>
      </c>
      <c r="B2" s="27"/>
      <c r="C2" s="27"/>
      <c r="D2" s="27"/>
      <c r="E2" s="27"/>
    </row>
    <row r="3" spans="1:5" ht="15.75" x14ac:dyDescent="0.25">
      <c r="A3" s="25" t="s">
        <v>11</v>
      </c>
      <c r="B3" s="25"/>
      <c r="C3" s="25"/>
      <c r="D3" s="25"/>
      <c r="E3" s="25"/>
    </row>
    <row r="4" spans="1:5" x14ac:dyDescent="0.25">
      <c r="A4" s="28" t="s">
        <v>9</v>
      </c>
      <c r="B4" s="28"/>
      <c r="C4" s="28"/>
      <c r="D4" s="28"/>
      <c r="E4" s="28"/>
    </row>
    <row r="5" spans="1:5" x14ac:dyDescent="0.25">
      <c r="A5" s="28" t="s">
        <v>10</v>
      </c>
      <c r="B5" s="28"/>
      <c r="C5" s="28"/>
      <c r="D5" s="28"/>
      <c r="E5" s="28"/>
    </row>
    <row r="7" spans="1:5" ht="18.75" x14ac:dyDescent="0.3">
      <c r="A7" s="26" t="s">
        <v>0</v>
      </c>
      <c r="B7" s="26"/>
      <c r="C7" s="26"/>
      <c r="D7" s="26"/>
      <c r="E7" s="26"/>
    </row>
    <row r="8" spans="1:5" ht="15.75" x14ac:dyDescent="0.25">
      <c r="A8" s="25"/>
      <c r="B8" s="25"/>
      <c r="C8" s="25"/>
      <c r="D8" s="25"/>
      <c r="E8" s="25"/>
    </row>
    <row r="10" spans="1:5" x14ac:dyDescent="0.25">
      <c r="A10" s="1" t="s">
        <v>1</v>
      </c>
      <c r="B10" s="1" t="s">
        <v>2</v>
      </c>
      <c r="C10" s="2" t="s">
        <v>3</v>
      </c>
      <c r="D10" s="3" t="s">
        <v>4</v>
      </c>
      <c r="E10" s="4" t="s">
        <v>5</v>
      </c>
    </row>
  </sheetData>
  <mergeCells count="7">
    <mergeCell ref="A8:E8"/>
    <mergeCell ref="A1:E1"/>
    <mergeCell ref="A2:E2"/>
    <mergeCell ref="A4:E4"/>
    <mergeCell ref="A5:E5"/>
    <mergeCell ref="A7:E7"/>
    <mergeCell ref="A3:E3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61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5C4A5-743A-4CC0-B817-3B5783CE36E2}">
  <sheetPr codeName="Planilha2">
    <pageSetUpPr fitToPage="1"/>
  </sheetPr>
  <dimension ref="A1:E10"/>
  <sheetViews>
    <sheetView workbookViewId="0">
      <selection activeCell="A8" sqref="A8"/>
    </sheetView>
  </sheetViews>
  <sheetFormatPr defaultRowHeight="15" x14ac:dyDescent="0.25"/>
  <cols>
    <col min="1" max="1" width="12.85546875" style="5" bestFit="1" customWidth="1"/>
  </cols>
  <sheetData>
    <row r="1" spans="1:5" ht="18.75" x14ac:dyDescent="0.3">
      <c r="A1" s="10" t="str">
        <f>EFDs!A1</f>
        <v>GOVERNO DO ESTADO DE SÃO PAULO</v>
      </c>
      <c r="B1" s="7"/>
      <c r="C1" s="7"/>
      <c r="D1" s="7"/>
      <c r="E1" s="7"/>
    </row>
    <row r="2" spans="1:5" ht="17.25" x14ac:dyDescent="0.25">
      <c r="A2" s="15" t="str">
        <f>EFDs!A2</f>
        <v>SECRETARIA DA FAZENDA E PLANEJAMENTO</v>
      </c>
      <c r="B2" s="8"/>
      <c r="C2" s="8"/>
      <c r="D2" s="8"/>
      <c r="E2" s="8"/>
    </row>
    <row r="3" spans="1:5" ht="15.75" x14ac:dyDescent="0.25">
      <c r="A3" s="11" t="s">
        <v>11</v>
      </c>
      <c r="B3" s="8"/>
      <c r="C3" s="8"/>
      <c r="D3" s="8"/>
      <c r="E3" s="8"/>
    </row>
    <row r="4" spans="1:5" x14ac:dyDescent="0.25">
      <c r="A4" s="12" t="str">
        <f>EFDs!A4</f>
        <v>DELEGACIA</v>
      </c>
      <c r="B4" s="9"/>
      <c r="C4" s="9"/>
      <c r="D4" s="9"/>
      <c r="E4" s="9"/>
    </row>
    <row r="5" spans="1:5" x14ac:dyDescent="0.25">
      <c r="A5" s="12" t="str">
        <f>EFDs!A5</f>
        <v>NÚCLEO/EQUIPE</v>
      </c>
      <c r="B5" s="9"/>
      <c r="C5" s="9"/>
      <c r="D5" s="9"/>
      <c r="E5" s="9"/>
    </row>
    <row r="6" spans="1:5" x14ac:dyDescent="0.25">
      <c r="A6" s="13"/>
    </row>
    <row r="7" spans="1:5" ht="18.75" customHeight="1" x14ac:dyDescent="0.25">
      <c r="A7" s="14" t="s">
        <v>19</v>
      </c>
    </row>
    <row r="8" spans="1:5" ht="15.75" x14ac:dyDescent="0.25">
      <c r="A8" s="11">
        <f>EFDs!A8</f>
        <v>0</v>
      </c>
    </row>
    <row r="10" spans="1:5" x14ac:dyDescent="0.25">
      <c r="A10" s="2" t="s">
        <v>6</v>
      </c>
    </row>
  </sheetData>
  <pageMargins left="0.511811024" right="0.511811024" top="0.78740157499999996" bottom="0.78740157499999996" header="0.31496062000000002" footer="0.31496062000000002"/>
  <pageSetup paperSize="9" scale="64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0F360-10F2-47C4-838F-EB7A05ABD113}">
  <sheetPr codeName="Planilha3"/>
  <dimension ref="A1:F12"/>
  <sheetViews>
    <sheetView workbookViewId="0">
      <selection activeCell="E11" sqref="E11"/>
    </sheetView>
  </sheetViews>
  <sheetFormatPr defaultRowHeight="15" x14ac:dyDescent="0.25"/>
  <cols>
    <col min="1" max="1" width="46.28515625" bestFit="1" customWidth="1"/>
    <col min="2" max="2" width="9.140625" style="22"/>
    <col min="4" max="5" width="10.7109375" bestFit="1" customWidth="1"/>
    <col min="6" max="6" width="12.140625" style="18" bestFit="1" customWidth="1"/>
  </cols>
  <sheetData>
    <row r="1" spans="1:6" ht="18.75" x14ac:dyDescent="0.25">
      <c r="A1" s="31" t="str">
        <f>EFDs!A1</f>
        <v>GOVERNO DO ESTADO DE SÃO PAULO</v>
      </c>
      <c r="B1" s="31"/>
      <c r="C1" s="31"/>
      <c r="D1" s="31"/>
      <c r="E1" s="31"/>
      <c r="F1" s="31"/>
    </row>
    <row r="2" spans="1:6" ht="17.25" x14ac:dyDescent="0.25">
      <c r="A2" s="32" t="str">
        <f>EFDs!A2</f>
        <v>SECRETARIA DA FAZENDA E PLANEJAMENTO</v>
      </c>
      <c r="B2" s="32"/>
      <c r="C2" s="32"/>
      <c r="D2" s="32"/>
      <c r="E2" s="32"/>
      <c r="F2" s="32"/>
    </row>
    <row r="3" spans="1:6" ht="15.75" x14ac:dyDescent="0.25">
      <c r="A3" s="30" t="s">
        <v>11</v>
      </c>
      <c r="B3" s="30"/>
      <c r="C3" s="30"/>
      <c r="D3" s="30"/>
      <c r="E3" s="30"/>
      <c r="F3" s="30"/>
    </row>
    <row r="4" spans="1:6" x14ac:dyDescent="0.25">
      <c r="A4" s="33" t="str">
        <f>EFDs!A4</f>
        <v>DELEGACIA</v>
      </c>
      <c r="B4" s="33"/>
      <c r="C4" s="33"/>
      <c r="D4" s="33"/>
      <c r="E4" s="33"/>
      <c r="F4" s="33"/>
    </row>
    <row r="5" spans="1:6" x14ac:dyDescent="0.25">
      <c r="A5" s="33" t="str">
        <f>EFDs!A5</f>
        <v>NÚCLEO/EQUIPE</v>
      </c>
      <c r="B5" s="33"/>
      <c r="C5" s="33"/>
      <c r="D5" s="33"/>
      <c r="E5" s="33"/>
      <c r="F5" s="33"/>
    </row>
    <row r="6" spans="1:6" x14ac:dyDescent="0.25">
      <c r="A6" s="34"/>
      <c r="B6" s="34"/>
      <c r="C6" s="34"/>
      <c r="D6" s="34"/>
      <c r="E6" s="34"/>
      <c r="F6" s="34"/>
    </row>
    <row r="7" spans="1:6" ht="56.25" customHeight="1" x14ac:dyDescent="0.25">
      <c r="A7" s="29" t="s">
        <v>19</v>
      </c>
      <c r="B7" s="29"/>
      <c r="C7" s="29"/>
      <c r="D7" s="29"/>
      <c r="E7" s="29"/>
      <c r="F7" s="29"/>
    </row>
    <row r="8" spans="1:6" ht="15.75" x14ac:dyDescent="0.25">
      <c r="A8" s="30">
        <f>EFDs!A8</f>
        <v>0</v>
      </c>
      <c r="B8" s="30"/>
      <c r="C8" s="30"/>
      <c r="D8" s="30"/>
      <c r="E8" s="30"/>
      <c r="F8" s="30"/>
    </row>
    <row r="9" spans="1:6" x14ac:dyDescent="0.25">
      <c r="A9" s="5"/>
    </row>
    <row r="10" spans="1:6" ht="30" x14ac:dyDescent="0.25">
      <c r="A10" s="2" t="s">
        <v>12</v>
      </c>
      <c r="B10" s="23" t="s">
        <v>13</v>
      </c>
      <c r="C10" s="2" t="s">
        <v>17</v>
      </c>
      <c r="D10" s="2" t="s">
        <v>14</v>
      </c>
      <c r="E10" s="2" t="s">
        <v>15</v>
      </c>
      <c r="F10" s="2" t="s">
        <v>16</v>
      </c>
    </row>
    <row r="11" spans="1:6" x14ac:dyDescent="0.25">
      <c r="A11" s="20" t="s">
        <v>18</v>
      </c>
      <c r="B11" s="24">
        <v>55</v>
      </c>
      <c r="C11" s="16">
        <v>142051</v>
      </c>
      <c r="D11" s="17">
        <v>43572</v>
      </c>
      <c r="E11" s="17">
        <v>43572</v>
      </c>
      <c r="F11" s="19">
        <v>1000</v>
      </c>
    </row>
    <row r="12" spans="1:6" x14ac:dyDescent="0.25">
      <c r="A12" s="21" t="s">
        <v>20</v>
      </c>
      <c r="B12" s="24">
        <v>57</v>
      </c>
      <c r="C12" s="16">
        <v>12015</v>
      </c>
      <c r="D12" s="17">
        <v>44029</v>
      </c>
      <c r="E12" s="17">
        <v>44030</v>
      </c>
      <c r="F12" s="19">
        <v>500</v>
      </c>
    </row>
  </sheetData>
  <mergeCells count="8">
    <mergeCell ref="A7:F7"/>
    <mergeCell ref="A8:F8"/>
    <mergeCell ref="A1:F1"/>
    <mergeCell ref="A2:F2"/>
    <mergeCell ref="A3:F3"/>
    <mergeCell ref="A4:F4"/>
    <mergeCell ref="A5:F5"/>
    <mergeCell ref="A6:F6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EB841-8C38-4B75-9526-E23BA474DB2D}">
  <sheetPr codeName="Planilha4"/>
  <dimension ref="A1:M18"/>
  <sheetViews>
    <sheetView tabSelected="1" workbookViewId="0">
      <selection sqref="A1:K1"/>
    </sheetView>
  </sheetViews>
  <sheetFormatPr defaultRowHeight="15" x14ac:dyDescent="0.25"/>
  <cols>
    <col min="1" max="1" width="46.28515625" bestFit="1" customWidth="1"/>
    <col min="2" max="2" width="10.7109375" style="22" bestFit="1" customWidth="1"/>
    <col min="4" max="4" width="18.42578125" bestFit="1" customWidth="1"/>
    <col min="5" max="5" width="10.7109375" bestFit="1" customWidth="1"/>
    <col min="6" max="6" width="12.140625" style="18" bestFit="1" customWidth="1"/>
    <col min="9" max="9" width="20.42578125" bestFit="1" customWidth="1"/>
    <col min="10" max="10" width="9.5703125" bestFit="1" customWidth="1"/>
    <col min="11" max="11" width="10.5703125" bestFit="1" customWidth="1"/>
    <col min="12" max="12" width="10.7109375" bestFit="1" customWidth="1"/>
  </cols>
  <sheetData>
    <row r="1" spans="1:13" ht="18.75" x14ac:dyDescent="0.25">
      <c r="A1" s="31" t="str">
        <f>EFDs!A1</f>
        <v>GOVERNO DO ESTADO DE SÃO PAULO</v>
      </c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1:13" ht="17.25" x14ac:dyDescent="0.25">
      <c r="A2" s="32" t="str">
        <f>EFDs!A2</f>
        <v>SECRETARIA DA FAZENDA E PLANEJAMENTO</v>
      </c>
      <c r="B2" s="32"/>
      <c r="C2" s="32"/>
      <c r="D2" s="32"/>
      <c r="E2" s="32"/>
      <c r="F2" s="32"/>
      <c r="G2" s="32"/>
      <c r="H2" s="32"/>
      <c r="I2" s="32"/>
      <c r="J2" s="32"/>
      <c r="K2" s="32"/>
    </row>
    <row r="3" spans="1:13" ht="15.75" x14ac:dyDescent="0.25">
      <c r="A3" s="30" t="s">
        <v>11</v>
      </c>
      <c r="B3" s="30"/>
      <c r="C3" s="30"/>
      <c r="D3" s="30"/>
      <c r="E3" s="30"/>
      <c r="F3" s="30"/>
      <c r="G3" s="30"/>
      <c r="H3" s="30"/>
      <c r="I3" s="30"/>
      <c r="J3" s="30"/>
      <c r="K3" s="30"/>
    </row>
    <row r="4" spans="1:13" x14ac:dyDescent="0.25">
      <c r="A4" s="33" t="str">
        <f>EFDs!A4</f>
        <v>DELEGACIA</v>
      </c>
      <c r="B4" s="33"/>
      <c r="C4" s="33"/>
      <c r="D4" s="33"/>
      <c r="E4" s="33"/>
      <c r="F4" s="33"/>
      <c r="G4" s="33"/>
      <c r="H4" s="33"/>
      <c r="I4" s="33"/>
      <c r="J4" s="33"/>
      <c r="K4" s="33"/>
    </row>
    <row r="5" spans="1:13" x14ac:dyDescent="0.25">
      <c r="A5" s="33" t="str">
        <f>EFDs!A5</f>
        <v>NÚCLEO/EQUIPE</v>
      </c>
      <c r="B5" s="33"/>
      <c r="C5" s="33"/>
      <c r="D5" s="33"/>
      <c r="E5" s="33"/>
      <c r="F5" s="33"/>
      <c r="G5" s="33"/>
      <c r="H5" s="33"/>
      <c r="I5" s="33"/>
      <c r="J5" s="33"/>
      <c r="K5" s="33"/>
    </row>
    <row r="6" spans="1:13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</row>
    <row r="7" spans="1:13" ht="56.25" customHeight="1" x14ac:dyDescent="0.25">
      <c r="A7" s="29" t="s">
        <v>19</v>
      </c>
      <c r="B7" s="29"/>
      <c r="C7" s="29"/>
      <c r="D7" s="29"/>
      <c r="E7" s="29"/>
      <c r="F7" s="29"/>
      <c r="G7" s="29"/>
      <c r="H7" s="29"/>
      <c r="I7" s="29"/>
      <c r="J7" s="29"/>
      <c r="K7" s="29"/>
    </row>
    <row r="8" spans="1:13" ht="15.75" x14ac:dyDescent="0.25">
      <c r="A8" s="30">
        <f>EFDs!A8</f>
        <v>0</v>
      </c>
      <c r="B8" s="30"/>
      <c r="C8" s="30"/>
      <c r="D8" s="30"/>
      <c r="E8" s="30"/>
      <c r="F8" s="30"/>
      <c r="G8" s="30"/>
      <c r="H8" s="30"/>
      <c r="I8" s="30"/>
      <c r="J8" s="30"/>
      <c r="K8" s="30"/>
    </row>
    <row r="9" spans="1:13" x14ac:dyDescent="0.25">
      <c r="A9" s="5"/>
    </row>
    <row r="10" spans="1:13" ht="60" x14ac:dyDescent="0.25">
      <c r="A10" s="2" t="s">
        <v>12</v>
      </c>
      <c r="B10" s="2" t="s">
        <v>14</v>
      </c>
      <c r="C10" s="2" t="s">
        <v>21</v>
      </c>
      <c r="D10" s="2" t="s">
        <v>22</v>
      </c>
      <c r="E10" s="2" t="s">
        <v>17</v>
      </c>
      <c r="F10" s="2" t="s">
        <v>13</v>
      </c>
      <c r="G10" s="2" t="s">
        <v>23</v>
      </c>
      <c r="H10" s="2" t="s">
        <v>24</v>
      </c>
      <c r="I10" s="2" t="s">
        <v>25</v>
      </c>
      <c r="J10" s="2" t="s">
        <v>26</v>
      </c>
      <c r="K10" s="2" t="s">
        <v>27</v>
      </c>
      <c r="L10" t="s">
        <v>28</v>
      </c>
    </row>
    <row r="11" spans="1:13" x14ac:dyDescent="0.25">
      <c r="A11" s="35" t="s">
        <v>29</v>
      </c>
      <c r="B11" s="17">
        <v>43131</v>
      </c>
      <c r="C11" s="35" t="s">
        <v>30</v>
      </c>
      <c r="D11" s="35" t="s">
        <v>31</v>
      </c>
      <c r="E11" s="16">
        <v>2335599</v>
      </c>
      <c r="F11" s="16">
        <v>57</v>
      </c>
      <c r="G11" s="16">
        <v>0</v>
      </c>
      <c r="H11" s="35"/>
      <c r="I11" s="35" t="s">
        <v>32</v>
      </c>
      <c r="J11" s="36">
        <v>11.35</v>
      </c>
      <c r="K11" s="36">
        <v>94.62</v>
      </c>
      <c r="L11" s="37">
        <f>EOMONTH(B11,0)</f>
        <v>43131</v>
      </c>
    </row>
    <row r="12" spans="1:13" x14ac:dyDescent="0.25">
      <c r="A12" s="38" t="str">
        <f>_xlfn.CONCAT("Total Subitem ",$M$10,".",M12)</f>
        <v>Total Subitem .1</v>
      </c>
      <c r="B12" s="39"/>
      <c r="C12" s="39"/>
      <c r="D12" s="39"/>
      <c r="E12" s="39"/>
      <c r="F12" s="39"/>
      <c r="G12" s="39"/>
      <c r="H12" s="39"/>
      <c r="I12" s="39"/>
      <c r="J12" s="40"/>
      <c r="K12" s="41">
        <f>SUBTOTAL(9,K11:K11)</f>
        <v>94.62</v>
      </c>
      <c r="L12" s="42">
        <v>43131</v>
      </c>
      <c r="M12">
        <v>1</v>
      </c>
    </row>
    <row r="13" spans="1:13" x14ac:dyDescent="0.25">
      <c r="A13" s="35" t="s">
        <v>33</v>
      </c>
      <c r="B13" s="17">
        <v>43136</v>
      </c>
      <c r="C13" s="35" t="s">
        <v>34</v>
      </c>
      <c r="D13" s="35"/>
      <c r="E13" s="16">
        <v>18322759</v>
      </c>
      <c r="F13" s="16">
        <v>57</v>
      </c>
      <c r="G13" s="16">
        <v>0</v>
      </c>
      <c r="H13" s="35"/>
      <c r="I13" s="35" t="s">
        <v>32</v>
      </c>
      <c r="J13" s="36">
        <v>13.89</v>
      </c>
      <c r="K13" s="36">
        <v>198.49</v>
      </c>
      <c r="L13" s="37">
        <f>EOMONTH(B13,0)</f>
        <v>43159</v>
      </c>
    </row>
    <row r="14" spans="1:13" x14ac:dyDescent="0.25">
      <c r="A14" s="35" t="s">
        <v>35</v>
      </c>
      <c r="B14" s="17">
        <v>43146</v>
      </c>
      <c r="C14" s="35" t="s">
        <v>34</v>
      </c>
      <c r="D14" s="35"/>
      <c r="E14" s="16">
        <v>18442213</v>
      </c>
      <c r="F14" s="16">
        <v>57</v>
      </c>
      <c r="G14" s="16">
        <v>0</v>
      </c>
      <c r="H14" s="35"/>
      <c r="I14" s="35" t="s">
        <v>32</v>
      </c>
      <c r="J14" s="36">
        <v>13.11</v>
      </c>
      <c r="K14" s="36">
        <v>109.24</v>
      </c>
      <c r="L14" s="37">
        <f>EOMONTH(B14,0)</f>
        <v>43159</v>
      </c>
    </row>
    <row r="15" spans="1:13" x14ac:dyDescent="0.25">
      <c r="A15" s="35" t="s">
        <v>36</v>
      </c>
      <c r="B15" s="17">
        <v>43152</v>
      </c>
      <c r="C15" s="35" t="s">
        <v>34</v>
      </c>
      <c r="D15" s="35"/>
      <c r="E15" s="16">
        <v>18518127</v>
      </c>
      <c r="F15" s="16">
        <v>57</v>
      </c>
      <c r="G15" s="16">
        <v>0</v>
      </c>
      <c r="H15" s="35"/>
      <c r="I15" s="35" t="s">
        <v>32</v>
      </c>
      <c r="J15" s="36">
        <v>6.43</v>
      </c>
      <c r="K15" s="36">
        <v>91.91</v>
      </c>
      <c r="L15" s="37">
        <f>EOMONTH(B15,0)</f>
        <v>43159</v>
      </c>
    </row>
    <row r="16" spans="1:13" x14ac:dyDescent="0.25">
      <c r="A16" s="35" t="s">
        <v>37</v>
      </c>
      <c r="B16" s="17">
        <v>43158</v>
      </c>
      <c r="C16" s="35" t="s">
        <v>34</v>
      </c>
      <c r="D16" s="35"/>
      <c r="E16" s="16">
        <v>18605419</v>
      </c>
      <c r="F16" s="16">
        <v>57</v>
      </c>
      <c r="G16" s="16">
        <v>0</v>
      </c>
      <c r="H16" s="35"/>
      <c r="I16" s="35" t="s">
        <v>32</v>
      </c>
      <c r="J16" s="36">
        <v>4.97</v>
      </c>
      <c r="K16" s="36">
        <v>41.39</v>
      </c>
      <c r="L16" s="37">
        <f>EOMONTH(B16,0)</f>
        <v>43159</v>
      </c>
    </row>
    <row r="17" spans="1:13" x14ac:dyDescent="0.25">
      <c r="A17" s="38" t="str">
        <f>_xlfn.CONCAT("Total Subitem ",$M$10,".",M17)</f>
        <v>Total Subitem .2</v>
      </c>
      <c r="B17" s="39"/>
      <c r="C17" s="39"/>
      <c r="D17" s="39"/>
      <c r="E17" s="39"/>
      <c r="F17" s="39"/>
      <c r="G17" s="39"/>
      <c r="H17" s="39"/>
      <c r="I17" s="39"/>
      <c r="J17" s="40"/>
      <c r="K17" s="41">
        <f>SUBTOTAL(9,K13:K16)</f>
        <v>441.03</v>
      </c>
      <c r="L17" s="42">
        <v>43159</v>
      </c>
      <c r="M17">
        <v>2</v>
      </c>
    </row>
    <row r="18" spans="1:13" x14ac:dyDescent="0.25">
      <c r="A18" s="38" t="str">
        <f>_xlfn.CONCAT("TOTAL ITEM ",$M$10)</f>
        <v xml:space="preserve">TOTAL ITEM </v>
      </c>
      <c r="B18" s="39"/>
      <c r="C18" s="39"/>
      <c r="D18" s="39"/>
      <c r="E18" s="39"/>
      <c r="F18" s="39"/>
      <c r="G18" s="39"/>
      <c r="H18" s="39"/>
      <c r="I18" s="39"/>
      <c r="J18" s="40"/>
      <c r="K18" s="41">
        <f>SUBTOTAL(9,K11:K17)</f>
        <v>535.65</v>
      </c>
      <c r="L18" s="42" t="s">
        <v>38</v>
      </c>
    </row>
  </sheetData>
  <mergeCells count="11">
    <mergeCell ref="A18:J18"/>
    <mergeCell ref="A12:J12"/>
    <mergeCell ref="A17:J17"/>
    <mergeCell ref="A1:K1"/>
    <mergeCell ref="A2:K2"/>
    <mergeCell ref="A3:K3"/>
    <mergeCell ref="A4:K4"/>
    <mergeCell ref="A5:K5"/>
    <mergeCell ref="A6:K6"/>
    <mergeCell ref="A7:K7"/>
    <mergeCell ref="A8:K8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EFDs</vt:lpstr>
      <vt:lpstr>template</vt:lpstr>
      <vt:lpstr>planilha</vt:lpstr>
      <vt:lpstr>planilha_agrup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Palmeira Mendonça</dc:creator>
  <cp:lastModifiedBy>Alexandre Palmeira Mendonça</cp:lastModifiedBy>
  <cp:lastPrinted>2022-01-21T17:48:39Z</cp:lastPrinted>
  <dcterms:created xsi:type="dcterms:W3CDTF">2015-06-05T18:19:34Z</dcterms:created>
  <dcterms:modified xsi:type="dcterms:W3CDTF">2022-08-04T22:41:41Z</dcterms:modified>
</cp:coreProperties>
</file>