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931" codeName="{B6124F1A-AFFB-F854-7757-9A1D4C6FC43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Programs\AIIMGenerator\resources\"/>
    </mc:Choice>
  </mc:AlternateContent>
  <xr:revisionPtr revIDLastSave="0" documentId="8_{82261B2B-B94E-41AF-9F4C-33AFCC6BC991}" xr6:coauthVersionLast="47" xr6:coauthVersionMax="47" xr10:uidLastSave="{00000000-0000-0000-0000-000000000000}"/>
  <bookViews>
    <workbookView xWindow="6300" yWindow="180" windowWidth="22140" windowHeight="14640" activeTab="1"/>
  </bookViews>
  <sheets>
    <sheet name="Instruções" sheetId="2" r:id="rId1"/>
    <sheet name="CREDITO - DDF" sheetId="1" r:id="rId2"/>
  </sheets>
  <functionGroups builtInGroupCount="19"/>
  <definedNames>
    <definedName name="_xlnm.Print_Area" localSheetId="0">Instruções!$B$2:$M$29</definedName>
    <definedName name="Ate">'CREDITO - DDF'!#REF!</definedName>
    <definedName name="BaseTitulo">"Caixa de texto 25"</definedName>
    <definedName name="De">'CREDITO - DDF'!#REF!</definedName>
    <definedName name="Folha1">'CREDITO - DDF'!$A$1:$S$51</definedName>
    <definedName name="Folha2">'CREDITO - DDF'!$A$52:$S$102</definedName>
    <definedName name="Folha3">'CREDITO - DDF'!$A$103:$S$153</definedName>
    <definedName name="FolhaTudo">'CREDITO - DDF'!$A$1:$S$102</definedName>
    <definedName name="MesAno1">'CREDITO - DDF'!$A$14:$A$46</definedName>
    <definedName name="MesAno2">'CREDITO - DDF'!$A$66:$A$97</definedName>
    <definedName name="MesAno3">'CREDITO - DDF'!$A$117:$A$148</definedName>
    <definedName name="Quadro1">'CREDITO - DDF'!$L$14:$L$37</definedName>
    <definedName name="Quadro2">'CREDITO - DDF'!$N$14:$S$37</definedName>
    <definedName name="Quadro3">'CREDITO - DDF'!$L$66:$L$88</definedName>
    <definedName name="Quadro4">'CREDITO - DDF'!$N$66:$S$88</definedName>
    <definedName name="Quadro5">'CREDITO - DDF'!$L$117:$L$139</definedName>
    <definedName name="Quadro6">'CREDITO - DDF'!$N$117:$S$139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92" i="1" l="1"/>
  <c r="L143" i="1"/>
  <c r="L96" i="1"/>
  <c r="L147" i="1"/>
  <c r="L94" i="1"/>
  <c r="L145" i="1"/>
  <c r="L91" i="1"/>
  <c r="L142" i="1"/>
  <c r="A59" i="1"/>
  <c r="S38" i="1"/>
  <c r="S65" i="1"/>
  <c r="S89" i="1"/>
  <c r="N38" i="1"/>
  <c r="N65" i="1"/>
  <c r="N89" i="1"/>
  <c r="L38" i="1"/>
  <c r="L65" i="1"/>
  <c r="L89" i="1"/>
  <c r="S116" i="1"/>
  <c r="S140" i="1"/>
  <c r="N116" i="1"/>
  <c r="N140" i="1"/>
  <c r="L116" i="1"/>
  <c r="L140" i="1"/>
  <c r="H101" i="1"/>
  <c r="H152" i="1"/>
  <c r="A101" i="1"/>
  <c r="A152" i="1"/>
  <c r="B14" i="1"/>
  <c r="H14" i="1"/>
  <c r="I14" i="1"/>
  <c r="C14" i="1"/>
  <c r="J14" i="1"/>
  <c r="B66" i="1"/>
  <c r="H66" i="1"/>
  <c r="I66" i="1"/>
  <c r="B67" i="1"/>
  <c r="H67" i="1"/>
  <c r="I67" i="1"/>
  <c r="B68" i="1"/>
  <c r="H68" i="1"/>
  <c r="I68" i="1"/>
  <c r="B69" i="1"/>
  <c r="H69" i="1"/>
  <c r="I69" i="1"/>
  <c r="B82" i="1"/>
  <c r="H82" i="1"/>
  <c r="I82" i="1"/>
  <c r="B83" i="1"/>
  <c r="H83" i="1"/>
  <c r="I83" i="1"/>
  <c r="B84" i="1"/>
  <c r="H84" i="1"/>
  <c r="I84" i="1"/>
  <c r="B85" i="1"/>
  <c r="H85" i="1"/>
  <c r="I85" i="1"/>
  <c r="B86" i="1"/>
  <c r="H86" i="1"/>
  <c r="I86" i="1"/>
  <c r="B87" i="1"/>
  <c r="H87" i="1"/>
  <c r="I87" i="1"/>
  <c r="B88" i="1"/>
  <c r="H88" i="1"/>
  <c r="I88" i="1"/>
  <c r="B89" i="1"/>
  <c r="H89" i="1"/>
  <c r="I89" i="1"/>
  <c r="B90" i="1"/>
  <c r="H90" i="1"/>
  <c r="I90" i="1"/>
  <c r="B91" i="1"/>
  <c r="H91" i="1"/>
  <c r="I91" i="1"/>
  <c r="B92" i="1"/>
  <c r="H92" i="1"/>
  <c r="I92" i="1"/>
  <c r="B93" i="1"/>
  <c r="H93" i="1"/>
  <c r="I93" i="1"/>
  <c r="B94" i="1"/>
  <c r="H94" i="1"/>
  <c r="I94" i="1"/>
  <c r="B95" i="1"/>
  <c r="H95" i="1"/>
  <c r="I95" i="1"/>
  <c r="B96" i="1"/>
  <c r="H96" i="1"/>
  <c r="I96" i="1"/>
  <c r="B97" i="1"/>
  <c r="H97" i="1"/>
  <c r="I97" i="1"/>
  <c r="C82" i="1"/>
  <c r="C83" i="1"/>
  <c r="C84" i="1"/>
  <c r="C85" i="1"/>
  <c r="C86" i="1"/>
  <c r="C87" i="1"/>
  <c r="C88" i="1"/>
  <c r="C89" i="1"/>
  <c r="C90" i="1"/>
  <c r="C91" i="1"/>
  <c r="C92" i="1"/>
  <c r="C93" i="1"/>
  <c r="J93" i="1"/>
  <c r="C94" i="1"/>
  <c r="C95" i="1"/>
  <c r="C96" i="1"/>
  <c r="C97" i="1"/>
  <c r="D14" i="1"/>
  <c r="D82" i="1"/>
  <c r="D83" i="1"/>
  <c r="D84" i="1"/>
  <c r="D85" i="1"/>
  <c r="D86" i="1"/>
  <c r="J86" i="1"/>
  <c r="D87" i="1"/>
  <c r="D88" i="1"/>
  <c r="D89" i="1"/>
  <c r="D90" i="1"/>
  <c r="J90" i="1"/>
  <c r="D91" i="1"/>
  <c r="D92" i="1"/>
  <c r="D93" i="1"/>
  <c r="D94" i="1"/>
  <c r="D95" i="1"/>
  <c r="D96" i="1"/>
  <c r="D97" i="1"/>
  <c r="D117" i="1"/>
  <c r="B117" i="1"/>
  <c r="H117" i="1"/>
  <c r="I117" i="1"/>
  <c r="C117" i="1"/>
  <c r="B118" i="1"/>
  <c r="H118" i="1"/>
  <c r="I118" i="1"/>
  <c r="B119" i="1"/>
  <c r="H119" i="1"/>
  <c r="I119" i="1"/>
  <c r="B120" i="1"/>
  <c r="H120" i="1"/>
  <c r="I120" i="1"/>
  <c r="B121" i="1"/>
  <c r="H121" i="1"/>
  <c r="I121" i="1"/>
  <c r="B122" i="1"/>
  <c r="H122" i="1"/>
  <c r="I122" i="1"/>
  <c r="B123" i="1"/>
  <c r="H123" i="1"/>
  <c r="I123" i="1"/>
  <c r="B124" i="1"/>
  <c r="H124" i="1"/>
  <c r="I124" i="1"/>
  <c r="B125" i="1"/>
  <c r="H125" i="1"/>
  <c r="I125" i="1"/>
  <c r="B126" i="1"/>
  <c r="H126" i="1"/>
  <c r="I126" i="1"/>
  <c r="B127" i="1"/>
  <c r="H127" i="1"/>
  <c r="I127" i="1"/>
  <c r="B128" i="1"/>
  <c r="H128" i="1"/>
  <c r="I128" i="1"/>
  <c r="B129" i="1"/>
  <c r="H129" i="1"/>
  <c r="I129" i="1"/>
  <c r="B130" i="1"/>
  <c r="H130" i="1"/>
  <c r="I130" i="1"/>
  <c r="B131" i="1"/>
  <c r="H131" i="1"/>
  <c r="I131" i="1"/>
  <c r="B132" i="1"/>
  <c r="H132" i="1"/>
  <c r="I132" i="1"/>
  <c r="B133" i="1"/>
  <c r="H133" i="1"/>
  <c r="I133" i="1"/>
  <c r="B134" i="1"/>
  <c r="H134" i="1"/>
  <c r="I134" i="1"/>
  <c r="B135" i="1"/>
  <c r="H135" i="1"/>
  <c r="I135" i="1"/>
  <c r="B136" i="1"/>
  <c r="H136" i="1"/>
  <c r="I136" i="1"/>
  <c r="B137" i="1"/>
  <c r="H137" i="1"/>
  <c r="I137" i="1"/>
  <c r="B138" i="1"/>
  <c r="H138" i="1"/>
  <c r="I138" i="1"/>
  <c r="B139" i="1"/>
  <c r="H139" i="1"/>
  <c r="I139" i="1"/>
  <c r="B140" i="1"/>
  <c r="H140" i="1"/>
  <c r="I140" i="1"/>
  <c r="B141" i="1"/>
  <c r="H141" i="1"/>
  <c r="I141" i="1"/>
  <c r="B142" i="1"/>
  <c r="H142" i="1"/>
  <c r="I142" i="1"/>
  <c r="B143" i="1"/>
  <c r="H143" i="1"/>
  <c r="I143" i="1"/>
  <c r="B144" i="1"/>
  <c r="H144" i="1"/>
  <c r="I144" i="1"/>
  <c r="B145" i="1"/>
  <c r="H145" i="1"/>
  <c r="I145" i="1"/>
  <c r="B146" i="1"/>
  <c r="H146" i="1"/>
  <c r="I146" i="1"/>
  <c r="B147" i="1"/>
  <c r="H147" i="1"/>
  <c r="I14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J142" i="1"/>
  <c r="C143" i="1"/>
  <c r="C144" i="1"/>
  <c r="C145" i="1"/>
  <c r="C146" i="1"/>
  <c r="J146" i="1"/>
  <c r="C14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B148" i="1"/>
  <c r="H148" i="1"/>
  <c r="I148" i="1"/>
  <c r="C148" i="1"/>
  <c r="I116" i="1"/>
  <c r="G47" i="1"/>
  <c r="G65" i="1"/>
  <c r="G98" i="1"/>
  <c r="G116" i="1"/>
  <c r="G149" i="1"/>
  <c r="F47" i="1"/>
  <c r="F65" i="1"/>
  <c r="F98" i="1"/>
  <c r="F116" i="1"/>
  <c r="F149" i="1"/>
  <c r="R56" i="1"/>
  <c r="R107" i="1"/>
  <c r="R55" i="1"/>
  <c r="R106" i="1"/>
  <c r="P61" i="1"/>
  <c r="P112" i="1"/>
  <c r="P59" i="1"/>
  <c r="P110" i="1"/>
  <c r="A61" i="1"/>
  <c r="A112" i="1"/>
  <c r="A110" i="1"/>
  <c r="B70" i="1"/>
  <c r="H70" i="1"/>
  <c r="I70" i="1"/>
  <c r="B71" i="1"/>
  <c r="H71" i="1"/>
  <c r="I71" i="1"/>
  <c r="B72" i="1"/>
  <c r="H72" i="1"/>
  <c r="I72" i="1"/>
  <c r="B73" i="1"/>
  <c r="H73" i="1"/>
  <c r="I73" i="1"/>
  <c r="B74" i="1"/>
  <c r="H74" i="1"/>
  <c r="I74" i="1"/>
  <c r="B75" i="1"/>
  <c r="H75" i="1"/>
  <c r="I75" i="1"/>
  <c r="B76" i="1"/>
  <c r="H76" i="1"/>
  <c r="I76" i="1"/>
  <c r="B77" i="1"/>
  <c r="H77" i="1"/>
  <c r="I77" i="1"/>
  <c r="B78" i="1"/>
  <c r="H78" i="1"/>
  <c r="I78" i="1"/>
  <c r="B79" i="1"/>
  <c r="H79" i="1"/>
  <c r="I79" i="1"/>
  <c r="B80" i="1"/>
  <c r="H80" i="1"/>
  <c r="I80" i="1"/>
  <c r="B81" i="1"/>
  <c r="H81" i="1"/>
  <c r="I81" i="1"/>
  <c r="C70" i="1"/>
  <c r="J70" i="1"/>
  <c r="C71" i="1"/>
  <c r="J71" i="1"/>
  <c r="C72" i="1"/>
  <c r="C73" i="1"/>
  <c r="C74" i="1"/>
  <c r="C75" i="1"/>
  <c r="C76" i="1"/>
  <c r="C77" i="1"/>
  <c r="C78" i="1"/>
  <c r="C79" i="1"/>
  <c r="C80" i="1"/>
  <c r="C81" i="1"/>
  <c r="D70" i="1"/>
  <c r="D71" i="1"/>
  <c r="D72" i="1"/>
  <c r="D73" i="1"/>
  <c r="D74" i="1"/>
  <c r="D75" i="1"/>
  <c r="D76" i="1"/>
  <c r="D77" i="1"/>
  <c r="D78" i="1"/>
  <c r="D79" i="1"/>
  <c r="D80" i="1"/>
  <c r="D81" i="1"/>
  <c r="C66" i="1"/>
  <c r="C67" i="1"/>
  <c r="C68" i="1"/>
  <c r="C69" i="1"/>
  <c r="D66" i="1"/>
  <c r="D67" i="1"/>
  <c r="D68" i="1"/>
  <c r="D69" i="1"/>
  <c r="J89" i="1"/>
  <c r="J73" i="1"/>
  <c r="J75" i="1"/>
  <c r="D15" i="1"/>
  <c r="B33" i="1"/>
  <c r="H33" i="1"/>
  <c r="I33" i="1"/>
  <c r="B34" i="1"/>
  <c r="H34" i="1"/>
  <c r="I34" i="1"/>
  <c r="B35" i="1"/>
  <c r="H35" i="1"/>
  <c r="I35" i="1"/>
  <c r="C33" i="1"/>
  <c r="D33" i="1"/>
  <c r="B36" i="1"/>
  <c r="H36" i="1"/>
  <c r="I36" i="1"/>
  <c r="D34" i="1"/>
  <c r="C34" i="1"/>
  <c r="B37" i="1"/>
  <c r="H37" i="1"/>
  <c r="I37" i="1"/>
  <c r="C35" i="1"/>
  <c r="D35" i="1"/>
  <c r="B38" i="1"/>
  <c r="H38" i="1"/>
  <c r="I38" i="1"/>
  <c r="C36" i="1"/>
  <c r="D36" i="1"/>
  <c r="J36" i="1"/>
  <c r="B39" i="1"/>
  <c r="C37" i="1"/>
  <c r="D37" i="1"/>
  <c r="H39" i="1"/>
  <c r="I39" i="1"/>
  <c r="B40" i="1"/>
  <c r="H40" i="1"/>
  <c r="I40" i="1"/>
  <c r="C38" i="1"/>
  <c r="D38" i="1"/>
  <c r="B41" i="1"/>
  <c r="H41" i="1"/>
  <c r="I41" i="1"/>
  <c r="C39" i="1"/>
  <c r="D39" i="1"/>
  <c r="B42" i="1"/>
  <c r="H42" i="1"/>
  <c r="I42" i="1"/>
  <c r="C40" i="1"/>
  <c r="D40" i="1"/>
  <c r="B43" i="1"/>
  <c r="C41" i="1"/>
  <c r="D41" i="1"/>
  <c r="H43" i="1"/>
  <c r="I43" i="1"/>
  <c r="B44" i="1"/>
  <c r="H44" i="1"/>
  <c r="I44" i="1"/>
  <c r="C42" i="1"/>
  <c r="D42" i="1"/>
  <c r="B45" i="1"/>
  <c r="H45" i="1"/>
  <c r="I45" i="1"/>
  <c r="D43" i="1"/>
  <c r="C43" i="1"/>
  <c r="J43" i="1"/>
  <c r="B46" i="1"/>
  <c r="H46" i="1"/>
  <c r="I46" i="1"/>
  <c r="I65" i="1"/>
  <c r="C44" i="1"/>
  <c r="D44" i="1"/>
  <c r="J44" i="1"/>
  <c r="C45" i="1"/>
  <c r="D45" i="1"/>
  <c r="C46" i="1"/>
  <c r="D46" i="1"/>
  <c r="J65" i="1"/>
  <c r="J116" i="1"/>
  <c r="J96" i="1"/>
  <c r="J88" i="1"/>
  <c r="J84" i="1"/>
  <c r="J77" i="1"/>
  <c r="J129" i="1"/>
  <c r="J147" i="1"/>
  <c r="J131" i="1"/>
  <c r="J141" i="1"/>
  <c r="J38" i="1"/>
  <c r="J92" i="1"/>
  <c r="J42" i="1"/>
  <c r="J34" i="1"/>
  <c r="J80" i="1"/>
  <c r="J95" i="1"/>
  <c r="J91" i="1"/>
  <c r="J87" i="1"/>
  <c r="J83" i="1"/>
  <c r="J127" i="1"/>
  <c r="J37" i="1"/>
  <c r="J35" i="1"/>
  <c r="J78" i="1"/>
  <c r="J74" i="1"/>
  <c r="J148" i="1"/>
  <c r="J126" i="1"/>
  <c r="J122" i="1"/>
  <c r="J144" i="1"/>
  <c r="J140" i="1"/>
  <c r="J136" i="1"/>
  <c r="J128" i="1"/>
  <c r="J45" i="1"/>
  <c r="J81" i="1"/>
  <c r="J68" i="1"/>
  <c r="J40" i="1"/>
  <c r="J33" i="1"/>
  <c r="J67" i="1"/>
  <c r="J117" i="1"/>
  <c r="I149" i="1"/>
  <c r="J72" i="1"/>
  <c r="J46" i="1"/>
  <c r="J41" i="1"/>
  <c r="J66" i="1"/>
  <c r="J145" i="1"/>
  <c r="J137" i="1"/>
  <c r="J133" i="1"/>
  <c r="J125" i="1"/>
  <c r="J121" i="1"/>
  <c r="J143" i="1"/>
  <c r="J139" i="1"/>
  <c r="J135" i="1"/>
  <c r="J123" i="1"/>
  <c r="J119" i="1"/>
  <c r="J97" i="1"/>
  <c r="J85" i="1"/>
  <c r="J39" i="1"/>
  <c r="J132" i="1"/>
  <c r="J124" i="1"/>
  <c r="J120" i="1"/>
  <c r="J138" i="1"/>
  <c r="J134" i="1"/>
  <c r="J130" i="1"/>
  <c r="J118" i="1"/>
  <c r="I98" i="1"/>
  <c r="J76" i="1"/>
  <c r="J94" i="1"/>
  <c r="J82" i="1"/>
  <c r="J79" i="1"/>
  <c r="J69" i="1"/>
  <c r="B15" i="1"/>
  <c r="J149" i="1"/>
  <c r="J98" i="1"/>
  <c r="H15" i="1"/>
  <c r="I15" i="1"/>
  <c r="B16" i="1"/>
  <c r="H16" i="1"/>
  <c r="I16" i="1"/>
  <c r="B17" i="1"/>
  <c r="C15" i="1"/>
  <c r="H17" i="1"/>
  <c r="I17" i="1"/>
  <c r="J15" i="1"/>
  <c r="C16" i="1"/>
  <c r="C17" i="1"/>
  <c r="D16" i="1"/>
  <c r="B18" i="1"/>
  <c r="H18" i="1"/>
  <c r="I18" i="1"/>
  <c r="B19" i="1"/>
  <c r="J16" i="1"/>
  <c r="H19" i="1"/>
  <c r="I19" i="1"/>
  <c r="B20" i="1"/>
  <c r="C18" i="1"/>
  <c r="D17" i="1"/>
  <c r="H20" i="1"/>
  <c r="I20" i="1"/>
  <c r="B21" i="1"/>
  <c r="J17" i="1"/>
  <c r="C19" i="1"/>
  <c r="C20" i="1"/>
  <c r="H21" i="1"/>
  <c r="I21" i="1"/>
  <c r="B22" i="1"/>
  <c r="D18" i="1"/>
  <c r="H22" i="1"/>
  <c r="I22" i="1"/>
  <c r="B23" i="1"/>
  <c r="J18" i="1"/>
  <c r="D19" i="1"/>
  <c r="C21" i="1"/>
  <c r="J19" i="1"/>
  <c r="D20" i="1"/>
  <c r="C22" i="1"/>
  <c r="H23" i="1"/>
  <c r="I23" i="1"/>
  <c r="B24" i="1"/>
  <c r="H24" i="1"/>
  <c r="I24" i="1"/>
  <c r="B25" i="1"/>
  <c r="J20" i="1"/>
  <c r="D21" i="1"/>
  <c r="C23" i="1"/>
  <c r="J21" i="1"/>
  <c r="D22" i="1"/>
  <c r="H25" i="1"/>
  <c r="I25" i="1"/>
  <c r="B26" i="1"/>
  <c r="C24" i="1"/>
  <c r="H26" i="1"/>
  <c r="I26" i="1"/>
  <c r="B27" i="1"/>
  <c r="J22" i="1"/>
  <c r="D23" i="1"/>
  <c r="C25" i="1"/>
  <c r="J23" i="1"/>
  <c r="D24" i="1"/>
  <c r="H27" i="1"/>
  <c r="I27" i="1"/>
  <c r="B28" i="1"/>
  <c r="C26" i="1"/>
  <c r="J24" i="1"/>
  <c r="D25" i="1"/>
  <c r="C27" i="1"/>
  <c r="H28" i="1"/>
  <c r="I28" i="1"/>
  <c r="B29" i="1"/>
  <c r="J25" i="1"/>
  <c r="D26" i="1"/>
  <c r="C28" i="1"/>
  <c r="H29" i="1"/>
  <c r="I29" i="1"/>
  <c r="B30" i="1"/>
  <c r="H30" i="1"/>
  <c r="I30" i="1"/>
  <c r="B31" i="1"/>
  <c r="J26" i="1"/>
  <c r="D27" i="1"/>
  <c r="C29" i="1"/>
  <c r="J27" i="1"/>
  <c r="D28" i="1"/>
  <c r="H31" i="1"/>
  <c r="I31" i="1"/>
  <c r="B32" i="1"/>
  <c r="H32" i="1"/>
  <c r="I32" i="1"/>
  <c r="I47" i="1"/>
  <c r="C30" i="1"/>
  <c r="J28" i="1"/>
  <c r="D29" i="1"/>
  <c r="C31" i="1"/>
  <c r="J29" i="1"/>
  <c r="D30" i="1"/>
  <c r="C32" i="1"/>
  <c r="J30" i="1"/>
  <c r="D31" i="1"/>
  <c r="J31" i="1"/>
  <c r="D32" i="1"/>
  <c r="J32" i="1"/>
  <c r="J47" i="1"/>
</calcChain>
</file>

<file path=xl/sharedStrings.xml><?xml version="1.0" encoding="utf-8"?>
<sst xmlns="http://schemas.openxmlformats.org/spreadsheetml/2006/main" count="150" uniqueCount="63">
  <si>
    <t>DE</t>
  </si>
  <si>
    <t>PERÍODO</t>
  </si>
  <si>
    <t xml:space="preserve">SECRETARIA DE ESTADO DOS NEGÓCIOS DA FAZENDA </t>
  </si>
  <si>
    <t xml:space="preserve">DIRETORIA EXECUTIVA DA ADMINISTRAÇÃO TRIBUTÁRIA - DEAT </t>
  </si>
  <si>
    <t xml:space="preserve">  LOCAL</t>
  </si>
  <si>
    <t xml:space="preserve">  DATA</t>
  </si>
  <si>
    <t>TOTAIS</t>
  </si>
  <si>
    <t>ATE</t>
  </si>
  <si>
    <t xml:space="preserve">  INSCRIÇÃO ESTADUAL </t>
  </si>
  <si>
    <t xml:space="preserve">  C.G.C / C.N.P.J</t>
  </si>
  <si>
    <t xml:space="preserve">  CONTRIBUINTE</t>
  </si>
  <si>
    <t xml:space="preserve">  ENDEREÇO</t>
  </si>
  <si>
    <t>MÊS / ANO</t>
  </si>
  <si>
    <t>(PROPORCIONAL)</t>
  </si>
  <si>
    <t>SALDOS  DA  GIA</t>
  </si>
  <si>
    <t>VALOR DA OPERAÇÃO</t>
  </si>
  <si>
    <t>D.D.F</t>
  </si>
  <si>
    <t>ICMS EXIGÍVEL</t>
  </si>
  <si>
    <t>DCI</t>
  </si>
  <si>
    <t>DIJ</t>
  </si>
  <si>
    <t>DCM</t>
  </si>
  <si>
    <t>VALOR BASE</t>
  </si>
  <si>
    <t xml:space="preserve">PARA MULTA </t>
  </si>
  <si>
    <t>SOMA</t>
  </si>
  <si>
    <t>ESTORNO</t>
  </si>
  <si>
    <t>VALOR</t>
  </si>
  <si>
    <t>RESTO</t>
  </si>
  <si>
    <t xml:space="preserve">ITEM </t>
  </si>
  <si>
    <t>ICMS</t>
  </si>
  <si>
    <t>TRANSPORTE</t>
  </si>
  <si>
    <t>AFR (CARIMBO  E  ASSINATURA)</t>
  </si>
  <si>
    <t>(MULTA)</t>
  </si>
  <si>
    <t>DEMONSTRATIVO DOS CRÉDITOS INDEVIDOS DE ICMS - ANÁLISE DOS SALDOS P/ INCIDÊNCIA DE JUROS</t>
  </si>
  <si>
    <t>(DECLARADOS)</t>
  </si>
  <si>
    <t>CRÉDITO INDEVIDO</t>
  </si>
  <si>
    <t>DÉBITO FISCAL</t>
  </si>
  <si>
    <t>VALOR OPERAÇÃO</t>
  </si>
  <si>
    <t>APURAÇÃO SALDOS</t>
  </si>
  <si>
    <t xml:space="preserve">CRÉDITO </t>
  </si>
  <si>
    <t>INDEVIDO</t>
  </si>
  <si>
    <t>NO D.D.F</t>
  </si>
  <si>
    <t>CRÉDITO</t>
  </si>
  <si>
    <t>DÉBITO FISCAL (Art. 565, I, 'c' do RICMS)</t>
  </si>
  <si>
    <t>Vs  8.1.2  -  25/02/2011</t>
  </si>
  <si>
    <t>1. O quadro acima transporta o crédito indevido e calcula automaticamente o ICMS exigível no D.D.F e respectivas datas DCI, DIJ e DCM.</t>
  </si>
  <si>
    <t>2. O ICMS exigível e respectivas datas são calculadas em conformidade com a evolução do débito fiscal (Artigo 565, I, 'c' do RICMS).</t>
  </si>
  <si>
    <t>Notas Explicativas:</t>
  </si>
  <si>
    <t xml:space="preserve">    Obs: Qualquer dúvida ou sugestão, contacte o e-mail acima. Obrigado.</t>
  </si>
  <si>
    <r>
      <rPr>
        <b/>
        <sz val="10"/>
        <rFont val="Calibri"/>
        <family val="2"/>
      </rPr>
      <t>1.</t>
    </r>
    <r>
      <rPr>
        <sz val="10"/>
        <rFont val="Calibri"/>
        <family val="2"/>
      </rPr>
      <t xml:space="preserve"> Esta pasta contém a planilha que apresenta a evolução e o aproveitamento do crédito apropriado indevidamente e estornado;</t>
    </r>
  </si>
  <si>
    <r>
      <rPr>
        <b/>
        <sz val="10"/>
        <rFont val="Calibri"/>
        <family val="2"/>
      </rPr>
      <t>2.</t>
    </r>
    <r>
      <rPr>
        <sz val="10"/>
        <rFont val="Calibri"/>
        <family val="2"/>
      </rPr>
      <t xml:space="preserve"> Preencha apenas as células "em branco", as demais células serão preenchidas automaticamente;</t>
    </r>
  </si>
  <si>
    <r>
      <rPr>
        <b/>
        <sz val="10"/>
        <rFont val="Calibri"/>
        <family val="2"/>
      </rPr>
      <t>3.</t>
    </r>
    <r>
      <rPr>
        <sz val="10"/>
        <rFont val="Calibri"/>
        <family val="2"/>
      </rPr>
      <t xml:space="preserve"> A coluna "Mês / Ano" será preenchida automaticamente, utilizando as informações das células "Período /  De - A". Informe o período de modo adequado. A última data deve corresponder àquela em que todo o imposto foi absorvido ou, em caso contrário, ao mês da autuação.</t>
    </r>
  </si>
  <si>
    <r>
      <rPr>
        <b/>
        <sz val="10"/>
        <rFont val="Calibri"/>
        <family val="2"/>
      </rPr>
      <t>4.</t>
    </r>
    <r>
      <rPr>
        <sz val="10"/>
        <rFont val="Calibri"/>
        <family val="2"/>
      </rPr>
      <t xml:space="preserve"> Digite apenas os Saldos das GIAs. Saldos credores devem ser informados como negativos, com o sinal ' - ' (menos) ;</t>
    </r>
  </si>
  <si>
    <r>
      <rPr>
        <b/>
        <sz val="10"/>
        <rFont val="Calibri"/>
        <family val="2"/>
      </rPr>
      <t>5.</t>
    </r>
    <r>
      <rPr>
        <sz val="10"/>
        <rFont val="Calibri"/>
        <family val="2"/>
      </rPr>
      <t xml:space="preserve"> Os campos totais serão, automaticamente, transferidos para a página seguinte;</t>
    </r>
  </si>
  <si>
    <r>
      <rPr>
        <b/>
        <sz val="10"/>
        <rFont val="Calibri"/>
        <family val="2"/>
      </rPr>
      <t>6.</t>
    </r>
    <r>
      <rPr>
        <sz val="10"/>
        <rFont val="Calibri"/>
        <family val="2"/>
      </rPr>
      <t xml:space="preserve"> Só será necessário informar os dados cadastrais do contribuinte na 1ª página, para as demais estas células estão protegidas;</t>
    </r>
  </si>
  <si>
    <r>
      <rPr>
        <b/>
        <sz val="10"/>
        <rFont val="Calibri"/>
        <family val="2"/>
      </rPr>
      <t>7.</t>
    </r>
    <r>
      <rPr>
        <sz val="10"/>
        <rFont val="Calibri"/>
        <family val="2"/>
      </rPr>
      <t xml:space="preserve"> Só será necessário informar o "Local" e a "Data" no rodapé da primeira página, para as demais estas células estão protegidas;</t>
    </r>
  </si>
  <si>
    <r>
      <rPr>
        <b/>
        <sz val="10"/>
        <rFont val="Calibri"/>
        <family val="2"/>
      </rPr>
      <t>8.</t>
    </r>
    <r>
      <rPr>
        <sz val="10"/>
        <rFont val="Calibri"/>
        <family val="2"/>
      </rPr>
      <t xml:space="preserve"> Os saldos finais credores (negativos) serão apresentados entre parenteses e em vermelho intenso;</t>
    </r>
  </si>
  <si>
    <r>
      <rPr>
        <b/>
        <sz val="10"/>
        <rFont val="Calibri"/>
        <family val="2"/>
      </rPr>
      <t xml:space="preserve">9. </t>
    </r>
    <r>
      <rPr>
        <sz val="10"/>
        <rFont val="Calibri"/>
        <family val="2"/>
      </rPr>
      <t>O Imposto exigível será repassado para o Quadro DDF nos valores exigíveis até completarem o Imposto estornado no período. Sobras ou  excessos não passíveis de exigência serão repassados para o próximo período automaticamente.</t>
    </r>
  </si>
  <si>
    <r>
      <rPr>
        <b/>
        <sz val="10"/>
        <rFont val="Calibri"/>
        <family val="2"/>
      </rPr>
      <t xml:space="preserve">10. </t>
    </r>
    <r>
      <rPr>
        <sz val="10"/>
        <rFont val="Calibri"/>
        <family val="2"/>
      </rPr>
      <t>Se, ao final do período, restar Saldo de Crédito Indevido não absorvido, este valor será passado para o D.D.F com as datas informando "Credor" e deverá ser lançado no D.D.F sem a incidência de juros, marcando-se a opção correspondente no AIIM-2003;</t>
    </r>
  </si>
  <si>
    <r>
      <rPr>
        <b/>
        <sz val="10"/>
        <rFont val="Calibri"/>
        <family val="2"/>
      </rPr>
      <t>11.</t>
    </r>
    <r>
      <rPr>
        <sz val="10"/>
        <rFont val="Calibri"/>
        <family val="2"/>
      </rPr>
      <t xml:space="preserve"> Selecione no quadro "Valor Base Para Aplicação da Multa" o valor que, segundo a capitulação, deve servir de base para o cálculo da multa. Os valores proporcionais serão passados automaticamente para a coluna "Valor Base (Multa)".</t>
    </r>
  </si>
  <si>
    <r>
      <rPr>
        <b/>
        <sz val="10"/>
        <rFont val="Calibri"/>
        <family val="2"/>
      </rPr>
      <t>12.</t>
    </r>
    <r>
      <rPr>
        <sz val="10"/>
        <rFont val="Calibri"/>
        <family val="2"/>
      </rPr>
      <t xml:space="preserve"> O Quadro à direita da planilha "CREDITO - DDF" calcula automaticamente os valores e datas que devem ser transportados para o D.D.F.</t>
    </r>
  </si>
  <si>
    <r>
      <rPr>
        <b/>
        <sz val="10"/>
        <rFont val="Calibri"/>
        <family val="2"/>
      </rPr>
      <t xml:space="preserve">13. </t>
    </r>
    <r>
      <rPr>
        <sz val="10"/>
        <rFont val="Calibri"/>
        <family val="2"/>
      </rPr>
      <t>As Datas DCI, DIJ e DCM calculadas, bem como o Valor Base p/ Multa podem ser alterados caso não correspondam a uma capitulação específica.</t>
    </r>
  </si>
  <si>
    <r>
      <rPr>
        <b/>
        <sz val="10"/>
        <rFont val="Calibri"/>
        <family val="2"/>
      </rPr>
      <t>14.</t>
    </r>
    <r>
      <rPr>
        <sz val="10"/>
        <rFont val="Calibri"/>
        <family val="2"/>
      </rPr>
      <t xml:space="preserve"> </t>
    </r>
    <r>
      <rPr>
        <b/>
        <sz val="10"/>
        <rFont val="Calibri"/>
        <family val="2"/>
      </rPr>
      <t xml:space="preserve">Atenção: </t>
    </r>
    <r>
      <rPr>
        <sz val="10"/>
        <rFont val="Calibri"/>
        <family val="2"/>
      </rPr>
      <t>Preencha apenas uma planilha de estorno para todo o período sob análise. Isto é necessário, pois os créditos estornados interferem no ICMS exigível e nas datas de incidência de juros para os estornos seguintes.</t>
    </r>
  </si>
  <si>
    <t>DRTC-I-NF4-Equipe46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</si>
</sst>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4" formatCode="_-&quot;R$&quot;\ * #,##0.00_-;\-&quot;R$&quot;\ * #,##0.00_-;_-&quot;R$&quot;\ * &quot;-&quot;??_-;_-@_-"/>
    <numFmt numFmtId="43" formatCode="_-* #,##0.00_-;\-* #,##0.00_-;_-* &quot;-&quot;??_-;_-@_-"/>
    <numFmt numFmtId="178" formatCode="mmm\-yy_)"/>
    <numFmt numFmtId="179" formatCode="0.00_)"/>
    <numFmt numFmtId="180" formatCode="d\ mmmm\,\ yyyy"/>
    <numFmt numFmtId="182" formatCode="mmm\-yy"/>
    <numFmt numFmtId="194" formatCode="#&quot;.&quot;##"/>
    <numFmt numFmtId="198" formatCode="mmmm\ /\ yyyy"/>
    <numFmt numFmtId="203" formatCode="00&quot;.&quot;000&quot;.&quot;000&quot;/&quot;0000&quot;-&quot;00"/>
    <numFmt numFmtId="206" formatCode="#,##0.00_)\ ;\(#,##0.00\)\ "/>
    <numFmt numFmtId="208" formatCode="dd/mm/yy;@"/>
    <numFmt numFmtId="210" formatCode="\ \ \ \ d\ mmmm\,\ yyyy"/>
  </numFmts>
  <fonts count="25" x14ac:knownFonts="1">
    <font>
      <sz val="10"/>
      <name val="Courier"/>
    </font>
    <font>
      <sz val="10"/>
      <name val="Arial"/>
      <family val="2"/>
    </font>
    <font>
      <sz val="10"/>
      <name val="Arial Narrow"/>
      <family val="2"/>
    </font>
    <font>
      <sz val="7"/>
      <name val="Bookman Old Style"/>
      <family val="1"/>
    </font>
    <font>
      <sz val="7"/>
      <name val="Arial Narrow"/>
      <family val="2"/>
    </font>
    <font>
      <sz val="7"/>
      <name val="Arial"/>
      <family val="2"/>
    </font>
    <font>
      <sz val="10"/>
      <name val="Arial"/>
      <family val="2"/>
    </font>
    <font>
      <sz val="6"/>
      <name val="Arial"/>
      <family val="2"/>
    </font>
    <font>
      <sz val="6"/>
      <name val="Arial Narrow"/>
      <family val="2"/>
    </font>
    <font>
      <sz val="9"/>
      <name val="Arial"/>
      <family val="2"/>
    </font>
    <font>
      <b/>
      <sz val="9"/>
      <name val="Arial"/>
      <family val="2"/>
    </font>
    <font>
      <b/>
      <sz val="7"/>
      <name val="Arial"/>
      <family val="2"/>
    </font>
    <font>
      <sz val="8"/>
      <name val="Arial"/>
      <family val="2"/>
    </font>
    <font>
      <sz val="8"/>
      <color indexed="26"/>
      <name val="Arial"/>
      <family val="2"/>
    </font>
    <font>
      <sz val="10"/>
      <color indexed="9"/>
      <name val="Arial Narrow"/>
      <family val="2"/>
    </font>
    <font>
      <b/>
      <sz val="7"/>
      <name val="Arial Narrow"/>
      <family val="2"/>
    </font>
    <font>
      <b/>
      <sz val="8"/>
      <name val="Arial"/>
      <family val="2"/>
    </font>
    <font>
      <sz val="8"/>
      <name val="Bookman Old Style"/>
      <family val="1"/>
    </font>
    <font>
      <sz val="12"/>
      <name val="Arial"/>
      <family val="2"/>
    </font>
    <font>
      <sz val="10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sz val="10"/>
      <name val="Courier"/>
    </font>
    <font>
      <sz val="11"/>
      <color theme="1"/>
      <name val="Calibri"/>
      <family val="2"/>
      <scheme val="minor"/>
    </font>
    <font>
      <sz val="8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9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6">
    <xf numFmtId="0" fontId="0" fillId="0" borderId="0"/>
    <xf numFmtId="194" fontId="9" fillId="0" borderId="1">
      <alignment horizontal="center"/>
    </xf>
    <xf numFmtId="44" fontId="23" fillId="0" borderId="0" applyFont="0" applyFill="0" applyBorder="0" applyAlignment="0" applyProtection="0"/>
    <xf numFmtId="0" fontId="22" fillId="0" borderId="0"/>
    <xf numFmtId="0" fontId="23" fillId="0" borderId="0"/>
    <xf numFmtId="43" fontId="23" fillId="0" borderId="0" applyFont="0" applyFill="0" applyBorder="0" applyAlignment="0" applyProtection="0"/>
  </cellStyleXfs>
  <cellXfs count="245">
    <xf numFmtId="0" fontId="0" fillId="0" borderId="0" xfId="0"/>
    <xf numFmtId="0" fontId="2" fillId="0" borderId="0" xfId="0" applyFont="1" applyFill="1"/>
    <xf numFmtId="0" fontId="4" fillId="0" borderId="0" xfId="0" applyFont="1" applyFill="1"/>
    <xf numFmtId="0" fontId="8" fillId="0" borderId="0" xfId="0" applyFont="1" applyFill="1"/>
    <xf numFmtId="0" fontId="2" fillId="0" borderId="0" xfId="0" applyFont="1" applyFill="1" applyBorder="1"/>
    <xf numFmtId="0" fontId="4" fillId="0" borderId="0" xfId="0" applyFont="1" applyFill="1" applyAlignment="1">
      <alignment horizontal="left" indent="1"/>
    </xf>
    <xf numFmtId="0" fontId="4" fillId="0" borderId="0" xfId="0" applyFont="1" applyFill="1" applyBorder="1" applyAlignment="1">
      <alignment horizontal="left" indent="1"/>
    </xf>
    <xf numFmtId="0" fontId="4" fillId="0" borderId="0" xfId="0" applyFont="1" applyFill="1" applyAlignment="1">
      <alignment horizontal="center"/>
    </xf>
    <xf numFmtId="0" fontId="2" fillId="0" borderId="0" xfId="0" applyNumberFormat="1" applyFont="1" applyFill="1"/>
    <xf numFmtId="0" fontId="8" fillId="0" borderId="0" xfId="0" applyNumberFormat="1" applyFont="1" applyFill="1"/>
    <xf numFmtId="0" fontId="14" fillId="0" borderId="0" xfId="0" applyNumberFormat="1" applyFont="1" applyFill="1"/>
    <xf numFmtId="179" fontId="5" fillId="0" borderId="2" xfId="0" applyNumberFormat="1" applyFont="1" applyFill="1" applyBorder="1" applyAlignment="1" applyProtection="1">
      <alignment horizontal="center"/>
    </xf>
    <xf numFmtId="178" fontId="6" fillId="0" borderId="0" xfId="0" applyNumberFormat="1" applyFont="1" applyFill="1" applyAlignment="1" applyProtection="1"/>
    <xf numFmtId="179" fontId="6" fillId="0" borderId="0" xfId="0" applyNumberFormat="1" applyFont="1" applyFill="1" applyAlignment="1" applyProtection="1"/>
    <xf numFmtId="179" fontId="6" fillId="0" borderId="0" xfId="0" applyNumberFormat="1" applyFont="1" applyFill="1" applyBorder="1" applyAlignment="1" applyProtection="1"/>
    <xf numFmtId="0" fontId="6" fillId="0" borderId="0" xfId="0" applyFont="1" applyFill="1" applyBorder="1" applyAlignment="1" applyProtection="1"/>
    <xf numFmtId="0" fontId="6" fillId="0" borderId="3" xfId="0" applyFont="1" applyFill="1" applyBorder="1" applyAlignment="1" applyProtection="1"/>
    <xf numFmtId="180" fontId="9" fillId="0" borderId="4" xfId="0" applyNumberFormat="1" applyFont="1" applyFill="1" applyBorder="1" applyAlignment="1" applyProtection="1">
      <alignment horizontal="left" vertical="center" indent="1"/>
    </xf>
    <xf numFmtId="180" fontId="9" fillId="0" borderId="0" xfId="0" applyNumberFormat="1" applyFont="1" applyFill="1" applyBorder="1" applyAlignment="1" applyProtection="1">
      <alignment horizontal="left" vertical="center" indent="1"/>
    </xf>
    <xf numFmtId="180" fontId="9" fillId="0" borderId="5" xfId="0" applyNumberFormat="1" applyFont="1" applyFill="1" applyBorder="1" applyAlignment="1" applyProtection="1">
      <alignment horizontal="left" vertical="center" indent="1"/>
    </xf>
    <xf numFmtId="180" fontId="9" fillId="0" borderId="3" xfId="0" applyNumberFormat="1" applyFont="1" applyFill="1" applyBorder="1" applyAlignment="1" applyProtection="1">
      <alignment horizontal="left" vertical="center" indent="1"/>
    </xf>
    <xf numFmtId="0" fontId="0" fillId="0" borderId="0" xfId="0" applyNumberFormat="1" applyFill="1" applyProtection="1"/>
    <xf numFmtId="0" fontId="0" fillId="0" borderId="0" xfId="0" applyNumberFormat="1" applyFill="1" applyBorder="1" applyProtection="1"/>
    <xf numFmtId="0" fontId="13" fillId="0" borderId="0" xfId="0" applyNumberFormat="1" applyFont="1" applyFill="1" applyBorder="1" applyProtection="1"/>
    <xf numFmtId="0" fontId="0" fillId="0" borderId="0" xfId="0" applyNumberFormat="1" applyFill="1"/>
    <xf numFmtId="179" fontId="11" fillId="0" borderId="6" xfId="0" applyNumberFormat="1" applyFont="1" applyFill="1" applyBorder="1" applyAlignment="1" applyProtection="1">
      <alignment horizontal="center" vertical="center"/>
    </xf>
    <xf numFmtId="179" fontId="11" fillId="0" borderId="5" xfId="0" applyNumberFormat="1" applyFont="1" applyFill="1" applyBorder="1" applyAlignment="1" applyProtection="1">
      <alignment horizontal="center" vertical="center"/>
    </xf>
    <xf numFmtId="178" fontId="11" fillId="0" borderId="7" xfId="0" applyNumberFormat="1" applyFont="1" applyFill="1" applyBorder="1" applyAlignment="1" applyProtection="1">
      <alignment horizontal="center" vertical="center"/>
    </xf>
    <xf numFmtId="178" fontId="11" fillId="0" borderId="6" xfId="0" applyNumberFormat="1" applyFont="1" applyFill="1" applyBorder="1" applyAlignment="1" applyProtection="1">
      <alignment horizontal="center" vertical="center"/>
    </xf>
    <xf numFmtId="179" fontId="11" fillId="0" borderId="0" xfId="0" applyNumberFormat="1" applyFont="1" applyFill="1" applyBorder="1" applyAlignment="1" applyProtection="1">
      <alignment horizontal="center" vertical="center" wrapText="1"/>
    </xf>
    <xf numFmtId="179" fontId="5" fillId="0" borderId="0" xfId="0" applyNumberFormat="1" applyFont="1" applyFill="1" applyBorder="1" applyAlignment="1" applyProtection="1">
      <alignment horizontal="center"/>
    </xf>
    <xf numFmtId="179" fontId="11" fillId="0" borderId="7" xfId="0" applyNumberFormat="1" applyFont="1" applyFill="1" applyBorder="1" applyAlignment="1" applyProtection="1">
      <alignment horizontal="center" vertical="center"/>
    </xf>
    <xf numFmtId="49" fontId="11" fillId="0" borderId="8" xfId="0" applyNumberFormat="1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/>
    <xf numFmtId="49" fontId="3" fillId="0" borderId="10" xfId="0" applyNumberFormat="1" applyFont="1" applyFill="1" applyBorder="1" applyAlignment="1" applyProtection="1">
      <alignment horizontal="left" indent="1"/>
    </xf>
    <xf numFmtId="49" fontId="3" fillId="0" borderId="11" xfId="0" applyNumberFormat="1" applyFont="1" applyFill="1" applyBorder="1" applyAlignment="1" applyProtection="1">
      <alignment horizontal="left" indent="1"/>
    </xf>
    <xf numFmtId="49" fontId="3" fillId="0" borderId="0" xfId="0" applyNumberFormat="1" applyFont="1" applyFill="1" applyBorder="1" applyAlignment="1" applyProtection="1">
      <alignment horizontal="left" indent="1"/>
    </xf>
    <xf numFmtId="0" fontId="2" fillId="0" borderId="0" xfId="0" applyFont="1" applyFill="1" applyBorder="1" applyAlignment="1" applyProtection="1"/>
    <xf numFmtId="0" fontId="2" fillId="0" borderId="4" xfId="0" applyFont="1" applyFill="1" applyBorder="1" applyAlignment="1" applyProtection="1"/>
    <xf numFmtId="49" fontId="3" fillId="0" borderId="2" xfId="0" applyNumberFormat="1" applyFont="1" applyFill="1" applyBorder="1" applyAlignment="1" applyProtection="1">
      <alignment horizontal="left" indent="1"/>
    </xf>
    <xf numFmtId="0" fontId="2" fillId="0" borderId="5" xfId="0" applyFont="1" applyFill="1" applyBorder="1" applyAlignment="1" applyProtection="1"/>
    <xf numFmtId="0" fontId="2" fillId="0" borderId="0" xfId="0" applyFont="1" applyFill="1" applyAlignment="1" applyProtection="1"/>
    <xf numFmtId="0" fontId="7" fillId="0" borderId="10" xfId="0" applyFont="1" applyFill="1" applyBorder="1" applyAlignment="1" applyProtection="1"/>
    <xf numFmtId="0" fontId="15" fillId="0" borderId="12" xfId="0" applyFont="1" applyFill="1" applyBorder="1" applyAlignment="1" applyProtection="1">
      <alignment horizontal="center" vertical="center"/>
    </xf>
    <xf numFmtId="0" fontId="6" fillId="0" borderId="0" xfId="0" applyFont="1" applyFill="1" applyBorder="1" applyProtection="1"/>
    <xf numFmtId="0" fontId="5" fillId="0" borderId="10" xfId="0" applyFont="1" applyFill="1" applyBorder="1" applyAlignment="1" applyProtection="1">
      <alignment horizontal="left" indent="1"/>
    </xf>
    <xf numFmtId="0" fontId="5" fillId="0" borderId="10" xfId="0" applyFont="1" applyFill="1" applyBorder="1" applyAlignment="1" applyProtection="1">
      <alignment horizontal="left"/>
    </xf>
    <xf numFmtId="49" fontId="3" fillId="0" borderId="10" xfId="0" applyNumberFormat="1" applyFont="1" applyFill="1" applyBorder="1" applyAlignment="1" applyProtection="1">
      <alignment horizontal="left"/>
    </xf>
    <xf numFmtId="49" fontId="3" fillId="0" borderId="0" xfId="0" applyNumberFormat="1" applyFont="1" applyFill="1" applyBorder="1" applyAlignment="1" applyProtection="1">
      <alignment horizontal="left"/>
    </xf>
    <xf numFmtId="0" fontId="2" fillId="0" borderId="10" xfId="0" applyFont="1" applyFill="1" applyBorder="1" applyAlignment="1" applyProtection="1"/>
    <xf numFmtId="0" fontId="2" fillId="0" borderId="3" xfId="0" applyFont="1" applyFill="1" applyBorder="1" applyAlignment="1" applyProtection="1"/>
    <xf numFmtId="0" fontId="2" fillId="0" borderId="13" xfId="0" applyFont="1" applyFill="1" applyBorder="1" applyAlignment="1" applyProtection="1"/>
    <xf numFmtId="0" fontId="6" fillId="0" borderId="14" xfId="0" applyFont="1" applyFill="1" applyBorder="1" applyAlignment="1" applyProtection="1"/>
    <xf numFmtId="4" fontId="3" fillId="0" borderId="10" xfId="0" applyNumberFormat="1" applyFont="1" applyFill="1" applyBorder="1" applyAlignment="1" applyProtection="1">
      <alignment horizontal="left"/>
    </xf>
    <xf numFmtId="4" fontId="3" fillId="0" borderId="0" xfId="0" applyNumberFormat="1" applyFont="1" applyFill="1" applyBorder="1" applyAlignment="1" applyProtection="1">
      <alignment horizontal="left"/>
    </xf>
    <xf numFmtId="4" fontId="2" fillId="0" borderId="0" xfId="0" applyNumberFormat="1" applyFont="1" applyFill="1" applyAlignment="1" applyProtection="1"/>
    <xf numFmtId="4" fontId="7" fillId="0" borderId="10" xfId="0" applyNumberFormat="1" applyFont="1" applyFill="1" applyBorder="1" applyAlignment="1" applyProtection="1"/>
    <xf numFmtId="4" fontId="6" fillId="0" borderId="0" xfId="0" applyNumberFormat="1" applyFont="1" applyFill="1" applyAlignment="1" applyProtection="1"/>
    <xf numFmtId="4" fontId="11" fillId="0" borderId="7" xfId="0" applyNumberFormat="1" applyFont="1" applyFill="1" applyBorder="1" applyAlignment="1" applyProtection="1">
      <alignment horizontal="center" vertical="center" wrapText="1"/>
    </xf>
    <xf numFmtId="4" fontId="11" fillId="0" borderId="6" xfId="0" applyNumberFormat="1" applyFont="1" applyFill="1" applyBorder="1" applyAlignment="1" applyProtection="1">
      <alignment horizontal="center"/>
    </xf>
    <xf numFmtId="4" fontId="6" fillId="0" borderId="0" xfId="0" applyNumberFormat="1" applyFont="1" applyFill="1" applyBorder="1" applyProtection="1"/>
    <xf numFmtId="4" fontId="5" fillId="0" borderId="11" xfId="0" applyNumberFormat="1" applyFont="1" applyFill="1" applyBorder="1" applyAlignment="1" applyProtection="1">
      <alignment horizontal="left" indent="1"/>
    </xf>
    <xf numFmtId="4" fontId="2" fillId="0" borderId="0" xfId="0" applyNumberFormat="1" applyFont="1" applyFill="1"/>
    <xf numFmtId="14" fontId="6" fillId="0" borderId="0" xfId="0" applyNumberFormat="1" applyFont="1" applyFill="1" applyBorder="1" applyAlignment="1" applyProtection="1"/>
    <xf numFmtId="4" fontId="6" fillId="0" borderId="2" xfId="0" applyNumberFormat="1" applyFont="1" applyFill="1" applyBorder="1" applyAlignment="1" applyProtection="1"/>
    <xf numFmtId="14" fontId="5" fillId="0" borderId="10" xfId="0" applyNumberFormat="1" applyFont="1" applyFill="1" applyBorder="1" applyAlignment="1" applyProtection="1">
      <alignment horizontal="left" indent="1"/>
    </xf>
    <xf numFmtId="14" fontId="6" fillId="0" borderId="3" xfId="0" applyNumberFormat="1" applyFont="1" applyFill="1" applyBorder="1" applyAlignment="1" applyProtection="1"/>
    <xf numFmtId="4" fontId="9" fillId="0" borderId="15" xfId="0" applyNumberFormat="1" applyFont="1" applyFill="1" applyBorder="1" applyAlignment="1" applyProtection="1">
      <alignment horizontal="right" shrinkToFit="1"/>
    </xf>
    <xf numFmtId="4" fontId="9" fillId="0" borderId="0" xfId="0" applyNumberFormat="1" applyFont="1" applyFill="1" applyBorder="1" applyAlignment="1" applyProtection="1">
      <alignment horizontal="right" shrinkToFit="1"/>
    </xf>
    <xf numFmtId="4" fontId="10" fillId="0" borderId="16" xfId="0" applyNumberFormat="1" applyFont="1" applyFill="1" applyBorder="1" applyAlignment="1" applyProtection="1">
      <alignment horizontal="right" shrinkToFit="1"/>
    </xf>
    <xf numFmtId="4" fontId="9" fillId="0" borderId="0" xfId="0" applyNumberFormat="1" applyFont="1" applyFill="1" applyBorder="1" applyAlignment="1" applyProtection="1">
      <alignment horizontal="right"/>
    </xf>
    <xf numFmtId="0" fontId="5" fillId="0" borderId="17" xfId="0" applyFont="1" applyFill="1" applyBorder="1" applyAlignment="1" applyProtection="1">
      <alignment horizontal="left"/>
    </xf>
    <xf numFmtId="180" fontId="9" fillId="0" borderId="17" xfId="0" applyNumberFormat="1" applyFont="1" applyFill="1" applyBorder="1" applyAlignment="1" applyProtection="1">
      <alignment horizontal="left" vertical="center" indent="1"/>
    </xf>
    <xf numFmtId="4" fontId="5" fillId="0" borderId="11" xfId="0" applyNumberFormat="1" applyFont="1" applyFill="1" applyBorder="1" applyAlignment="1" applyProtection="1">
      <alignment horizontal="left"/>
    </xf>
    <xf numFmtId="0" fontId="5" fillId="0" borderId="11" xfId="0" applyFont="1" applyFill="1" applyBorder="1" applyAlignment="1" applyProtection="1">
      <alignment horizontal="left" indent="1"/>
    </xf>
    <xf numFmtId="0" fontId="2" fillId="0" borderId="0" xfId="0" applyFont="1" applyFill="1" applyProtection="1"/>
    <xf numFmtId="0" fontId="8" fillId="0" borderId="0" xfId="0" applyFont="1" applyFill="1" applyProtection="1"/>
    <xf numFmtId="0" fontId="2" fillId="0" borderId="0" xfId="0" applyNumberFormat="1" applyFont="1" applyFill="1" applyProtection="1"/>
    <xf numFmtId="0" fontId="8" fillId="0" borderId="0" xfId="0" applyNumberFormat="1" applyFont="1" applyFill="1" applyProtection="1"/>
    <xf numFmtId="0" fontId="14" fillId="0" borderId="0" xfId="0" applyNumberFormat="1" applyFont="1" applyFill="1" applyProtection="1"/>
    <xf numFmtId="0" fontId="4" fillId="0" borderId="0" xfId="0" applyFont="1" applyFill="1" applyAlignment="1" applyProtection="1">
      <alignment horizontal="center"/>
    </xf>
    <xf numFmtId="0" fontId="4" fillId="0" borderId="0" xfId="0" applyFont="1" applyFill="1" applyProtection="1"/>
    <xf numFmtId="4" fontId="2" fillId="0" borderId="0" xfId="0" applyNumberFormat="1" applyFont="1" applyFill="1" applyProtection="1"/>
    <xf numFmtId="0" fontId="2" fillId="0" borderId="10" xfId="0" applyFont="1" applyFill="1" applyBorder="1" applyAlignment="1" applyProtection="1">
      <protection locked="0"/>
    </xf>
    <xf numFmtId="0" fontId="10" fillId="0" borderId="5" xfId="0" applyNumberFormat="1" applyFont="1" applyFill="1" applyBorder="1" applyAlignment="1" applyProtection="1">
      <alignment horizontal="left" indent="1"/>
    </xf>
    <xf numFmtId="0" fontId="10" fillId="0" borderId="3" xfId="0" applyNumberFormat="1" applyFont="1" applyFill="1" applyBorder="1" applyAlignment="1" applyProtection="1">
      <alignment horizontal="left" indent="1"/>
    </xf>
    <xf numFmtId="0" fontId="10" fillId="0" borderId="14" xfId="0" applyNumberFormat="1" applyFont="1" applyFill="1" applyBorder="1" applyAlignment="1" applyProtection="1">
      <alignment horizontal="left" indent="1"/>
    </xf>
    <xf numFmtId="2" fontId="2" fillId="0" borderId="0" xfId="0" applyNumberFormat="1" applyFont="1" applyFill="1"/>
    <xf numFmtId="179" fontId="11" fillId="0" borderId="6" xfId="0" applyNumberFormat="1" applyFont="1" applyFill="1" applyBorder="1" applyAlignment="1" applyProtection="1">
      <alignment horizontal="center" vertical="center" wrapText="1"/>
    </xf>
    <xf numFmtId="179" fontId="11" fillId="0" borderId="18" xfId="0" applyNumberFormat="1" applyFont="1" applyFill="1" applyBorder="1" applyAlignment="1" applyProtection="1">
      <alignment horizontal="center" vertical="center"/>
    </xf>
    <xf numFmtId="179" fontId="11" fillId="0" borderId="19" xfId="0" applyNumberFormat="1" applyFont="1" applyFill="1" applyBorder="1" applyAlignment="1" applyProtection="1">
      <alignment horizontal="center" vertical="center"/>
    </xf>
    <xf numFmtId="179" fontId="11" fillId="0" borderId="16" xfId="0" applyNumberFormat="1" applyFont="1" applyFill="1" applyBorder="1" applyAlignment="1" applyProtection="1">
      <alignment horizontal="center" vertical="center"/>
    </xf>
    <xf numFmtId="179" fontId="11" fillId="0" borderId="16" xfId="0" applyNumberFormat="1" applyFont="1" applyFill="1" applyBorder="1" applyAlignment="1" applyProtection="1">
      <alignment vertical="center" wrapText="1"/>
    </xf>
    <xf numFmtId="39" fontId="10" fillId="0" borderId="0" xfId="0" applyNumberFormat="1" applyFont="1" applyFill="1" applyBorder="1" applyAlignment="1" applyProtection="1">
      <alignment horizontal="right" shrinkToFit="1"/>
    </xf>
    <xf numFmtId="39" fontId="10" fillId="0" borderId="0" xfId="0" applyNumberFormat="1" applyFont="1" applyFill="1" applyBorder="1" applyAlignment="1" applyProtection="1">
      <alignment shrinkToFit="1"/>
    </xf>
    <xf numFmtId="206" fontId="16" fillId="0" borderId="0" xfId="0" applyNumberFormat="1" applyFont="1" applyFill="1" applyBorder="1" applyAlignment="1" applyProtection="1">
      <alignment horizontal="right" shrinkToFit="1"/>
    </xf>
    <xf numFmtId="206" fontId="9" fillId="0" borderId="0" xfId="0" applyNumberFormat="1" applyFont="1" applyFill="1" applyBorder="1" applyAlignment="1" applyProtection="1">
      <alignment horizontal="right" shrinkToFit="1"/>
    </xf>
    <xf numFmtId="206" fontId="9" fillId="2" borderId="16" xfId="0" applyNumberFormat="1" applyFont="1" applyFill="1" applyBorder="1" applyAlignment="1" applyProtection="1">
      <alignment horizontal="center" vertical="center" shrinkToFit="1"/>
    </xf>
    <xf numFmtId="49" fontId="17" fillId="0" borderId="10" xfId="0" applyNumberFormat="1" applyFont="1" applyFill="1" applyBorder="1" applyAlignment="1" applyProtection="1">
      <alignment horizontal="left" vertical="center"/>
    </xf>
    <xf numFmtId="49" fontId="17" fillId="0" borderId="0" xfId="0" applyNumberFormat="1" applyFont="1" applyFill="1" applyBorder="1" applyAlignment="1" applyProtection="1">
      <alignment horizontal="left" vertical="center"/>
    </xf>
    <xf numFmtId="0" fontId="7" fillId="0" borderId="9" xfId="0" applyFont="1" applyFill="1" applyBorder="1" applyAlignment="1" applyProtection="1">
      <alignment vertical="center"/>
    </xf>
    <xf numFmtId="0" fontId="5" fillId="0" borderId="9" xfId="0" applyFont="1" applyFill="1" applyBorder="1" applyAlignment="1" applyProtection="1">
      <alignment horizontal="left" vertical="center"/>
    </xf>
    <xf numFmtId="182" fontId="12" fillId="0" borderId="20" xfId="0" applyNumberFormat="1" applyFont="1" applyFill="1" applyBorder="1" applyAlignment="1" applyProtection="1">
      <alignment horizontal="center" vertical="center"/>
    </xf>
    <xf numFmtId="0" fontId="10" fillId="0" borderId="21" xfId="0" applyFont="1" applyFill="1" applyBorder="1" applyAlignment="1" applyProtection="1">
      <alignment horizontal="center" vertical="center"/>
    </xf>
    <xf numFmtId="179" fontId="11" fillId="0" borderId="9" xfId="0" applyNumberFormat="1" applyFont="1" applyFill="1" applyBorder="1" applyAlignment="1" applyProtection="1">
      <alignment horizontal="center" vertical="center"/>
    </xf>
    <xf numFmtId="4" fontId="11" fillId="0" borderId="6" xfId="0" applyNumberFormat="1" applyFont="1" applyFill="1" applyBorder="1" applyAlignment="1" applyProtection="1">
      <alignment horizontal="center" vertical="center"/>
    </xf>
    <xf numFmtId="179" fontId="5" fillId="0" borderId="0" xfId="0" applyNumberFormat="1" applyFont="1" applyFill="1" applyBorder="1" applyAlignment="1" applyProtection="1">
      <alignment horizontal="center" vertical="center"/>
    </xf>
    <xf numFmtId="182" fontId="9" fillId="0" borderId="8" xfId="0" applyNumberFormat="1" applyFont="1" applyFill="1" applyBorder="1" applyAlignment="1" applyProtection="1">
      <alignment horizontal="center" vertical="center"/>
    </xf>
    <xf numFmtId="4" fontId="9" fillId="0" borderId="15" xfId="0" applyNumberFormat="1" applyFont="1" applyFill="1" applyBorder="1" applyAlignment="1" applyProtection="1">
      <alignment horizontal="right" vertical="center"/>
    </xf>
    <xf numFmtId="206" fontId="9" fillId="3" borderId="15" xfId="0" applyNumberFormat="1" applyFont="1" applyFill="1" applyBorder="1" applyAlignment="1" applyProtection="1">
      <alignment horizontal="right" vertical="center" shrinkToFit="1"/>
      <protection locked="0"/>
    </xf>
    <xf numFmtId="206" fontId="9" fillId="3" borderId="8" xfId="0" applyNumberFormat="1" applyFont="1" applyFill="1" applyBorder="1" applyAlignment="1" applyProtection="1">
      <alignment horizontal="right" vertical="center" shrinkToFit="1"/>
      <protection locked="0"/>
    </xf>
    <xf numFmtId="206" fontId="9" fillId="0" borderId="15" xfId="0" applyNumberFormat="1" applyFont="1" applyFill="1" applyBorder="1" applyAlignment="1" applyProtection="1">
      <alignment horizontal="right" vertical="center" shrinkToFit="1"/>
    </xf>
    <xf numFmtId="206" fontId="9" fillId="0" borderId="22" xfId="0" applyNumberFormat="1" applyFont="1" applyFill="1" applyBorder="1" applyAlignment="1" applyProtection="1">
      <alignment horizontal="right" vertical="center" shrinkToFit="1"/>
    </xf>
    <xf numFmtId="4" fontId="9" fillId="0" borderId="15" xfId="0" applyNumberFormat="1" applyFont="1" applyFill="1" applyBorder="1" applyAlignment="1" applyProtection="1">
      <alignment horizontal="right" vertical="center" shrinkToFit="1"/>
    </xf>
    <xf numFmtId="4" fontId="9" fillId="0" borderId="0" xfId="0" applyNumberFormat="1" applyFont="1" applyFill="1" applyBorder="1" applyAlignment="1" applyProtection="1">
      <alignment horizontal="right" vertical="center" shrinkToFit="1"/>
    </xf>
    <xf numFmtId="206" fontId="9" fillId="0" borderId="8" xfId="0" applyNumberFormat="1" applyFont="1" applyFill="1" applyBorder="1" applyAlignment="1" applyProtection="1">
      <alignment horizontal="right" vertical="center" shrinkToFit="1"/>
    </xf>
    <xf numFmtId="206" fontId="16" fillId="3" borderId="8" xfId="0" applyNumberFormat="1" applyFont="1" applyFill="1" applyBorder="1" applyAlignment="1" applyProtection="1">
      <alignment horizontal="center" vertical="center" shrinkToFit="1"/>
      <protection locked="0"/>
    </xf>
    <xf numFmtId="182" fontId="9" fillId="0" borderId="22" xfId="0" applyNumberFormat="1" applyFont="1" applyFill="1" applyBorder="1" applyAlignment="1" applyProtection="1">
      <alignment horizontal="center" vertical="center"/>
    </xf>
    <xf numFmtId="4" fontId="9" fillId="0" borderId="22" xfId="0" applyNumberFormat="1" applyFont="1" applyFill="1" applyBorder="1" applyAlignment="1" applyProtection="1">
      <alignment horizontal="right" vertical="center"/>
    </xf>
    <xf numFmtId="206" fontId="9" fillId="3" borderId="22" xfId="0" applyNumberFormat="1" applyFont="1" applyFill="1" applyBorder="1" applyAlignment="1" applyProtection="1">
      <alignment horizontal="right" vertical="center" shrinkToFit="1"/>
      <protection locked="0"/>
    </xf>
    <xf numFmtId="206" fontId="16" fillId="3" borderId="22" xfId="0" applyNumberFormat="1" applyFont="1" applyFill="1" applyBorder="1" applyAlignment="1" applyProtection="1">
      <alignment horizontal="center" vertical="center" shrinkToFit="1"/>
      <protection locked="0"/>
    </xf>
    <xf numFmtId="206" fontId="9" fillId="0" borderId="12" xfId="0" applyNumberFormat="1" applyFont="1" applyFill="1" applyBorder="1" applyAlignment="1" applyProtection="1">
      <alignment horizontal="right" vertical="center" shrinkToFit="1"/>
    </xf>
    <xf numFmtId="206" fontId="16" fillId="3" borderId="12" xfId="0" applyNumberFormat="1" applyFont="1" applyFill="1" applyBorder="1" applyAlignment="1" applyProtection="1">
      <alignment horizontal="center" vertical="center" shrinkToFit="1"/>
      <protection locked="0"/>
    </xf>
    <xf numFmtId="39" fontId="10" fillId="0" borderId="16" xfId="0" applyNumberFormat="1" applyFont="1" applyFill="1" applyBorder="1" applyAlignment="1" applyProtection="1">
      <alignment horizontal="right" vertical="center" shrinkToFit="1"/>
    </xf>
    <xf numFmtId="206" fontId="16" fillId="2" borderId="16" xfId="0" applyNumberFormat="1" applyFont="1" applyFill="1" applyBorder="1" applyAlignment="1" applyProtection="1">
      <alignment horizontal="right" vertical="center" shrinkToFit="1"/>
    </xf>
    <xf numFmtId="206" fontId="9" fillId="2" borderId="16" xfId="0" applyNumberFormat="1" applyFont="1" applyFill="1" applyBorder="1" applyAlignment="1" applyProtection="1">
      <alignment horizontal="right" vertical="center" shrinkToFit="1"/>
    </xf>
    <xf numFmtId="39" fontId="10" fillId="0" borderId="16" xfId="0" applyNumberFormat="1" applyFont="1" applyFill="1" applyBorder="1" applyAlignment="1" applyProtection="1">
      <alignment vertical="center" shrinkToFit="1"/>
    </xf>
    <xf numFmtId="182" fontId="9" fillId="0" borderId="23" xfId="0" applyNumberFormat="1" applyFont="1" applyFill="1" applyBorder="1" applyAlignment="1" applyProtection="1">
      <alignment horizontal="center" vertical="center"/>
    </xf>
    <xf numFmtId="206" fontId="9" fillId="3" borderId="23" xfId="0" applyNumberFormat="1" applyFont="1" applyFill="1" applyBorder="1" applyAlignment="1" applyProtection="1">
      <alignment horizontal="right" vertical="center" shrinkToFit="1"/>
      <protection locked="0"/>
    </xf>
    <xf numFmtId="4" fontId="10" fillId="0" borderId="21" xfId="0" applyNumberFormat="1" applyFont="1" applyFill="1" applyBorder="1" applyAlignment="1" applyProtection="1">
      <alignment horizontal="right" vertical="center"/>
    </xf>
    <xf numFmtId="4" fontId="9" fillId="0" borderId="21" xfId="0" applyNumberFormat="1" applyFont="1" applyFill="1" applyBorder="1" applyAlignment="1" applyProtection="1">
      <alignment horizontal="right" vertical="center"/>
    </xf>
    <xf numFmtId="206" fontId="10" fillId="2" borderId="20" xfId="0" applyNumberFormat="1" applyFont="1" applyFill="1" applyBorder="1" applyAlignment="1" applyProtection="1">
      <alignment horizontal="right" vertical="center" shrinkToFit="1"/>
    </xf>
    <xf numFmtId="182" fontId="5" fillId="0" borderId="16" xfId="0" applyNumberFormat="1" applyFont="1" applyFill="1" applyBorder="1" applyAlignment="1" applyProtection="1">
      <alignment horizontal="center" vertical="center"/>
    </xf>
    <xf numFmtId="4" fontId="9" fillId="0" borderId="16" xfId="0" applyNumberFormat="1" applyFont="1" applyFill="1" applyBorder="1" applyAlignment="1" applyProtection="1">
      <alignment horizontal="right" vertical="center"/>
    </xf>
    <xf numFmtId="182" fontId="9" fillId="0" borderId="15" xfId="0" applyNumberFormat="1" applyFont="1" applyFill="1" applyBorder="1" applyAlignment="1" applyProtection="1">
      <alignment horizontal="center" vertical="center"/>
    </xf>
    <xf numFmtId="206" fontId="9" fillId="0" borderId="23" xfId="0" applyNumberFormat="1" applyFont="1" applyFill="1" applyBorder="1" applyAlignment="1" applyProtection="1">
      <alignment horizontal="right" vertical="center" shrinkToFit="1"/>
    </xf>
    <xf numFmtId="206" fontId="16" fillId="3" borderId="23" xfId="0" applyNumberFormat="1" applyFont="1" applyFill="1" applyBorder="1" applyAlignment="1" applyProtection="1">
      <alignment horizontal="center" vertical="center" shrinkToFit="1"/>
      <protection locked="0"/>
    </xf>
    <xf numFmtId="206" fontId="9" fillId="3" borderId="12" xfId="0" applyNumberFormat="1" applyFont="1" applyFill="1" applyBorder="1" applyAlignment="1" applyProtection="1">
      <alignment horizontal="right" vertical="center" shrinkToFit="1"/>
      <protection locked="0"/>
    </xf>
    <xf numFmtId="208" fontId="9" fillId="3" borderId="8" xfId="0" applyNumberFormat="1" applyFont="1" applyFill="1" applyBorder="1" applyAlignment="1" applyProtection="1">
      <alignment horizontal="center" vertical="center" shrinkToFit="1"/>
      <protection locked="0"/>
    </xf>
    <xf numFmtId="206" fontId="9" fillId="3" borderId="8" xfId="0" applyNumberFormat="1" applyFont="1" applyFill="1" applyBorder="1" applyAlignment="1" applyProtection="1">
      <alignment vertical="center" shrinkToFit="1"/>
      <protection locked="0"/>
    </xf>
    <xf numFmtId="208" fontId="9" fillId="3" borderId="22" xfId="0" applyNumberFormat="1" applyFont="1" applyFill="1" applyBorder="1" applyAlignment="1" applyProtection="1">
      <alignment horizontal="center" vertical="center" shrinkToFit="1"/>
      <protection locked="0"/>
    </xf>
    <xf numFmtId="206" fontId="9" fillId="3" borderId="22" xfId="0" applyNumberFormat="1" applyFont="1" applyFill="1" applyBorder="1" applyAlignment="1" applyProtection="1">
      <alignment vertical="center" shrinkToFit="1"/>
      <protection locked="0"/>
    </xf>
    <xf numFmtId="208" fontId="9" fillId="3" borderId="12" xfId="0" applyNumberFormat="1" applyFont="1" applyFill="1" applyBorder="1" applyAlignment="1" applyProtection="1">
      <alignment horizontal="center" vertical="center" shrinkToFit="1"/>
      <protection locked="0"/>
    </xf>
    <xf numFmtId="206" fontId="9" fillId="3" borderId="12" xfId="0" applyNumberFormat="1" applyFont="1" applyFill="1" applyBorder="1" applyAlignment="1" applyProtection="1">
      <alignment vertical="center" shrinkToFit="1"/>
      <protection locked="0"/>
    </xf>
    <xf numFmtId="208" fontId="9" fillId="3" borderId="23" xfId="0" applyNumberFormat="1" applyFont="1" applyFill="1" applyBorder="1" applyAlignment="1" applyProtection="1">
      <alignment horizontal="center" vertical="center" shrinkToFit="1"/>
      <protection locked="0"/>
    </xf>
    <xf numFmtId="206" fontId="9" fillId="3" borderId="23" xfId="0" applyNumberFormat="1" applyFont="1" applyFill="1" applyBorder="1" applyAlignment="1" applyProtection="1">
      <alignment vertical="center" shrinkToFit="1"/>
      <protection locked="0"/>
    </xf>
    <xf numFmtId="0" fontId="9" fillId="0" borderId="0" xfId="0" applyNumberFormat="1" applyFont="1" applyFill="1" applyAlignment="1" applyProtection="1">
      <alignment horizontal="left" vertical="center" wrapText="1" indent="1"/>
    </xf>
    <xf numFmtId="0" fontId="0" fillId="0" borderId="0" xfId="0" applyFill="1" applyProtection="1"/>
    <xf numFmtId="0" fontId="0" fillId="0" borderId="0" xfId="0" applyFill="1"/>
    <xf numFmtId="0" fontId="0" fillId="0" borderId="0" xfId="0" applyFill="1" applyAlignment="1">
      <alignment horizontal="left" indent="1"/>
    </xf>
    <xf numFmtId="206" fontId="9" fillId="3" borderId="8" xfId="3" applyNumberFormat="1" applyFont="1" applyFill="1" applyBorder="1" applyAlignment="1" applyProtection="1">
      <alignment horizontal="right" vertical="center" shrinkToFit="1"/>
      <protection locked="0"/>
    </xf>
    <xf numFmtId="206" fontId="9" fillId="3" borderId="22" xfId="3" applyNumberFormat="1" applyFont="1" applyFill="1" applyBorder="1" applyAlignment="1" applyProtection="1">
      <alignment horizontal="right" vertical="center" shrinkToFit="1"/>
      <protection locked="0"/>
    </xf>
    <xf numFmtId="0" fontId="21" fillId="0" borderId="0" xfId="0" applyNumberFormat="1" applyFont="1" applyFill="1" applyAlignment="1" applyProtection="1">
      <alignment horizontal="left" vertical="center" wrapText="1" indent="1"/>
    </xf>
    <xf numFmtId="0" fontId="10" fillId="0" borderId="0" xfId="0" applyNumberFormat="1" applyFont="1" applyFill="1" applyAlignment="1" applyProtection="1">
      <alignment horizontal="left" vertical="center" wrapText="1"/>
    </xf>
    <xf numFmtId="49" fontId="21" fillId="0" borderId="0" xfId="0" applyNumberFormat="1" applyFont="1" applyFill="1" applyAlignment="1" applyProtection="1">
      <alignment horizontal="left" vertical="center" wrapText="1" indent="1"/>
    </xf>
    <xf numFmtId="0" fontId="10" fillId="3" borderId="4" xfId="0" applyFont="1" applyFill="1" applyBorder="1" applyAlignment="1" applyProtection="1">
      <alignment horizontal="left" vertical="center" wrapText="1"/>
    </xf>
    <xf numFmtId="0" fontId="10" fillId="3" borderId="0" xfId="0" applyFont="1" applyFill="1" applyBorder="1" applyAlignment="1" applyProtection="1">
      <alignment horizontal="left" vertical="center" wrapText="1"/>
    </xf>
    <xf numFmtId="0" fontId="10" fillId="3" borderId="2" xfId="0" applyFont="1" applyFill="1" applyBorder="1" applyAlignment="1" applyProtection="1">
      <alignment horizontal="left" vertical="center" wrapText="1"/>
    </xf>
    <xf numFmtId="208" fontId="9" fillId="3" borderId="22" xfId="0" applyNumberFormat="1" applyFont="1" applyFill="1" applyBorder="1" applyAlignment="1" applyProtection="1">
      <alignment horizontal="center" vertical="center" shrinkToFit="1"/>
      <protection locked="0"/>
    </xf>
    <xf numFmtId="208" fontId="9" fillId="3" borderId="23" xfId="0" applyNumberFormat="1" applyFont="1" applyFill="1" applyBorder="1" applyAlignment="1" applyProtection="1">
      <alignment horizontal="center" vertical="center" shrinkToFit="1"/>
      <protection locked="0"/>
    </xf>
    <xf numFmtId="206" fontId="9" fillId="2" borderId="16" xfId="0" applyNumberFormat="1" applyFont="1" applyFill="1" applyBorder="1" applyAlignment="1" applyProtection="1">
      <alignment horizontal="center" vertical="center" shrinkToFit="1"/>
    </xf>
    <xf numFmtId="206" fontId="9" fillId="0" borderId="0" xfId="0" applyNumberFormat="1" applyFont="1" applyFill="1" applyBorder="1" applyAlignment="1" applyProtection="1">
      <alignment horizontal="center" shrinkToFit="1"/>
    </xf>
    <xf numFmtId="0" fontId="10" fillId="3" borderId="9" xfId="0" applyFont="1" applyFill="1" applyBorder="1" applyAlignment="1" applyProtection="1">
      <alignment horizontal="left"/>
    </xf>
    <xf numFmtId="0" fontId="10" fillId="3" borderId="10" xfId="0" applyFont="1" applyFill="1" applyBorder="1" applyAlignment="1" applyProtection="1">
      <alignment horizontal="left"/>
    </xf>
    <xf numFmtId="0" fontId="10" fillId="3" borderId="11" xfId="0" applyFont="1" applyFill="1" applyBorder="1" applyAlignment="1" applyProtection="1">
      <alignment horizontal="left"/>
    </xf>
    <xf numFmtId="0" fontId="7" fillId="0" borderId="9" xfId="0" applyFont="1" applyFill="1" applyBorder="1" applyAlignment="1" applyProtection="1">
      <alignment horizontal="left" vertical="center"/>
    </xf>
    <xf numFmtId="0" fontId="7" fillId="0" borderId="10" xfId="0" applyFont="1" applyFill="1" applyBorder="1" applyAlignment="1" applyProtection="1">
      <alignment horizontal="left" vertical="center"/>
    </xf>
    <xf numFmtId="0" fontId="7" fillId="0" borderId="11" xfId="0" applyFont="1" applyFill="1" applyBorder="1" applyAlignment="1" applyProtection="1">
      <alignment horizontal="left" vertical="center"/>
    </xf>
    <xf numFmtId="0" fontId="6" fillId="0" borderId="4" xfId="0" applyNumberFormat="1" applyFont="1" applyFill="1" applyBorder="1" applyAlignment="1" applyProtection="1">
      <alignment horizontal="left" vertical="center" indent="1"/>
    </xf>
    <xf numFmtId="0" fontId="6" fillId="0" borderId="0" xfId="0" applyNumberFormat="1" applyFont="1" applyFill="1" applyBorder="1" applyAlignment="1" applyProtection="1">
      <alignment horizontal="left" vertical="center" indent="1"/>
    </xf>
    <xf numFmtId="0" fontId="6" fillId="0" borderId="2" xfId="0" applyNumberFormat="1" applyFont="1" applyFill="1" applyBorder="1" applyAlignment="1" applyProtection="1">
      <alignment horizontal="left" vertical="center" indent="1"/>
    </xf>
    <xf numFmtId="0" fontId="6" fillId="0" borderId="5" xfId="0" applyNumberFormat="1" applyFont="1" applyFill="1" applyBorder="1" applyAlignment="1" applyProtection="1">
      <alignment horizontal="left" vertical="center" indent="1"/>
    </xf>
    <xf numFmtId="0" fontId="6" fillId="0" borderId="3" xfId="0" applyNumberFormat="1" applyFont="1" applyFill="1" applyBorder="1" applyAlignment="1" applyProtection="1">
      <alignment horizontal="left" vertical="center" indent="1"/>
    </xf>
    <xf numFmtId="0" fontId="6" fillId="0" borderId="14" xfId="0" applyNumberFormat="1" applyFont="1" applyFill="1" applyBorder="1" applyAlignment="1" applyProtection="1">
      <alignment horizontal="left" vertical="center" indent="1"/>
    </xf>
    <xf numFmtId="210" fontId="6" fillId="0" borderId="4" xfId="0" applyNumberFormat="1" applyFont="1" applyFill="1" applyBorder="1" applyAlignment="1" applyProtection="1">
      <alignment horizontal="left" vertical="center"/>
    </xf>
    <xf numFmtId="210" fontId="6" fillId="0" borderId="0" xfId="0" applyNumberFormat="1" applyFont="1" applyFill="1" applyBorder="1" applyAlignment="1" applyProtection="1">
      <alignment horizontal="left" vertical="center"/>
    </xf>
    <xf numFmtId="210" fontId="6" fillId="0" borderId="2" xfId="0" applyNumberFormat="1" applyFont="1" applyFill="1" applyBorder="1" applyAlignment="1" applyProtection="1">
      <alignment horizontal="left" vertical="center"/>
    </xf>
    <xf numFmtId="210" fontId="6" fillId="0" borderId="5" xfId="0" applyNumberFormat="1" applyFont="1" applyFill="1" applyBorder="1" applyAlignment="1" applyProtection="1">
      <alignment horizontal="left" vertical="center"/>
    </xf>
    <xf numFmtId="210" fontId="6" fillId="0" borderId="3" xfId="0" applyNumberFormat="1" applyFont="1" applyFill="1" applyBorder="1" applyAlignment="1" applyProtection="1">
      <alignment horizontal="left" vertical="center"/>
    </xf>
    <xf numFmtId="210" fontId="6" fillId="0" borderId="14" xfId="0" applyNumberFormat="1" applyFont="1" applyFill="1" applyBorder="1" applyAlignment="1" applyProtection="1">
      <alignment horizontal="left" vertical="center"/>
    </xf>
    <xf numFmtId="0" fontId="10" fillId="3" borderId="5" xfId="0" applyFont="1" applyFill="1" applyBorder="1" applyAlignment="1" applyProtection="1">
      <alignment horizontal="left"/>
    </xf>
    <xf numFmtId="0" fontId="10" fillId="3" borderId="3" xfId="0" applyFont="1" applyFill="1" applyBorder="1" applyAlignment="1" applyProtection="1">
      <alignment horizontal="left"/>
    </xf>
    <xf numFmtId="0" fontId="10" fillId="3" borderId="14" xfId="0" applyFont="1" applyFill="1" applyBorder="1" applyAlignment="1" applyProtection="1">
      <alignment horizontal="left"/>
    </xf>
    <xf numFmtId="0" fontId="10" fillId="0" borderId="3" xfId="0" applyFont="1" applyFill="1" applyBorder="1" applyAlignment="1" applyProtection="1">
      <alignment horizontal="left"/>
      <protection locked="0"/>
    </xf>
    <xf numFmtId="0" fontId="5" fillId="0" borderId="9" xfId="0" applyFont="1" applyFill="1" applyBorder="1" applyAlignment="1" applyProtection="1">
      <alignment horizontal="left" vertical="center"/>
    </xf>
    <xf numFmtId="0" fontId="5" fillId="0" borderId="10" xfId="0" applyFont="1" applyFill="1" applyBorder="1" applyAlignment="1" applyProtection="1">
      <alignment horizontal="left" vertical="center"/>
    </xf>
    <xf numFmtId="49" fontId="5" fillId="0" borderId="9" xfId="0" applyNumberFormat="1" applyFont="1" applyFill="1" applyBorder="1" applyAlignment="1" applyProtection="1">
      <alignment horizontal="left" vertical="center" indent="1"/>
    </xf>
    <xf numFmtId="49" fontId="5" fillId="0" borderId="10" xfId="0" applyNumberFormat="1" applyFont="1" applyFill="1" applyBorder="1" applyAlignment="1" applyProtection="1">
      <alignment horizontal="left" vertical="center" indent="1"/>
    </xf>
    <xf numFmtId="178" fontId="11" fillId="0" borderId="7" xfId="0" applyNumberFormat="1" applyFont="1" applyFill="1" applyBorder="1" applyAlignment="1" applyProtection="1">
      <alignment horizontal="center" vertical="center"/>
    </xf>
    <xf numFmtId="178" fontId="11" fillId="0" borderId="6" xfId="0" applyNumberFormat="1" applyFont="1" applyFill="1" applyBorder="1" applyAlignment="1" applyProtection="1">
      <alignment horizontal="center" vertical="center"/>
    </xf>
    <xf numFmtId="179" fontId="11" fillId="0" borderId="21" xfId="0" applyNumberFormat="1" applyFont="1" applyFill="1" applyBorder="1" applyAlignment="1" applyProtection="1">
      <alignment horizontal="center" vertical="center"/>
    </xf>
    <xf numFmtId="179" fontId="11" fillId="0" borderId="13" xfId="0" applyNumberFormat="1" applyFont="1" applyFill="1" applyBorder="1" applyAlignment="1" applyProtection="1">
      <alignment horizontal="center" vertical="center"/>
    </xf>
    <xf numFmtId="179" fontId="11" fillId="0" borderId="8" xfId="0" applyNumberFormat="1" applyFont="1" applyFill="1" applyBorder="1" applyAlignment="1" applyProtection="1">
      <alignment horizontal="center" vertical="center"/>
    </xf>
    <xf numFmtId="179" fontId="11" fillId="0" borderId="12" xfId="0" applyNumberFormat="1" applyFont="1" applyFill="1" applyBorder="1" applyAlignment="1" applyProtection="1">
      <alignment horizontal="center" vertical="center"/>
    </xf>
    <xf numFmtId="179" fontId="11" fillId="0" borderId="9" xfId="0" applyNumberFormat="1" applyFont="1" applyFill="1" applyBorder="1" applyAlignment="1" applyProtection="1">
      <alignment horizontal="center" vertical="center"/>
    </xf>
    <xf numFmtId="179" fontId="11" fillId="0" borderId="11" xfId="0" applyNumberFormat="1" applyFont="1" applyFill="1" applyBorder="1" applyAlignment="1" applyProtection="1">
      <alignment horizontal="center" vertical="center"/>
    </xf>
    <xf numFmtId="49" fontId="11" fillId="0" borderId="8" xfId="0" applyNumberFormat="1" applyFont="1" applyFill="1" applyBorder="1" applyAlignment="1" applyProtection="1">
      <alignment horizontal="center" vertical="center" wrapText="1"/>
    </xf>
    <xf numFmtId="49" fontId="11" fillId="0" borderId="12" xfId="0" applyNumberFormat="1" applyFont="1" applyFill="1" applyBorder="1" applyAlignment="1" applyProtection="1">
      <alignment horizontal="center" vertical="center" wrapText="1"/>
    </xf>
    <xf numFmtId="49" fontId="9" fillId="0" borderId="0" xfId="0" applyNumberFormat="1" applyFont="1" applyFill="1" applyBorder="1" applyAlignment="1" applyProtection="1">
      <alignment horizontal="center" vertical="center"/>
    </xf>
    <xf numFmtId="179" fontId="5" fillId="0" borderId="13" xfId="0" applyNumberFormat="1" applyFont="1" applyFill="1" applyBorder="1" applyAlignment="1" applyProtection="1">
      <alignment horizontal="center" vertical="center"/>
    </xf>
    <xf numFmtId="179" fontId="5" fillId="0" borderId="20" xfId="0" applyNumberFormat="1" applyFont="1" applyFill="1" applyBorder="1" applyAlignment="1" applyProtection="1">
      <alignment horizontal="center" vertical="center"/>
    </xf>
    <xf numFmtId="198" fontId="10" fillId="0" borderId="16" xfId="0" applyNumberFormat="1" applyFont="1" applyFill="1" applyBorder="1" applyAlignment="1" applyProtection="1">
      <alignment horizontal="center"/>
    </xf>
    <xf numFmtId="208" fontId="9" fillId="3" borderId="8" xfId="0" applyNumberFormat="1" applyFont="1" applyFill="1" applyBorder="1" applyAlignment="1" applyProtection="1">
      <alignment horizontal="center" vertical="center" shrinkToFit="1"/>
      <protection locked="0"/>
    </xf>
    <xf numFmtId="203" fontId="10" fillId="0" borderId="5" xfId="0" applyNumberFormat="1" applyFont="1" applyFill="1" applyBorder="1" applyAlignment="1" applyProtection="1">
      <alignment horizontal="left" indent="1"/>
    </xf>
    <xf numFmtId="203" fontId="10" fillId="0" borderId="3" xfId="0" applyNumberFormat="1" applyFont="1" applyFill="1" applyBorder="1" applyAlignment="1" applyProtection="1">
      <alignment horizontal="left" indent="1"/>
    </xf>
    <xf numFmtId="203" fontId="10" fillId="0" borderId="14" xfId="0" applyNumberFormat="1" applyFont="1" applyFill="1" applyBorder="1" applyAlignment="1" applyProtection="1">
      <alignment horizontal="left" indent="1"/>
    </xf>
    <xf numFmtId="3" fontId="10" fillId="0" borderId="5" xfId="0" applyNumberFormat="1" applyFont="1" applyFill="1" applyBorder="1" applyAlignment="1" applyProtection="1">
      <alignment horizontal="left" indent="1"/>
    </xf>
    <xf numFmtId="3" fontId="10" fillId="0" borderId="3" xfId="0" applyNumberFormat="1" applyFont="1" applyFill="1" applyBorder="1" applyAlignment="1" applyProtection="1">
      <alignment horizontal="left" indent="1"/>
    </xf>
    <xf numFmtId="3" fontId="10" fillId="0" borderId="14" xfId="0" applyNumberFormat="1" applyFont="1" applyFill="1" applyBorder="1" applyAlignment="1" applyProtection="1">
      <alignment horizontal="left" indent="1"/>
    </xf>
    <xf numFmtId="49" fontId="18" fillId="0" borderId="0" xfId="0" applyNumberFormat="1" applyFont="1" applyFill="1" applyBorder="1" applyAlignment="1" applyProtection="1">
      <alignment horizontal="center" vertical="center"/>
    </xf>
    <xf numFmtId="49" fontId="18" fillId="0" borderId="2" xfId="0" applyNumberFormat="1" applyFont="1" applyFill="1" applyBorder="1" applyAlignment="1" applyProtection="1">
      <alignment horizontal="center" vertical="center"/>
    </xf>
    <xf numFmtId="49" fontId="18" fillId="0" borderId="3" xfId="0" applyNumberFormat="1" applyFont="1" applyFill="1" applyBorder="1" applyAlignment="1" applyProtection="1">
      <alignment horizontal="center" vertical="center"/>
    </xf>
    <xf numFmtId="49" fontId="18" fillId="0" borderId="14" xfId="0" applyNumberFormat="1" applyFont="1" applyFill="1" applyBorder="1" applyAlignment="1" applyProtection="1">
      <alignment horizontal="center" vertical="center"/>
    </xf>
    <xf numFmtId="210" fontId="6" fillId="3" borderId="4" xfId="0" applyNumberFormat="1" applyFont="1" applyFill="1" applyBorder="1" applyAlignment="1" applyProtection="1">
      <alignment horizontal="left" vertical="center"/>
      <protection locked="0"/>
    </xf>
    <xf numFmtId="210" fontId="6" fillId="3" borderId="0" xfId="0" applyNumberFormat="1" applyFont="1" applyFill="1" applyBorder="1" applyAlignment="1" applyProtection="1">
      <alignment horizontal="left" vertical="center"/>
      <protection locked="0"/>
    </xf>
    <xf numFmtId="210" fontId="6" fillId="3" borderId="2" xfId="0" applyNumberFormat="1" applyFont="1" applyFill="1" applyBorder="1" applyAlignment="1" applyProtection="1">
      <alignment horizontal="left" vertical="center"/>
      <protection locked="0"/>
    </xf>
    <xf numFmtId="210" fontId="6" fillId="3" borderId="5" xfId="0" applyNumberFormat="1" applyFont="1" applyFill="1" applyBorder="1" applyAlignment="1" applyProtection="1">
      <alignment horizontal="left" vertical="center"/>
      <protection locked="0"/>
    </xf>
    <xf numFmtId="210" fontId="6" fillId="3" borderId="3" xfId="0" applyNumberFormat="1" applyFont="1" applyFill="1" applyBorder="1" applyAlignment="1" applyProtection="1">
      <alignment horizontal="left" vertical="center"/>
      <protection locked="0"/>
    </xf>
    <xf numFmtId="210" fontId="6" fillId="3" borderId="14" xfId="0" applyNumberFormat="1" applyFont="1" applyFill="1" applyBorder="1" applyAlignment="1" applyProtection="1">
      <alignment horizontal="left" vertical="center"/>
      <protection locked="0"/>
    </xf>
    <xf numFmtId="49" fontId="1" fillId="3" borderId="4" xfId="0" applyNumberFormat="1" applyFont="1" applyFill="1" applyBorder="1" applyAlignment="1" applyProtection="1">
      <alignment horizontal="left" vertical="center" indent="1"/>
      <protection locked="0"/>
    </xf>
    <xf numFmtId="49" fontId="6" fillId="3" borderId="0" xfId="0" applyNumberFormat="1" applyFont="1" applyFill="1" applyBorder="1" applyAlignment="1" applyProtection="1">
      <alignment horizontal="left" vertical="center" indent="1"/>
      <protection locked="0"/>
    </xf>
    <xf numFmtId="49" fontId="6" fillId="3" borderId="2" xfId="0" applyNumberFormat="1" applyFont="1" applyFill="1" applyBorder="1" applyAlignment="1" applyProtection="1">
      <alignment horizontal="left" vertical="center" indent="1"/>
      <protection locked="0"/>
    </xf>
    <xf numFmtId="49" fontId="6" fillId="3" borderId="5" xfId="0" applyNumberFormat="1" applyFont="1" applyFill="1" applyBorder="1" applyAlignment="1" applyProtection="1">
      <alignment horizontal="left" vertical="center" indent="1"/>
      <protection locked="0"/>
    </xf>
    <xf numFmtId="49" fontId="6" fillId="3" borderId="3" xfId="0" applyNumberFormat="1" applyFont="1" applyFill="1" applyBorder="1" applyAlignment="1" applyProtection="1">
      <alignment horizontal="left" vertical="center" indent="1"/>
      <protection locked="0"/>
    </xf>
    <xf numFmtId="49" fontId="6" fillId="3" borderId="14" xfId="0" applyNumberFormat="1" applyFont="1" applyFill="1" applyBorder="1" applyAlignment="1" applyProtection="1">
      <alignment horizontal="left" vertical="center" indent="1"/>
      <protection locked="0"/>
    </xf>
    <xf numFmtId="0" fontId="10" fillId="0" borderId="0" xfId="0" applyFont="1" applyFill="1" applyBorder="1" applyAlignment="1" applyProtection="1">
      <alignment horizontal="left" indent="1"/>
      <protection locked="0"/>
    </xf>
    <xf numFmtId="203" fontId="10" fillId="3" borderId="5" xfId="0" applyNumberFormat="1" applyFont="1" applyFill="1" applyBorder="1" applyAlignment="1" applyProtection="1">
      <alignment horizontal="left" indent="1"/>
      <protection locked="0"/>
    </xf>
    <xf numFmtId="203" fontId="10" fillId="3" borderId="3" xfId="0" applyNumberFormat="1" applyFont="1" applyFill="1" applyBorder="1" applyAlignment="1" applyProtection="1">
      <alignment horizontal="left" indent="1"/>
      <protection locked="0"/>
    </xf>
    <xf numFmtId="203" fontId="10" fillId="3" borderId="14" xfId="0" applyNumberFormat="1" applyFont="1" applyFill="1" applyBorder="1" applyAlignment="1" applyProtection="1">
      <alignment horizontal="left" indent="1"/>
      <protection locked="0"/>
    </xf>
    <xf numFmtId="0" fontId="6" fillId="0" borderId="10" xfId="0" applyFont="1" applyFill="1" applyBorder="1" applyAlignment="1" applyProtection="1">
      <alignment horizontal="center"/>
    </xf>
    <xf numFmtId="49" fontId="10" fillId="3" borderId="5" xfId="0" applyNumberFormat="1" applyFont="1" applyFill="1" applyBorder="1" applyAlignment="1" applyProtection="1">
      <alignment horizontal="left" indent="1"/>
      <protection locked="0"/>
    </xf>
    <xf numFmtId="49" fontId="10" fillId="3" borderId="3" xfId="0" applyNumberFormat="1" applyFont="1" applyFill="1" applyBorder="1" applyAlignment="1" applyProtection="1">
      <alignment horizontal="left" indent="1"/>
      <protection locked="0"/>
    </xf>
    <xf numFmtId="49" fontId="10" fillId="3" borderId="14" xfId="0" applyNumberFormat="1" applyFont="1" applyFill="1" applyBorder="1" applyAlignment="1" applyProtection="1">
      <alignment horizontal="left" indent="1"/>
      <protection locked="0"/>
    </xf>
    <xf numFmtId="179" fontId="11" fillId="0" borderId="20" xfId="0" applyNumberFormat="1" applyFont="1" applyFill="1" applyBorder="1" applyAlignment="1" applyProtection="1">
      <alignment horizontal="center" vertical="center"/>
    </xf>
    <xf numFmtId="179" fontId="5" fillId="0" borderId="21" xfId="0" applyNumberFormat="1" applyFont="1" applyFill="1" applyBorder="1" applyAlignment="1" applyProtection="1">
      <alignment horizontal="center" vertical="center"/>
    </xf>
    <xf numFmtId="198" fontId="10" fillId="3" borderId="16" xfId="0" applyNumberFormat="1" applyFont="1" applyFill="1" applyBorder="1" applyAlignment="1" applyProtection="1">
      <alignment horizontal="center"/>
      <protection locked="0"/>
    </xf>
    <xf numFmtId="49" fontId="6" fillId="0" borderId="0" xfId="0" applyNumberFormat="1" applyFont="1" applyFill="1" applyBorder="1" applyAlignment="1" applyProtection="1">
      <alignment horizontal="left"/>
    </xf>
    <xf numFmtId="0" fontId="0" fillId="0" borderId="20" xfId="0" applyBorder="1" applyAlignment="1">
      <alignment vertical="center"/>
    </xf>
    <xf numFmtId="0" fontId="6" fillId="0" borderId="3" xfId="0" applyFont="1" applyFill="1" applyBorder="1" applyAlignment="1" applyProtection="1">
      <alignment horizontal="center"/>
    </xf>
    <xf numFmtId="206" fontId="9" fillId="2" borderId="21" xfId="0" applyNumberFormat="1" applyFont="1" applyFill="1" applyBorder="1" applyAlignment="1" applyProtection="1">
      <alignment horizontal="center" vertical="center" shrinkToFit="1"/>
    </xf>
    <xf numFmtId="206" fontId="9" fillId="2" borderId="20" xfId="0" applyNumberFormat="1" applyFont="1" applyFill="1" applyBorder="1" applyAlignment="1" applyProtection="1">
      <alignment horizontal="center" vertical="center" shrinkToFit="1"/>
    </xf>
    <xf numFmtId="208" fontId="9" fillId="3" borderId="12" xfId="0" applyNumberFormat="1" applyFont="1" applyFill="1" applyBorder="1" applyAlignment="1" applyProtection="1">
      <alignment horizontal="center" vertical="center" shrinkToFit="1"/>
      <protection locked="0"/>
    </xf>
    <xf numFmtId="3" fontId="10" fillId="3" borderId="5" xfId="0" applyNumberFormat="1" applyFont="1" applyFill="1" applyBorder="1" applyAlignment="1" applyProtection="1">
      <alignment horizontal="left" indent="1"/>
      <protection locked="0"/>
    </xf>
    <xf numFmtId="3" fontId="10" fillId="3" borderId="3" xfId="0" applyNumberFormat="1" applyFont="1" applyFill="1" applyBorder="1" applyAlignment="1" applyProtection="1">
      <alignment horizontal="left" indent="1"/>
      <protection locked="0"/>
    </xf>
    <xf numFmtId="3" fontId="10" fillId="3" borderId="14" xfId="0" applyNumberFormat="1" applyFont="1" applyFill="1" applyBorder="1" applyAlignment="1" applyProtection="1">
      <alignment horizontal="left" indent="1"/>
      <protection locked="0"/>
    </xf>
  </cellXfs>
  <cellStyles count="6">
    <cellStyle name="Item" xfId="1"/>
    <cellStyle name="Moeda 2" xfId="2"/>
    <cellStyle name="Normal" xfId="0" builtinId="0"/>
    <cellStyle name="Normal 2" xfId="3"/>
    <cellStyle name="Normal 3" xfId="4"/>
    <cellStyle name="Vírgula 2" xfId="5"/>
  </cellStyles>
  <dxfs count="3">
    <dxf>
      <font>
        <condense val="0"/>
        <extend val="0"/>
        <color indexed="61"/>
      </font>
    </dxf>
    <dxf>
      <font>
        <condense val="0"/>
        <extend val="0"/>
        <color indexed="61"/>
      </font>
    </dxf>
    <dxf>
      <font>
        <condense val="0"/>
        <extend val="0"/>
        <color indexed="12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DDDDDD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CC0000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Label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142875</xdr:colOff>
      <xdr:row>6</xdr:row>
      <xdr:rowOff>28575</xdr:rowOff>
    </xdr:from>
    <xdr:to>
      <xdr:col>13</xdr:col>
      <xdr:colOff>76200</xdr:colOff>
      <xdr:row>27</xdr:row>
      <xdr:rowOff>47625</xdr:rowOff>
    </xdr:to>
    <xdr:sp macro="" textlink="">
      <xdr:nvSpPr>
        <xdr:cNvPr id="2174" name="Rectangle 12">
          <a:extLst>
            <a:ext uri="{FF2B5EF4-FFF2-40B4-BE49-F238E27FC236}">
              <a16:creationId xmlns:a16="http://schemas.microsoft.com/office/drawing/2014/main" id="{49175752-1332-4E90-BB79-6044C0CA56E2}"/>
            </a:ext>
          </a:extLst>
        </xdr:cNvPr>
        <xdr:cNvSpPr>
          <a:spLocks noChangeArrowheads="1"/>
        </xdr:cNvSpPr>
      </xdr:nvSpPr>
      <xdr:spPr bwMode="auto">
        <a:xfrm>
          <a:off x="142875" y="619125"/>
          <a:ext cx="7620000" cy="3305175"/>
        </a:xfrm>
        <a:prstGeom prst="rect">
          <a:avLst/>
        </a:prstGeom>
        <a:noFill/>
        <a:ln w="2540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 fPrintsWithSheet="0"/>
  </xdr:twoCellAnchor>
  <xdr:twoCellAnchor editAs="oneCell">
    <xdr:from>
      <xdr:col>1</xdr:col>
      <xdr:colOff>152400</xdr:colOff>
      <xdr:row>1</xdr:row>
      <xdr:rowOff>57150</xdr:rowOff>
    </xdr:from>
    <xdr:to>
      <xdr:col>8</xdr:col>
      <xdr:colOff>342900</xdr:colOff>
      <xdr:row>5</xdr:row>
      <xdr:rowOff>0</xdr:rowOff>
    </xdr:to>
    <xdr:sp macro="" textlink="">
      <xdr:nvSpPr>
        <xdr:cNvPr id="2068" name="Text Box 20">
          <a:extLst>
            <a:ext uri="{FF2B5EF4-FFF2-40B4-BE49-F238E27FC236}">
              <a16:creationId xmlns:a16="http://schemas.microsoft.com/office/drawing/2014/main" id="{8CCA76BB-2788-4ECA-92F6-E4EAB774F6D6}"/>
            </a:ext>
          </a:extLst>
        </xdr:cNvPr>
        <xdr:cNvSpPr txBox="1">
          <a:spLocks noChangeArrowheads="1"/>
        </xdr:cNvSpPr>
      </xdr:nvSpPr>
      <xdr:spPr bwMode="auto">
        <a:xfrm>
          <a:off x="152400" y="57150"/>
          <a:ext cx="4991100" cy="485775"/>
        </a:xfrm>
        <a:prstGeom prst="rect">
          <a:avLst/>
        </a:prstGeom>
        <a:solidFill>
          <a:schemeClr val="tx2">
            <a:lumMod val="20000"/>
            <a:lumOff val="80000"/>
            <a:alpha val="80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ctr" anchorCtr="0" upright="1"/>
        <a:lstStyle/>
        <a:p>
          <a:pPr algn="l" rtl="0">
            <a:defRPr sz="1000"/>
          </a:pPr>
          <a:r>
            <a:rPr lang="pt-BR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PLANILHA   ESTORNO DE CRÉDITO / APROVEITAMENTO  DE  CRÉDITO  ACUMULADO</a:t>
          </a:r>
        </a:p>
        <a:p>
          <a:pPr algn="l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Elaborada por:  Maurício Vieira Leal</a:t>
          </a:r>
        </a:p>
        <a:p>
          <a:pPr algn="l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DRT/16 - Jundiaí   e-mail: mvleal@fazenda.sp.gov.br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0</xdr:row>
          <xdr:rowOff>152400</xdr:rowOff>
        </xdr:from>
        <xdr:to>
          <xdr:col>5</xdr:col>
          <xdr:colOff>9525</xdr:colOff>
          <xdr:row>1</xdr:row>
          <xdr:rowOff>190500</xdr:rowOff>
        </xdr:to>
        <xdr:sp macro="" textlink="">
          <xdr:nvSpPr>
            <xdr:cNvPr id="2062" name="Label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61D5580A-F4DE-44B3-9702-9B18A20205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57150</xdr:rowOff>
    </xdr:from>
    <xdr:to>
      <xdr:col>0</xdr:col>
      <xdr:colOff>638175</xdr:colOff>
      <xdr:row>4</xdr:row>
      <xdr:rowOff>76200</xdr:rowOff>
    </xdr:to>
    <xdr:pic>
      <xdr:nvPicPr>
        <xdr:cNvPr id="1363" name="Picture 1">
          <a:extLst>
            <a:ext uri="{FF2B5EF4-FFF2-40B4-BE49-F238E27FC236}">
              <a16:creationId xmlns:a16="http://schemas.microsoft.com/office/drawing/2014/main" id="{D8634A49-F3BF-4B6C-8388-C452E8D707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lum bright="6000"/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57150"/>
          <a:ext cx="57150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66675</xdr:colOff>
      <xdr:row>51</xdr:row>
      <xdr:rowOff>57150</xdr:rowOff>
    </xdr:from>
    <xdr:to>
      <xdr:col>0</xdr:col>
      <xdr:colOff>638175</xdr:colOff>
      <xdr:row>55</xdr:row>
      <xdr:rowOff>85725</xdr:rowOff>
    </xdr:to>
    <xdr:pic>
      <xdr:nvPicPr>
        <xdr:cNvPr id="1364" name="Picture 10">
          <a:extLst>
            <a:ext uri="{FF2B5EF4-FFF2-40B4-BE49-F238E27FC236}">
              <a16:creationId xmlns:a16="http://schemas.microsoft.com/office/drawing/2014/main" id="{84D53559-12A6-4C6D-9163-814EBDC746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lum bright="6000"/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7372350"/>
          <a:ext cx="571500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657225</xdr:colOff>
      <xdr:row>1</xdr:row>
      <xdr:rowOff>104775</xdr:rowOff>
    </xdr:from>
    <xdr:to>
      <xdr:col>13</xdr:col>
      <xdr:colOff>0</xdr:colOff>
      <xdr:row>3</xdr:row>
      <xdr:rowOff>19050</xdr:rowOff>
    </xdr:to>
    <xdr:sp macro="[0]!ValorOperação" textlink="">
      <xdr:nvSpPr>
        <xdr:cNvPr id="1047" name="Text Box 23">
          <a:extLst>
            <a:ext uri="{FF2B5EF4-FFF2-40B4-BE49-F238E27FC236}">
              <a16:creationId xmlns:a16="http://schemas.microsoft.com/office/drawing/2014/main" id="{7F391B79-F11F-4E80-8354-EB82DB22A74B}"/>
            </a:ext>
          </a:extLst>
        </xdr:cNvPr>
        <xdr:cNvSpPr txBox="1">
          <a:spLocks noChangeArrowheads="1"/>
        </xdr:cNvSpPr>
      </xdr:nvSpPr>
      <xdr:spPr bwMode="auto">
        <a:xfrm>
          <a:off x="5895975" y="257175"/>
          <a:ext cx="1828800" cy="219075"/>
        </a:xfrm>
        <a:prstGeom prst="rect">
          <a:avLst/>
        </a:prstGeom>
        <a:solidFill>
          <a:srgbClr val="EAEAEA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0" rIns="36576" bIns="27432" anchor="b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Valor da Operação</a:t>
          </a:r>
        </a:p>
      </xdr:txBody>
    </xdr:sp>
    <xdr:clientData fPrintsWithSheet="0"/>
  </xdr:twoCellAnchor>
  <xdr:twoCellAnchor>
    <xdr:from>
      <xdr:col>13</xdr:col>
      <xdr:colOff>0</xdr:colOff>
      <xdr:row>1</xdr:row>
      <xdr:rowOff>104775</xdr:rowOff>
    </xdr:from>
    <xdr:to>
      <xdr:col>15</xdr:col>
      <xdr:colOff>438150</xdr:colOff>
      <xdr:row>3</xdr:row>
      <xdr:rowOff>19050</xdr:rowOff>
    </xdr:to>
    <xdr:sp macro="[0]!ValorICMS" textlink="">
      <xdr:nvSpPr>
        <xdr:cNvPr id="1048" name="Text Box 24">
          <a:extLst>
            <a:ext uri="{FF2B5EF4-FFF2-40B4-BE49-F238E27FC236}">
              <a16:creationId xmlns:a16="http://schemas.microsoft.com/office/drawing/2014/main" id="{89693E1B-4D82-40EE-8F43-C6E82B81932F}"/>
            </a:ext>
          </a:extLst>
        </xdr:cNvPr>
        <xdr:cNvSpPr txBox="1">
          <a:spLocks noChangeArrowheads="1"/>
        </xdr:cNvSpPr>
      </xdr:nvSpPr>
      <xdr:spPr bwMode="auto">
        <a:xfrm>
          <a:off x="7724775" y="257175"/>
          <a:ext cx="2019300" cy="219075"/>
        </a:xfrm>
        <a:prstGeom prst="rect">
          <a:avLst/>
        </a:prstGeom>
        <a:solidFill>
          <a:srgbClr val="EAEAEA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0" rIns="27432" bIns="22860" anchor="b" upright="1"/>
        <a:lstStyle/>
        <a:p>
          <a:pPr algn="ctr" rtl="0">
            <a:defRPr sz="1000"/>
          </a:pPr>
          <a:r>
            <a:rPr lang="pt-BR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Valor do ICMS </a:t>
          </a:r>
        </a:p>
      </xdr:txBody>
    </xdr:sp>
    <xdr:clientData fPrintsWithSheet="0"/>
  </xdr:twoCellAnchor>
  <xdr:twoCellAnchor>
    <xdr:from>
      <xdr:col>8</xdr:col>
      <xdr:colOff>657225</xdr:colOff>
      <xdr:row>0</xdr:row>
      <xdr:rowOff>38100</xdr:rowOff>
    </xdr:from>
    <xdr:to>
      <xdr:col>15</xdr:col>
      <xdr:colOff>438150</xdr:colOff>
      <xdr:row>1</xdr:row>
      <xdr:rowOff>104775</xdr:rowOff>
    </xdr:to>
    <xdr:sp macro="" textlink="">
      <xdr:nvSpPr>
        <xdr:cNvPr id="1049" name="Text Box 25">
          <a:extLst>
            <a:ext uri="{FF2B5EF4-FFF2-40B4-BE49-F238E27FC236}">
              <a16:creationId xmlns:a16="http://schemas.microsoft.com/office/drawing/2014/main" id="{B45FD474-68E1-4006-A893-F40836B0BA89}"/>
            </a:ext>
          </a:extLst>
        </xdr:cNvPr>
        <xdr:cNvSpPr txBox="1">
          <a:spLocks noChangeArrowheads="1"/>
        </xdr:cNvSpPr>
      </xdr:nvSpPr>
      <xdr:spPr bwMode="auto">
        <a:xfrm>
          <a:off x="5895975" y="38100"/>
          <a:ext cx="3848100" cy="219075"/>
        </a:xfrm>
        <a:prstGeom prst="rect">
          <a:avLst/>
        </a:prstGeom>
        <a:solidFill>
          <a:srgbClr val="EAEAEA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0" rIns="36576" bIns="27432" anchor="b" upright="1"/>
        <a:lstStyle/>
        <a:p>
          <a:pPr algn="ctr" rtl="0">
            <a:defRPr sz="1000"/>
          </a:pPr>
          <a:r>
            <a:rPr lang="pt-BR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Valor Base Para Aplicação da Multa</a:t>
          </a:r>
        </a:p>
      </xdr:txBody>
    </xdr:sp>
    <xdr:clientData fPrintsWithSheet="0"/>
  </xdr:twoCellAnchor>
  <xdr:twoCellAnchor editAs="oneCell">
    <xdr:from>
      <xdr:col>0</xdr:col>
      <xdr:colOff>66675</xdr:colOff>
      <xdr:row>102</xdr:row>
      <xdr:rowOff>57150</xdr:rowOff>
    </xdr:from>
    <xdr:to>
      <xdr:col>0</xdr:col>
      <xdr:colOff>647700</xdr:colOff>
      <xdr:row>106</xdr:row>
      <xdr:rowOff>85725</xdr:rowOff>
    </xdr:to>
    <xdr:pic>
      <xdr:nvPicPr>
        <xdr:cNvPr id="1368" name="Picture 26">
          <a:extLst>
            <a:ext uri="{FF2B5EF4-FFF2-40B4-BE49-F238E27FC236}">
              <a16:creationId xmlns:a16="http://schemas.microsoft.com/office/drawing/2014/main" id="{0A39607E-99AB-43A5-B523-35CAC0D333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lum bright="6000"/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5011400"/>
          <a:ext cx="581025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0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0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B1:M63"/>
  <sheetViews>
    <sheetView showGridLines="0" showRowColHeaders="0" showZeros="0" topLeftCell="B2" workbookViewId="0"/>
  </sheetViews>
  <sheetFormatPr defaultRowHeight="12" x14ac:dyDescent="0.15"/>
  <cols>
    <col min="1" max="1" width="0" style="148" hidden="1" customWidth="1"/>
    <col min="2" max="12" width="9" style="148"/>
    <col min="13" max="13" width="1.875" style="148" customWidth="1"/>
    <col min="14" max="14" width="9" style="148"/>
    <col min="15" max="15" width="0" style="148" hidden="1" customWidth="1"/>
    <col min="16" max="16384" width="9" style="148"/>
  </cols>
  <sheetData>
    <row r="1" spans="2:13" ht="15.95" hidden="1" customHeight="1" x14ac:dyDescent="0.15">
      <c r="B1"/>
      <c r="C1" s="21"/>
      <c r="D1" s="21"/>
      <c r="E1" s="22"/>
      <c r="F1" s="22"/>
      <c r="G1" s="21"/>
      <c r="H1" s="21"/>
      <c r="I1" s="21"/>
      <c r="J1" s="21"/>
      <c r="K1" s="21"/>
      <c r="L1" s="21"/>
      <c r="M1" s="147"/>
    </row>
    <row r="2" spans="2:13" ht="15.95" customHeight="1" x14ac:dyDescent="0.15">
      <c r="B2"/>
      <c r="C2" s="21"/>
      <c r="D2" s="21"/>
      <c r="E2" s="22"/>
      <c r="F2" s="22"/>
      <c r="G2" s="21"/>
      <c r="H2" s="21"/>
      <c r="I2" s="21"/>
      <c r="J2" s="21"/>
      <c r="K2" s="21"/>
      <c r="L2" s="21"/>
      <c r="M2" s="147"/>
    </row>
    <row r="3" spans="2:13" ht="15.95" customHeight="1" x14ac:dyDescent="0.2">
      <c r="B3" s="21"/>
      <c r="C3" s="21"/>
      <c r="D3" s="21"/>
      <c r="E3" s="22"/>
      <c r="F3" s="23"/>
      <c r="G3" s="21"/>
      <c r="H3" s="21"/>
      <c r="I3" s="21"/>
      <c r="J3" s="21"/>
      <c r="K3" s="21"/>
      <c r="L3" s="21"/>
      <c r="M3" s="147"/>
    </row>
    <row r="4" spans="2:13" ht="8.1" customHeight="1" x14ac:dyDescent="0.15"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147"/>
    </row>
    <row r="5" spans="2:13" ht="3.95" customHeight="1" x14ac:dyDescent="0.15"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147"/>
    </row>
    <row r="6" spans="2:13" ht="3.95" customHeight="1" x14ac:dyDescent="0.15"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147"/>
    </row>
    <row r="7" spans="2:13" ht="3.95" customHeight="1" x14ac:dyDescent="0.15"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147"/>
    </row>
    <row r="8" spans="2:13" s="149" customFormat="1" ht="12.95" customHeight="1" x14ac:dyDescent="0.15">
      <c r="B8" s="152" t="s">
        <v>48</v>
      </c>
      <c r="C8" s="152"/>
      <c r="D8" s="152"/>
      <c r="E8" s="152"/>
      <c r="F8" s="152"/>
      <c r="G8" s="152"/>
      <c r="H8" s="152"/>
      <c r="I8" s="152"/>
      <c r="J8" s="152"/>
      <c r="K8" s="152"/>
      <c r="L8" s="152"/>
      <c r="M8" s="152"/>
    </row>
    <row r="9" spans="2:13" ht="12.95" customHeight="1" x14ac:dyDescent="0.15">
      <c r="B9" s="152" t="s">
        <v>49</v>
      </c>
      <c r="C9" s="152"/>
      <c r="D9" s="152"/>
      <c r="E9" s="152"/>
      <c r="F9" s="152"/>
      <c r="G9" s="152"/>
      <c r="H9" s="152"/>
      <c r="I9" s="152"/>
      <c r="J9" s="152"/>
      <c r="K9" s="152"/>
      <c r="L9" s="152"/>
      <c r="M9" s="152"/>
    </row>
    <row r="10" spans="2:13" ht="12.95" customHeight="1" x14ac:dyDescent="0.15">
      <c r="B10" s="152" t="s">
        <v>50</v>
      </c>
      <c r="C10" s="152"/>
      <c r="D10" s="152"/>
      <c r="E10" s="152"/>
      <c r="F10" s="152"/>
      <c r="G10" s="152"/>
      <c r="H10" s="152"/>
      <c r="I10" s="152"/>
      <c r="J10" s="152"/>
      <c r="K10" s="152"/>
      <c r="L10" s="152"/>
      <c r="M10" s="152"/>
    </row>
    <row r="11" spans="2:13" ht="12.95" customHeight="1" x14ac:dyDescent="0.15">
      <c r="B11" s="152"/>
      <c r="C11" s="152"/>
      <c r="D11" s="152"/>
      <c r="E11" s="152"/>
      <c r="F11" s="152"/>
      <c r="G11" s="152"/>
      <c r="H11" s="152"/>
      <c r="I11" s="152"/>
      <c r="J11" s="152"/>
      <c r="K11" s="152"/>
      <c r="L11" s="152"/>
      <c r="M11" s="152"/>
    </row>
    <row r="12" spans="2:13" ht="12.95" customHeight="1" x14ac:dyDescent="0.15">
      <c r="B12" s="152" t="s">
        <v>51</v>
      </c>
      <c r="C12" s="152"/>
      <c r="D12" s="152"/>
      <c r="E12" s="152"/>
      <c r="F12" s="152"/>
      <c r="G12" s="152"/>
      <c r="H12" s="152"/>
      <c r="I12" s="152"/>
      <c r="J12" s="152"/>
      <c r="K12" s="152"/>
      <c r="L12" s="152"/>
      <c r="M12" s="152"/>
    </row>
    <row r="13" spans="2:13" ht="12.95" customHeight="1" x14ac:dyDescent="0.15">
      <c r="B13" s="152" t="s">
        <v>52</v>
      </c>
      <c r="C13" s="152"/>
      <c r="D13" s="152"/>
      <c r="E13" s="152"/>
      <c r="F13" s="152"/>
      <c r="G13" s="152"/>
      <c r="H13" s="152"/>
      <c r="I13" s="152"/>
      <c r="J13" s="152"/>
      <c r="K13" s="152"/>
      <c r="L13" s="152"/>
      <c r="M13" s="152"/>
    </row>
    <row r="14" spans="2:13" ht="12.95" customHeight="1" x14ac:dyDescent="0.15">
      <c r="B14" s="152" t="s">
        <v>53</v>
      </c>
      <c r="C14" s="152"/>
      <c r="D14" s="152"/>
      <c r="E14" s="152"/>
      <c r="F14" s="152"/>
      <c r="G14" s="152"/>
      <c r="H14" s="152"/>
      <c r="I14" s="152"/>
      <c r="J14" s="152"/>
      <c r="K14" s="152"/>
      <c r="L14" s="152"/>
      <c r="M14" s="152"/>
    </row>
    <row r="15" spans="2:13" ht="12.95" customHeight="1" x14ac:dyDescent="0.15">
      <c r="B15" s="152" t="s">
        <v>54</v>
      </c>
      <c r="C15" s="152"/>
      <c r="D15" s="152"/>
      <c r="E15" s="152"/>
      <c r="F15" s="152"/>
      <c r="G15" s="152"/>
      <c r="H15" s="152"/>
      <c r="I15" s="152"/>
      <c r="J15" s="152"/>
      <c r="K15" s="152"/>
      <c r="L15" s="152"/>
      <c r="M15" s="152"/>
    </row>
    <row r="16" spans="2:13" ht="12.95" customHeight="1" x14ac:dyDescent="0.15">
      <c r="B16" s="152" t="s">
        <v>55</v>
      </c>
      <c r="C16" s="152"/>
      <c r="D16" s="152"/>
      <c r="E16" s="152"/>
      <c r="F16" s="152"/>
      <c r="G16" s="152"/>
      <c r="H16" s="152"/>
      <c r="I16" s="152"/>
      <c r="J16" s="152"/>
      <c r="K16" s="152"/>
      <c r="L16" s="152"/>
      <c r="M16" s="152"/>
    </row>
    <row r="17" spans="2:13" ht="12.95" customHeight="1" x14ac:dyDescent="0.15">
      <c r="B17" s="152" t="s">
        <v>56</v>
      </c>
      <c r="C17" s="152"/>
      <c r="D17" s="152"/>
      <c r="E17" s="152"/>
      <c r="F17" s="152"/>
      <c r="G17" s="152"/>
      <c r="H17" s="152"/>
      <c r="I17" s="152"/>
      <c r="J17" s="152"/>
      <c r="K17" s="152"/>
      <c r="L17" s="152"/>
      <c r="M17" s="152"/>
    </row>
    <row r="18" spans="2:13" ht="12.95" customHeight="1" x14ac:dyDescent="0.15">
      <c r="B18" s="152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2"/>
    </row>
    <row r="19" spans="2:13" ht="12.95" customHeight="1" x14ac:dyDescent="0.15">
      <c r="B19" s="152" t="s">
        <v>57</v>
      </c>
      <c r="C19" s="152"/>
      <c r="D19" s="152"/>
      <c r="E19" s="152"/>
      <c r="F19" s="152"/>
      <c r="G19" s="152"/>
      <c r="H19" s="152"/>
      <c r="I19" s="152"/>
      <c r="J19" s="152"/>
      <c r="K19" s="152"/>
      <c r="L19" s="152"/>
      <c r="M19" s="152"/>
    </row>
    <row r="20" spans="2:13" ht="12.95" customHeight="1" x14ac:dyDescent="0.15">
      <c r="B20" s="152"/>
      <c r="C20" s="152"/>
      <c r="D20" s="152"/>
      <c r="E20" s="152"/>
      <c r="F20" s="152"/>
      <c r="G20" s="152"/>
      <c r="H20" s="152"/>
      <c r="I20" s="152"/>
      <c r="J20" s="152"/>
      <c r="K20" s="152"/>
      <c r="L20" s="152"/>
      <c r="M20" s="152"/>
    </row>
    <row r="21" spans="2:13" ht="12.95" customHeight="1" x14ac:dyDescent="0.15">
      <c r="B21" s="154" t="s">
        <v>58</v>
      </c>
      <c r="C21" s="154"/>
      <c r="D21" s="154"/>
      <c r="E21" s="154"/>
      <c r="F21" s="154"/>
      <c r="G21" s="154"/>
      <c r="H21" s="154"/>
      <c r="I21" s="154"/>
      <c r="J21" s="154"/>
      <c r="K21" s="154"/>
      <c r="L21" s="154"/>
      <c r="M21" s="154"/>
    </row>
    <row r="22" spans="2:13" ht="12.95" customHeight="1" x14ac:dyDescent="0.15">
      <c r="B22" s="154"/>
      <c r="C22" s="154"/>
      <c r="D22" s="154"/>
      <c r="E22" s="154"/>
      <c r="F22" s="154"/>
      <c r="G22" s="154"/>
      <c r="H22" s="154"/>
      <c r="I22" s="154"/>
      <c r="J22" s="154"/>
      <c r="K22" s="154"/>
      <c r="L22" s="154"/>
      <c r="M22" s="154"/>
    </row>
    <row r="23" spans="2:13" ht="12.95" customHeight="1" x14ac:dyDescent="0.15">
      <c r="B23" s="152" t="s">
        <v>59</v>
      </c>
      <c r="C23" s="152"/>
      <c r="D23" s="152"/>
      <c r="E23" s="152"/>
      <c r="F23" s="152"/>
      <c r="G23" s="152"/>
      <c r="H23" s="152"/>
      <c r="I23" s="152"/>
      <c r="J23" s="152"/>
      <c r="K23" s="152"/>
      <c r="L23" s="152"/>
      <c r="M23" s="152"/>
    </row>
    <row r="24" spans="2:13" ht="12.95" customHeight="1" x14ac:dyDescent="0.15">
      <c r="B24" s="152" t="s">
        <v>60</v>
      </c>
      <c r="C24" s="152"/>
      <c r="D24" s="152"/>
      <c r="E24" s="152"/>
      <c r="F24" s="152"/>
      <c r="G24" s="152"/>
      <c r="H24" s="152"/>
      <c r="I24" s="152"/>
      <c r="J24" s="152"/>
      <c r="K24" s="152"/>
      <c r="L24" s="152"/>
      <c r="M24" s="152"/>
    </row>
    <row r="25" spans="2:13" ht="12.95" customHeight="1" x14ac:dyDescent="0.15">
      <c r="B25" s="152"/>
      <c r="C25" s="152"/>
      <c r="D25" s="152"/>
      <c r="E25" s="152"/>
      <c r="F25" s="152"/>
      <c r="G25" s="152"/>
      <c r="H25" s="152"/>
      <c r="I25" s="152"/>
      <c r="J25" s="152"/>
      <c r="K25" s="152"/>
      <c r="L25" s="152"/>
      <c r="M25" s="152"/>
    </row>
    <row r="26" spans="2:13" ht="12.95" customHeight="1" x14ac:dyDescent="0.15">
      <c r="B26" s="152" t="s">
        <v>61</v>
      </c>
      <c r="C26" s="152"/>
      <c r="D26" s="152"/>
      <c r="E26" s="152"/>
      <c r="F26" s="152"/>
      <c r="G26" s="152"/>
      <c r="H26" s="152"/>
      <c r="I26" s="152"/>
      <c r="J26" s="152"/>
      <c r="K26" s="152"/>
      <c r="L26" s="152"/>
      <c r="M26" s="152"/>
    </row>
    <row r="27" spans="2:13" ht="12.95" customHeight="1" x14ac:dyDescent="0.15">
      <c r="B27" s="152"/>
      <c r="C27" s="152"/>
      <c r="D27" s="152"/>
      <c r="E27" s="152"/>
      <c r="F27" s="152"/>
      <c r="G27" s="152"/>
      <c r="H27" s="152"/>
      <c r="I27" s="152"/>
      <c r="J27" s="152"/>
      <c r="K27" s="152"/>
      <c r="L27" s="152"/>
      <c r="M27" s="152"/>
    </row>
    <row r="28" spans="2:13" ht="9.9499999999999993" customHeight="1" x14ac:dyDescent="0.15">
      <c r="B28" s="146"/>
      <c r="C28" s="146"/>
      <c r="D28" s="146"/>
      <c r="E28" s="146"/>
      <c r="F28" s="146"/>
      <c r="G28" s="146"/>
      <c r="H28" s="146"/>
      <c r="I28" s="146"/>
      <c r="J28" s="146"/>
      <c r="K28" s="146"/>
      <c r="L28" s="146"/>
      <c r="M28" s="146"/>
    </row>
    <row r="29" spans="2:13" ht="12" customHeight="1" x14ac:dyDescent="0.15">
      <c r="B29" s="153" t="s">
        <v>47</v>
      </c>
      <c r="C29" s="153"/>
      <c r="D29" s="153"/>
      <c r="E29" s="153"/>
      <c r="F29" s="153"/>
      <c r="G29" s="153"/>
      <c r="H29" s="153"/>
      <c r="I29" s="153"/>
      <c r="J29" s="153"/>
      <c r="K29" s="153"/>
      <c r="L29" s="153"/>
      <c r="M29" s="153"/>
    </row>
    <row r="30" spans="2:13" x14ac:dyDescent="0.15"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</row>
    <row r="31" spans="2:13" x14ac:dyDescent="0.15"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</row>
    <row r="32" spans="2:13" x14ac:dyDescent="0.15"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</row>
    <row r="33" spans="2:12" x14ac:dyDescent="0.15"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</row>
    <row r="34" spans="2:12" x14ac:dyDescent="0.15"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</row>
    <row r="35" spans="2:12" x14ac:dyDescent="0.15"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</row>
    <row r="36" spans="2:12" x14ac:dyDescent="0.15"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</row>
    <row r="37" spans="2:12" x14ac:dyDescent="0.15"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</row>
    <row r="38" spans="2:12" x14ac:dyDescent="0.15"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</row>
    <row r="39" spans="2:12" x14ac:dyDescent="0.15"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</row>
    <row r="40" spans="2:12" x14ac:dyDescent="0.15"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</row>
    <row r="41" spans="2:12" x14ac:dyDescent="0.15"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</row>
    <row r="42" spans="2:12" x14ac:dyDescent="0.15"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</row>
    <row r="43" spans="2:12" x14ac:dyDescent="0.15"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</row>
    <row r="44" spans="2:12" x14ac:dyDescent="0.15"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</row>
    <row r="45" spans="2:12" x14ac:dyDescent="0.15"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</row>
    <row r="46" spans="2:12" x14ac:dyDescent="0.15"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</row>
    <row r="47" spans="2:12" x14ac:dyDescent="0.15"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</row>
    <row r="48" spans="2:12" x14ac:dyDescent="0.15"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</row>
    <row r="49" spans="2:12" x14ac:dyDescent="0.15"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</row>
    <row r="50" spans="2:12" x14ac:dyDescent="0.15"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</row>
    <row r="51" spans="2:12" x14ac:dyDescent="0.15"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</row>
    <row r="52" spans="2:12" x14ac:dyDescent="0.15"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</row>
    <row r="53" spans="2:12" x14ac:dyDescent="0.15"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</row>
    <row r="54" spans="2:12" x14ac:dyDescent="0.15"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</row>
    <row r="55" spans="2:12" x14ac:dyDescent="0.15"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</row>
    <row r="56" spans="2:12" x14ac:dyDescent="0.15"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</row>
    <row r="57" spans="2:12" x14ac:dyDescent="0.15"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</row>
    <row r="58" spans="2:12" x14ac:dyDescent="0.15"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</row>
    <row r="59" spans="2:12" x14ac:dyDescent="0.15"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</row>
    <row r="60" spans="2:12" x14ac:dyDescent="0.15"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</row>
    <row r="61" spans="2:12" x14ac:dyDescent="0.15"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</row>
    <row r="62" spans="2:12" x14ac:dyDescent="0.15"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</row>
    <row r="63" spans="2:12" x14ac:dyDescent="0.15">
      <c r="B63" s="24"/>
      <c r="C63" s="24"/>
      <c r="D63" s="24"/>
      <c r="E63" s="24"/>
      <c r="F63" s="24"/>
      <c r="G63" s="24"/>
      <c r="H63" s="24"/>
      <c r="I63" s="24"/>
      <c r="J63" s="24"/>
      <c r="K63" s="24"/>
    </row>
  </sheetData>
  <sheetProtection password="88C5" sheet="1" objects="1" scenarios="1"/>
  <mergeCells count="15">
    <mergeCell ref="B13:M13"/>
    <mergeCell ref="B14:M14"/>
    <mergeCell ref="B8:M8"/>
    <mergeCell ref="B9:M9"/>
    <mergeCell ref="B10:M11"/>
    <mergeCell ref="B12:M12"/>
    <mergeCell ref="B15:M15"/>
    <mergeCell ref="B16:M16"/>
    <mergeCell ref="B29:M29"/>
    <mergeCell ref="B17:M18"/>
    <mergeCell ref="B19:M20"/>
    <mergeCell ref="B21:M22"/>
    <mergeCell ref="B23:M23"/>
    <mergeCell ref="B24:M25"/>
    <mergeCell ref="B26:M27"/>
  </mergeCells>
  <phoneticPr fontId="0" type="noConversion"/>
  <pageMargins left="0.19685039370078741" right="0.19685039370078741" top="0.39370078740157483" bottom="0.39370078740157483" header="0" footer="0"/>
  <pageSetup paperSize="9" scale="95" orientation="portrait" horizontalDpi="4294967294" r:id="rId1"/>
  <headerFooter alignWithMargins="0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5" name="Label 14">
              <controlPr defaultSize="0" print="0" autoFill="0" autoLine="0" autoPict="0">
                <anchor moveWithCells="1">
                  <from>
                    <xdr:col>4</xdr:col>
                    <xdr:colOff>495300</xdr:colOff>
                    <xdr:row>0</xdr:row>
                    <xdr:rowOff>152400</xdr:rowOff>
                  </from>
                  <to>
                    <xdr:col>5</xdr:col>
                    <xdr:colOff>9525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codeName="Plan1"/>
  <dimension ref="A1:X154"/>
  <sheetViews>
    <sheetView showGridLines="0" showRowColHeaders="0" showZeros="0" tabSelected="1" zoomScale="80" zoomScaleNormal="70" workbookViewId="0">
      <selection activeCell="A8" sqref="A8:O8"/>
    </sheetView>
  </sheetViews>
  <sheetFormatPr defaultRowHeight="12.75" x14ac:dyDescent="0.2"/>
  <cols>
    <col min="1" max="1" width="8.875" style="1" customWidth="1"/>
    <col min="2" max="4" width="9.25" style="1" hidden="1" customWidth="1"/>
    <col min="5" max="5" width="14" style="1" customWidth="1"/>
    <col min="6" max="6" width="14.875" style="1" customWidth="1"/>
    <col min="7" max="7" width="15.75" style="1" customWidth="1"/>
    <col min="8" max="8" width="15.25" style="1" customWidth="1"/>
    <col min="9" max="9" width="13.125" style="1" customWidth="1"/>
    <col min="10" max="10" width="18.125" style="62" hidden="1" customWidth="1"/>
    <col min="11" max="11" width="1.125" style="1" customWidth="1"/>
    <col min="12" max="12" width="13.125" style="1" customWidth="1"/>
    <col min="13" max="13" width="5.25" style="1" customWidth="1"/>
    <col min="14" max="14" width="13.125" style="1" customWidth="1"/>
    <col min="15" max="16" width="7.625" style="1" customWidth="1"/>
    <col min="17" max="17" width="4.625" style="1" customWidth="1"/>
    <col min="18" max="18" width="2.875" style="4" customWidth="1"/>
    <col min="19" max="19" width="13.125" style="4" customWidth="1"/>
    <col min="20" max="20" width="10.625" style="1" customWidth="1"/>
    <col min="21" max="21" width="13.875" style="1" customWidth="1"/>
    <col min="22" max="22" width="10.625" style="1" customWidth="1"/>
    <col min="23" max="16384" width="9" style="1"/>
  </cols>
  <sheetData>
    <row r="1" spans="1:24" ht="12" customHeight="1" x14ac:dyDescent="0.2">
      <c r="A1" s="33"/>
      <c r="B1" s="83">
        <v>1</v>
      </c>
      <c r="C1" s="49"/>
      <c r="D1" s="49"/>
      <c r="E1" s="98" t="s">
        <v>2</v>
      </c>
      <c r="F1" s="47"/>
      <c r="G1" s="47"/>
      <c r="H1" s="47"/>
      <c r="I1" s="47"/>
      <c r="J1" s="53"/>
      <c r="K1" s="47"/>
      <c r="L1" s="34"/>
      <c r="M1" s="34"/>
      <c r="N1" s="34"/>
      <c r="O1" s="34"/>
      <c r="P1" s="35"/>
      <c r="Q1" s="198" t="s">
        <v>43</v>
      </c>
      <c r="R1" s="198"/>
      <c r="S1" s="198"/>
      <c r="T1" s="75"/>
      <c r="U1" s="75"/>
    </row>
    <row r="2" spans="1:24" ht="12" customHeight="1" x14ac:dyDescent="0.2">
      <c r="A2" s="38"/>
      <c r="B2" s="37"/>
      <c r="C2" s="37"/>
      <c r="D2" s="37"/>
      <c r="E2" s="99" t="s">
        <v>3</v>
      </c>
      <c r="F2" s="48"/>
      <c r="G2" s="48"/>
      <c r="H2" s="48"/>
      <c r="I2" s="48"/>
      <c r="J2" s="54"/>
      <c r="K2" s="48"/>
      <c r="L2" s="36"/>
      <c r="M2" s="36"/>
      <c r="N2" s="236"/>
      <c r="O2" s="236"/>
      <c r="P2" s="39"/>
      <c r="Q2" s="36"/>
      <c r="R2" s="37"/>
      <c r="S2" s="37"/>
      <c r="T2" s="75"/>
      <c r="U2" s="75"/>
    </row>
    <row r="3" spans="1:24" ht="12" customHeight="1" x14ac:dyDescent="0.2">
      <c r="A3" s="38"/>
      <c r="B3" s="37"/>
      <c r="C3" s="37"/>
      <c r="D3" s="37"/>
      <c r="E3" s="99"/>
      <c r="F3" s="48"/>
      <c r="G3" s="48"/>
      <c r="H3" s="48"/>
      <c r="I3" s="48"/>
      <c r="J3" s="54"/>
      <c r="K3" s="48"/>
      <c r="L3" s="36"/>
      <c r="M3" s="36"/>
      <c r="N3" s="236"/>
      <c r="O3" s="236"/>
      <c r="P3" s="11"/>
      <c r="Q3" s="234" t="s">
        <v>1</v>
      </c>
      <c r="R3" s="199"/>
      <c r="S3" s="200"/>
      <c r="T3" s="75"/>
      <c r="U3" s="75"/>
    </row>
    <row r="4" spans="1:24" ht="12" customHeight="1" x14ac:dyDescent="0.2">
      <c r="A4" s="38"/>
      <c r="B4" s="37"/>
      <c r="C4" s="37"/>
      <c r="D4" s="37"/>
      <c r="E4" s="209" t="s">
        <v>32</v>
      </c>
      <c r="F4" s="209"/>
      <c r="G4" s="209"/>
      <c r="H4" s="209"/>
      <c r="I4" s="209"/>
      <c r="J4" s="209"/>
      <c r="K4" s="209"/>
      <c r="L4" s="209"/>
      <c r="M4" s="209"/>
      <c r="N4" s="209"/>
      <c r="O4" s="209"/>
      <c r="P4" s="210"/>
      <c r="Q4" s="102" t="s">
        <v>0</v>
      </c>
      <c r="R4" s="235"/>
      <c r="S4" s="235"/>
      <c r="T4" s="75"/>
      <c r="U4" s="75"/>
    </row>
    <row r="5" spans="1:24" ht="12" customHeight="1" x14ac:dyDescent="0.2">
      <c r="A5" s="40"/>
      <c r="B5" s="50"/>
      <c r="C5" s="50"/>
      <c r="D5" s="50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212"/>
      <c r="Q5" s="102" t="s">
        <v>7</v>
      </c>
      <c r="R5" s="235"/>
      <c r="S5" s="235"/>
      <c r="T5" s="75"/>
      <c r="U5" s="75"/>
    </row>
    <row r="6" spans="1:24" ht="5.0999999999999996" customHeight="1" x14ac:dyDescent="0.2">
      <c r="A6" s="41"/>
      <c r="B6" s="41"/>
      <c r="C6" s="41"/>
      <c r="D6" s="41"/>
      <c r="E6" s="41"/>
      <c r="F6" s="51"/>
      <c r="G6" s="41"/>
      <c r="H6" s="41"/>
      <c r="I6" s="41"/>
      <c r="J6" s="55"/>
      <c r="K6" s="41"/>
      <c r="L6" s="41"/>
      <c r="M6" s="41"/>
      <c r="N6" s="41"/>
      <c r="O6" s="41"/>
      <c r="P6" s="41"/>
      <c r="Q6" s="41"/>
      <c r="R6" s="37"/>
      <c r="S6" s="37"/>
      <c r="T6" s="75"/>
      <c r="U6" s="75"/>
    </row>
    <row r="7" spans="1:24" s="3" customFormat="1" ht="9" customHeight="1" x14ac:dyDescent="0.2">
      <c r="A7" s="100" t="s">
        <v>10</v>
      </c>
      <c r="B7" s="42"/>
      <c r="C7" s="42"/>
      <c r="D7" s="42"/>
      <c r="E7" s="42"/>
      <c r="F7" s="70"/>
      <c r="G7" s="42"/>
      <c r="H7" s="42"/>
      <c r="I7" s="42"/>
      <c r="J7" s="56"/>
      <c r="K7" s="42"/>
      <c r="L7" s="42"/>
      <c r="M7" s="42"/>
      <c r="N7" s="42"/>
      <c r="O7" s="42"/>
      <c r="P7" s="165" t="s">
        <v>8</v>
      </c>
      <c r="Q7" s="166"/>
      <c r="R7" s="166"/>
      <c r="S7" s="167"/>
      <c r="T7" s="76"/>
      <c r="U7" s="76"/>
    </row>
    <row r="8" spans="1:24" x14ac:dyDescent="0.2">
      <c r="A8" s="230"/>
      <c r="B8" s="231"/>
      <c r="C8" s="231"/>
      <c r="D8" s="231"/>
      <c r="E8" s="231"/>
      <c r="F8" s="231"/>
      <c r="G8" s="231"/>
      <c r="H8" s="231"/>
      <c r="I8" s="231"/>
      <c r="J8" s="231"/>
      <c r="K8" s="231"/>
      <c r="L8" s="231"/>
      <c r="M8" s="231"/>
      <c r="N8" s="231"/>
      <c r="O8" s="232"/>
      <c r="P8" s="242"/>
      <c r="Q8" s="243"/>
      <c r="R8" s="243"/>
      <c r="S8" s="244"/>
      <c r="T8" s="77"/>
      <c r="U8" s="75"/>
    </row>
    <row r="9" spans="1:24" s="3" customFormat="1" ht="9" customHeight="1" x14ac:dyDescent="0.15">
      <c r="A9" s="100" t="s">
        <v>11</v>
      </c>
      <c r="B9" s="42"/>
      <c r="C9" s="42"/>
      <c r="D9" s="42"/>
      <c r="E9" s="42"/>
      <c r="F9" s="42"/>
      <c r="G9" s="42"/>
      <c r="H9" s="42"/>
      <c r="I9" s="42"/>
      <c r="J9" s="56"/>
      <c r="K9" s="42"/>
      <c r="L9" s="42"/>
      <c r="M9" s="42"/>
      <c r="N9" s="42"/>
      <c r="O9" s="42"/>
      <c r="P9" s="165" t="s">
        <v>9</v>
      </c>
      <c r="Q9" s="166"/>
      <c r="R9" s="166"/>
      <c r="S9" s="167"/>
      <c r="T9" s="78"/>
      <c r="U9" s="76"/>
    </row>
    <row r="10" spans="1:24" x14ac:dyDescent="0.2">
      <c r="A10" s="230"/>
      <c r="B10" s="231"/>
      <c r="C10" s="231"/>
      <c r="D10" s="231"/>
      <c r="E10" s="231"/>
      <c r="F10" s="231"/>
      <c r="G10" s="231"/>
      <c r="H10" s="231"/>
      <c r="I10" s="231"/>
      <c r="J10" s="231"/>
      <c r="K10" s="231"/>
      <c r="L10" s="231"/>
      <c r="M10" s="231"/>
      <c r="N10" s="231"/>
      <c r="O10" s="232"/>
      <c r="P10" s="226"/>
      <c r="Q10" s="227"/>
      <c r="R10" s="227"/>
      <c r="S10" s="228"/>
      <c r="T10" s="79"/>
      <c r="U10" s="75"/>
    </row>
    <row r="11" spans="1:24" ht="5.0999999999999996" customHeight="1" x14ac:dyDescent="0.2">
      <c r="A11" s="12"/>
      <c r="B11" s="12"/>
      <c r="C11" s="12"/>
      <c r="D11" s="12"/>
      <c r="E11" s="13"/>
      <c r="F11" s="13"/>
      <c r="G11" s="13"/>
      <c r="H11" s="13"/>
      <c r="I11" s="13"/>
      <c r="J11" s="57"/>
      <c r="K11" s="13"/>
      <c r="L11" s="13"/>
      <c r="M11" s="13"/>
      <c r="N11" s="13"/>
      <c r="O11" s="13"/>
      <c r="P11" s="13"/>
      <c r="Q11" s="13"/>
      <c r="R11" s="14"/>
      <c r="S11" s="14"/>
      <c r="T11" s="75"/>
      <c r="U11" s="75"/>
    </row>
    <row r="12" spans="1:24" s="2" customFormat="1" ht="10.5" customHeight="1" x14ac:dyDescent="0.15">
      <c r="A12" s="188" t="s">
        <v>12</v>
      </c>
      <c r="B12" s="27" t="s">
        <v>23</v>
      </c>
      <c r="C12" s="27" t="s">
        <v>24</v>
      </c>
      <c r="D12" s="27" t="s">
        <v>25</v>
      </c>
      <c r="E12" s="31" t="s">
        <v>14</v>
      </c>
      <c r="F12" s="190" t="s">
        <v>34</v>
      </c>
      <c r="G12" s="191"/>
      <c r="H12" s="190" t="s">
        <v>42</v>
      </c>
      <c r="I12" s="237"/>
      <c r="J12" s="58" t="s">
        <v>15</v>
      </c>
      <c r="K12" s="29"/>
      <c r="L12" s="104" t="s">
        <v>38</v>
      </c>
      <c r="M12" s="31" t="s">
        <v>27</v>
      </c>
      <c r="N12" s="90" t="s">
        <v>17</v>
      </c>
      <c r="O12" s="192" t="s">
        <v>18</v>
      </c>
      <c r="P12" s="192" t="s">
        <v>19</v>
      </c>
      <c r="Q12" s="196" t="s">
        <v>20</v>
      </c>
      <c r="R12" s="196"/>
      <c r="S12" s="32" t="s">
        <v>21</v>
      </c>
      <c r="T12" s="80"/>
      <c r="U12" s="81"/>
    </row>
    <row r="13" spans="1:24" s="2" customFormat="1" ht="10.5" customHeight="1" x14ac:dyDescent="0.15">
      <c r="A13" s="189"/>
      <c r="B13" s="28" t="s">
        <v>24</v>
      </c>
      <c r="C13" s="28" t="s">
        <v>26</v>
      </c>
      <c r="D13" s="28" t="s">
        <v>26</v>
      </c>
      <c r="E13" s="25" t="s">
        <v>33</v>
      </c>
      <c r="F13" s="25" t="s">
        <v>28</v>
      </c>
      <c r="G13" s="26" t="s">
        <v>36</v>
      </c>
      <c r="H13" s="25" t="s">
        <v>37</v>
      </c>
      <c r="I13" s="88" t="s">
        <v>35</v>
      </c>
      <c r="J13" s="105" t="s">
        <v>13</v>
      </c>
      <c r="K13" s="106"/>
      <c r="L13" s="26" t="s">
        <v>39</v>
      </c>
      <c r="M13" s="25" t="s">
        <v>16</v>
      </c>
      <c r="N13" s="89" t="s">
        <v>40</v>
      </c>
      <c r="O13" s="193"/>
      <c r="P13" s="193"/>
      <c r="Q13" s="197"/>
      <c r="R13" s="197"/>
      <c r="S13" s="43" t="s">
        <v>31</v>
      </c>
      <c r="T13" s="81"/>
      <c r="U13" s="81"/>
    </row>
    <row r="14" spans="1:24" ht="12.2" customHeight="1" x14ac:dyDescent="0.2">
      <c r="A14" s="107"/>
      <c r="B14" s="108">
        <f>F14</f>
        <v>0</v>
      </c>
      <c r="C14" s="108">
        <f>F14-I14</f>
        <v>0</v>
      </c>
      <c r="D14" s="108">
        <f>G14</f>
        <v>0</v>
      </c>
      <c r="E14" s="119"/>
      <c r="F14" s="150"/>
      <c r="G14" s="110"/>
      <c r="H14" s="111">
        <f t="shared" ref="H14:H34" si="0">IF(A14&lt;&gt;"",IF(E14&lt;0,B14-ABS(E14),B14+E14),-B14)</f>
        <v>0</v>
      </c>
      <c r="I14" s="112">
        <f t="shared" ref="I14:I46" si="1">IF(A14&lt;&gt;"",IF(H14&gt;0,IF(H14&lt;B14,H14,B14),0),ABS(H14))</f>
        <v>0</v>
      </c>
      <c r="J14" s="113">
        <f>IF(C14&gt;0,IF(B14&gt;0,(I14/B14)*D14,0),D14)</f>
        <v>0</v>
      </c>
      <c r="K14" s="114"/>
      <c r="L14" s="115"/>
      <c r="M14" s="116"/>
      <c r="N14" s="115"/>
      <c r="O14" s="138"/>
      <c r="P14" s="138"/>
      <c r="Q14" s="202"/>
      <c r="R14" s="202"/>
      <c r="S14" s="139"/>
      <c r="T14" s="82"/>
      <c r="U14" s="82"/>
    </row>
    <row r="15" spans="1:24" ht="12.2" customHeight="1" x14ac:dyDescent="0.2">
      <c r="A15" s="117"/>
      <c r="B15" s="118">
        <f t="shared" ref="B15:B33" si="2">IF(A14&lt;&gt;"",B14+F15-I14,0)</f>
        <v>0</v>
      </c>
      <c r="C15" s="118">
        <f t="shared" ref="C15:C33" si="3">IF(A14&lt;&gt;"",C14+F15-I15,0)</f>
        <v>0</v>
      </c>
      <c r="D15" s="108">
        <f t="shared" ref="D15:D33" si="4">IF(A14&lt;&gt;"",D14+G15-J14,0)</f>
        <v>0</v>
      </c>
      <c r="E15" s="119"/>
      <c r="F15" s="151"/>
      <c r="G15" s="119"/>
      <c r="H15" s="111">
        <f t="shared" si="0"/>
        <v>0</v>
      </c>
      <c r="I15" s="112">
        <f t="shared" si="1"/>
        <v>0</v>
      </c>
      <c r="J15" s="113">
        <f t="shared" ref="J15:J46" si="5">IF(C15&gt;0,IF(B15&gt;0,(I15/B15)*D15,0),D15)</f>
        <v>0</v>
      </c>
      <c r="K15" s="114"/>
      <c r="L15" s="112"/>
      <c r="M15" s="116"/>
      <c r="N15" s="112"/>
      <c r="O15" s="140"/>
      <c r="P15" s="140"/>
      <c r="Q15" s="158"/>
      <c r="R15" s="158"/>
      <c r="S15" s="141"/>
      <c r="T15" s="82"/>
      <c r="U15" s="82"/>
    </row>
    <row r="16" spans="1:24" ht="12.2" customHeight="1" x14ac:dyDescent="0.2">
      <c r="A16" s="117"/>
      <c r="B16" s="118">
        <f t="shared" si="2"/>
        <v>0</v>
      </c>
      <c r="C16" s="118">
        <f t="shared" si="3"/>
        <v>0</v>
      </c>
      <c r="D16" s="108">
        <f t="shared" si="4"/>
        <v>0</v>
      </c>
      <c r="E16" s="119"/>
      <c r="F16" s="151"/>
      <c r="G16" s="119"/>
      <c r="H16" s="111">
        <f t="shared" si="0"/>
        <v>0</v>
      </c>
      <c r="I16" s="112">
        <f t="shared" si="1"/>
        <v>0</v>
      </c>
      <c r="J16" s="113">
        <f t="shared" si="5"/>
        <v>0</v>
      </c>
      <c r="K16" s="114"/>
      <c r="L16" s="112"/>
      <c r="M16" s="116"/>
      <c r="N16" s="112"/>
      <c r="O16" s="140"/>
      <c r="P16" s="140"/>
      <c r="Q16" s="158"/>
      <c r="R16" s="158"/>
      <c r="S16" s="141"/>
      <c r="T16" s="82"/>
      <c r="U16" s="82"/>
      <c r="W16" s="62"/>
      <c r="X16" s="62"/>
    </row>
    <row r="17" spans="1:24" ht="12.2" customHeight="1" x14ac:dyDescent="0.2">
      <c r="A17" s="117"/>
      <c r="B17" s="118">
        <f t="shared" si="2"/>
        <v>0</v>
      </c>
      <c r="C17" s="118">
        <f t="shared" si="3"/>
        <v>0</v>
      </c>
      <c r="D17" s="108">
        <f t="shared" si="4"/>
        <v>0</v>
      </c>
      <c r="E17" s="119"/>
      <c r="F17" s="151"/>
      <c r="G17" s="119"/>
      <c r="H17" s="111">
        <f t="shared" si="0"/>
        <v>0</v>
      </c>
      <c r="I17" s="112">
        <f t="shared" si="1"/>
        <v>0</v>
      </c>
      <c r="J17" s="113">
        <f t="shared" si="5"/>
        <v>0</v>
      </c>
      <c r="K17" s="114"/>
      <c r="L17" s="112"/>
      <c r="M17" s="116"/>
      <c r="N17" s="112"/>
      <c r="O17" s="140"/>
      <c r="P17" s="140"/>
      <c r="Q17" s="158"/>
      <c r="R17" s="158"/>
      <c r="S17" s="141"/>
      <c r="T17" s="82"/>
      <c r="U17" s="82"/>
      <c r="W17" s="62"/>
    </row>
    <row r="18" spans="1:24" ht="12.2" customHeight="1" x14ac:dyDescent="0.2">
      <c r="A18" s="117"/>
      <c r="B18" s="118">
        <f t="shared" si="2"/>
        <v>0</v>
      </c>
      <c r="C18" s="118">
        <f t="shared" si="3"/>
        <v>0</v>
      </c>
      <c r="D18" s="108">
        <f t="shared" si="4"/>
        <v>0</v>
      </c>
      <c r="E18" s="119"/>
      <c r="F18" s="151"/>
      <c r="G18" s="119"/>
      <c r="H18" s="111">
        <f t="shared" si="0"/>
        <v>0</v>
      </c>
      <c r="I18" s="112">
        <f t="shared" si="1"/>
        <v>0</v>
      </c>
      <c r="J18" s="113">
        <f t="shared" si="5"/>
        <v>0</v>
      </c>
      <c r="K18" s="114"/>
      <c r="L18" s="112"/>
      <c r="M18" s="116"/>
      <c r="N18" s="112"/>
      <c r="O18" s="140"/>
      <c r="P18" s="140"/>
      <c r="Q18" s="158"/>
      <c r="R18" s="158"/>
      <c r="S18" s="141"/>
      <c r="T18" s="82"/>
      <c r="U18" s="82"/>
      <c r="W18" s="62"/>
      <c r="X18" s="62"/>
    </row>
    <row r="19" spans="1:24" ht="12.2" customHeight="1" x14ac:dyDescent="0.2">
      <c r="A19" s="117"/>
      <c r="B19" s="118">
        <f t="shared" si="2"/>
        <v>0</v>
      </c>
      <c r="C19" s="118">
        <f t="shared" si="3"/>
        <v>0</v>
      </c>
      <c r="D19" s="108">
        <f t="shared" si="4"/>
        <v>0</v>
      </c>
      <c r="E19" s="119"/>
      <c r="F19" s="151"/>
      <c r="G19" s="119"/>
      <c r="H19" s="111">
        <f t="shared" si="0"/>
        <v>0</v>
      </c>
      <c r="I19" s="112">
        <f t="shared" si="1"/>
        <v>0</v>
      </c>
      <c r="J19" s="113">
        <f t="shared" si="5"/>
        <v>0</v>
      </c>
      <c r="K19" s="114"/>
      <c r="L19" s="112"/>
      <c r="M19" s="116"/>
      <c r="N19" s="112"/>
      <c r="O19" s="140"/>
      <c r="P19" s="140"/>
      <c r="Q19" s="158"/>
      <c r="R19" s="158"/>
      <c r="S19" s="141"/>
      <c r="T19" s="82"/>
      <c r="U19" s="82"/>
      <c r="W19" s="62"/>
      <c r="X19" s="62"/>
    </row>
    <row r="20" spans="1:24" ht="12.2" customHeight="1" x14ac:dyDescent="0.2">
      <c r="A20" s="117"/>
      <c r="B20" s="118">
        <f t="shared" si="2"/>
        <v>0</v>
      </c>
      <c r="C20" s="118">
        <f t="shared" si="3"/>
        <v>0</v>
      </c>
      <c r="D20" s="108">
        <f t="shared" si="4"/>
        <v>0</v>
      </c>
      <c r="E20" s="119"/>
      <c r="F20" s="151"/>
      <c r="G20" s="119"/>
      <c r="H20" s="111">
        <f t="shared" si="0"/>
        <v>0</v>
      </c>
      <c r="I20" s="112">
        <f t="shared" si="1"/>
        <v>0</v>
      </c>
      <c r="J20" s="113">
        <f t="shared" si="5"/>
        <v>0</v>
      </c>
      <c r="K20" s="114"/>
      <c r="L20" s="112"/>
      <c r="M20" s="116"/>
      <c r="N20" s="112"/>
      <c r="O20" s="140"/>
      <c r="P20" s="140"/>
      <c r="Q20" s="158"/>
      <c r="R20" s="158"/>
      <c r="S20" s="141"/>
      <c r="T20" s="82"/>
      <c r="U20" s="82"/>
      <c r="W20" s="62"/>
      <c r="X20" s="62"/>
    </row>
    <row r="21" spans="1:24" ht="12.2" customHeight="1" x14ac:dyDescent="0.2">
      <c r="A21" s="117"/>
      <c r="B21" s="118">
        <f t="shared" si="2"/>
        <v>0</v>
      </c>
      <c r="C21" s="118">
        <f t="shared" si="3"/>
        <v>0</v>
      </c>
      <c r="D21" s="108">
        <f t="shared" si="4"/>
        <v>0</v>
      </c>
      <c r="E21" s="119"/>
      <c r="F21" s="151"/>
      <c r="G21" s="119"/>
      <c r="H21" s="111">
        <f t="shared" si="0"/>
        <v>0</v>
      </c>
      <c r="I21" s="112">
        <f t="shared" si="1"/>
        <v>0</v>
      </c>
      <c r="J21" s="113">
        <f t="shared" si="5"/>
        <v>0</v>
      </c>
      <c r="K21" s="114"/>
      <c r="L21" s="112"/>
      <c r="M21" s="116"/>
      <c r="N21" s="112"/>
      <c r="O21" s="140"/>
      <c r="P21" s="140"/>
      <c r="Q21" s="158"/>
      <c r="R21" s="158"/>
      <c r="S21" s="141"/>
      <c r="T21" s="82"/>
      <c r="U21" s="82"/>
      <c r="W21" s="62"/>
      <c r="X21" s="62"/>
    </row>
    <row r="22" spans="1:24" ht="12.2" customHeight="1" x14ac:dyDescent="0.2">
      <c r="A22" s="117"/>
      <c r="B22" s="118">
        <f t="shared" si="2"/>
        <v>0</v>
      </c>
      <c r="C22" s="118">
        <f t="shared" si="3"/>
        <v>0</v>
      </c>
      <c r="D22" s="108">
        <f t="shared" si="4"/>
        <v>0</v>
      </c>
      <c r="E22" s="119"/>
      <c r="F22" s="151"/>
      <c r="G22" s="119"/>
      <c r="H22" s="111">
        <f t="shared" si="0"/>
        <v>0</v>
      </c>
      <c r="I22" s="112">
        <f t="shared" si="1"/>
        <v>0</v>
      </c>
      <c r="J22" s="113">
        <f t="shared" si="5"/>
        <v>0</v>
      </c>
      <c r="K22" s="114"/>
      <c r="L22" s="112"/>
      <c r="M22" s="116"/>
      <c r="N22" s="112"/>
      <c r="O22" s="140"/>
      <c r="P22" s="140"/>
      <c r="Q22" s="158"/>
      <c r="R22" s="158"/>
      <c r="S22" s="141"/>
      <c r="T22" s="82"/>
      <c r="U22" s="82"/>
      <c r="W22" s="62"/>
      <c r="X22" s="62"/>
    </row>
    <row r="23" spans="1:24" ht="12.2" customHeight="1" x14ac:dyDescent="0.2">
      <c r="A23" s="117"/>
      <c r="B23" s="118">
        <f t="shared" si="2"/>
        <v>0</v>
      </c>
      <c r="C23" s="118">
        <f t="shared" si="3"/>
        <v>0</v>
      </c>
      <c r="D23" s="108">
        <f t="shared" si="4"/>
        <v>0</v>
      </c>
      <c r="E23" s="119"/>
      <c r="F23" s="151"/>
      <c r="G23" s="119"/>
      <c r="H23" s="111">
        <f t="shared" si="0"/>
        <v>0</v>
      </c>
      <c r="I23" s="112">
        <f t="shared" si="1"/>
        <v>0</v>
      </c>
      <c r="J23" s="113">
        <f t="shared" si="5"/>
        <v>0</v>
      </c>
      <c r="K23" s="114"/>
      <c r="L23" s="112"/>
      <c r="M23" s="116"/>
      <c r="N23" s="112"/>
      <c r="O23" s="140"/>
      <c r="P23" s="140"/>
      <c r="Q23" s="158"/>
      <c r="R23" s="158"/>
      <c r="S23" s="141"/>
      <c r="T23" s="82"/>
      <c r="U23" s="82"/>
      <c r="W23" s="62"/>
      <c r="X23" s="62"/>
    </row>
    <row r="24" spans="1:24" ht="12.2" customHeight="1" x14ac:dyDescent="0.2">
      <c r="A24" s="117"/>
      <c r="B24" s="118">
        <f t="shared" si="2"/>
        <v>0</v>
      </c>
      <c r="C24" s="118">
        <f t="shared" si="3"/>
        <v>0</v>
      </c>
      <c r="D24" s="108">
        <f t="shared" si="4"/>
        <v>0</v>
      </c>
      <c r="E24" s="119"/>
      <c r="F24" s="151"/>
      <c r="G24" s="119"/>
      <c r="H24" s="111">
        <f t="shared" si="0"/>
        <v>0</v>
      </c>
      <c r="I24" s="112">
        <f t="shared" si="1"/>
        <v>0</v>
      </c>
      <c r="J24" s="113">
        <f t="shared" si="5"/>
        <v>0</v>
      </c>
      <c r="K24" s="114"/>
      <c r="L24" s="112"/>
      <c r="M24" s="116"/>
      <c r="N24" s="112"/>
      <c r="O24" s="140"/>
      <c r="P24" s="140"/>
      <c r="Q24" s="158"/>
      <c r="R24" s="158"/>
      <c r="S24" s="141"/>
      <c r="T24" s="82">
        <v>0</v>
      </c>
      <c r="U24" s="82"/>
    </row>
    <row r="25" spans="1:24" ht="12.2" customHeight="1" x14ac:dyDescent="0.2">
      <c r="A25" s="117"/>
      <c r="B25" s="118">
        <f t="shared" si="2"/>
        <v>0</v>
      </c>
      <c r="C25" s="118">
        <f t="shared" si="3"/>
        <v>0</v>
      </c>
      <c r="D25" s="108">
        <f t="shared" si="4"/>
        <v>0</v>
      </c>
      <c r="E25" s="119"/>
      <c r="F25" s="151"/>
      <c r="G25" s="119"/>
      <c r="H25" s="111">
        <f t="shared" si="0"/>
        <v>0</v>
      </c>
      <c r="I25" s="112">
        <f t="shared" si="1"/>
        <v>0</v>
      </c>
      <c r="J25" s="113">
        <f t="shared" si="5"/>
        <v>0</v>
      </c>
      <c r="K25" s="114"/>
      <c r="L25" s="112"/>
      <c r="M25" s="116"/>
      <c r="N25" s="112"/>
      <c r="O25" s="140"/>
      <c r="P25" s="140"/>
      <c r="Q25" s="158"/>
      <c r="R25" s="158"/>
      <c r="S25" s="141"/>
      <c r="T25" s="82">
        <v>0</v>
      </c>
      <c r="U25" s="82"/>
      <c r="W25" s="62"/>
      <c r="X25" s="62"/>
    </row>
    <row r="26" spans="1:24" ht="12.2" customHeight="1" x14ac:dyDescent="0.2">
      <c r="A26" s="117"/>
      <c r="B26" s="118">
        <f t="shared" si="2"/>
        <v>0</v>
      </c>
      <c r="C26" s="118">
        <f t="shared" si="3"/>
        <v>0</v>
      </c>
      <c r="D26" s="108">
        <f t="shared" si="4"/>
        <v>0</v>
      </c>
      <c r="E26" s="119"/>
      <c r="F26" s="151"/>
      <c r="G26" s="119"/>
      <c r="H26" s="111">
        <f t="shared" si="0"/>
        <v>0</v>
      </c>
      <c r="I26" s="112">
        <f t="shared" si="1"/>
        <v>0</v>
      </c>
      <c r="J26" s="113">
        <f t="shared" si="5"/>
        <v>0</v>
      </c>
      <c r="K26" s="114"/>
      <c r="L26" s="112"/>
      <c r="M26" s="116"/>
      <c r="N26" s="112"/>
      <c r="O26" s="140"/>
      <c r="P26" s="140"/>
      <c r="Q26" s="158"/>
      <c r="R26" s="158"/>
      <c r="S26" s="141"/>
      <c r="T26" s="82">
        <v>0</v>
      </c>
      <c r="U26" s="82"/>
      <c r="W26" s="62"/>
      <c r="X26" s="62"/>
    </row>
    <row r="27" spans="1:24" ht="12.2" customHeight="1" x14ac:dyDescent="0.2">
      <c r="A27" s="117"/>
      <c r="B27" s="118">
        <f t="shared" si="2"/>
        <v>0</v>
      </c>
      <c r="C27" s="118">
        <f t="shared" si="3"/>
        <v>0</v>
      </c>
      <c r="D27" s="108">
        <f t="shared" si="4"/>
        <v>0</v>
      </c>
      <c r="E27" s="119"/>
      <c r="F27" s="151"/>
      <c r="G27" s="119"/>
      <c r="H27" s="111">
        <f t="shared" si="0"/>
        <v>0</v>
      </c>
      <c r="I27" s="112">
        <f t="shared" si="1"/>
        <v>0</v>
      </c>
      <c r="J27" s="113">
        <f t="shared" si="5"/>
        <v>0</v>
      </c>
      <c r="K27" s="114"/>
      <c r="L27" s="112"/>
      <c r="M27" s="116"/>
      <c r="N27" s="112"/>
      <c r="O27" s="140"/>
      <c r="P27" s="140"/>
      <c r="Q27" s="158"/>
      <c r="R27" s="158"/>
      <c r="S27" s="141"/>
      <c r="T27" s="82"/>
      <c r="U27" s="82"/>
      <c r="W27" s="62"/>
      <c r="X27" s="62"/>
    </row>
    <row r="28" spans="1:24" ht="12.2" customHeight="1" x14ac:dyDescent="0.2">
      <c r="A28" s="117"/>
      <c r="B28" s="118">
        <f t="shared" si="2"/>
        <v>0</v>
      </c>
      <c r="C28" s="118">
        <f t="shared" si="3"/>
        <v>0</v>
      </c>
      <c r="D28" s="108">
        <f t="shared" si="4"/>
        <v>0</v>
      </c>
      <c r="E28" s="119"/>
      <c r="F28" s="151"/>
      <c r="G28" s="119"/>
      <c r="H28" s="111">
        <f t="shared" si="0"/>
        <v>0</v>
      </c>
      <c r="I28" s="112">
        <f t="shared" si="1"/>
        <v>0</v>
      </c>
      <c r="J28" s="113">
        <f t="shared" si="5"/>
        <v>0</v>
      </c>
      <c r="K28" s="114"/>
      <c r="L28" s="112"/>
      <c r="M28" s="116"/>
      <c r="N28" s="112"/>
      <c r="O28" s="140"/>
      <c r="P28" s="140"/>
      <c r="Q28" s="158"/>
      <c r="R28" s="158"/>
      <c r="S28" s="141"/>
      <c r="T28" s="82">
        <v>0</v>
      </c>
      <c r="U28" s="82"/>
      <c r="W28" s="62"/>
      <c r="X28" s="62"/>
    </row>
    <row r="29" spans="1:24" ht="12.2" customHeight="1" x14ac:dyDescent="0.2">
      <c r="A29" s="117"/>
      <c r="B29" s="118">
        <f t="shared" si="2"/>
        <v>0</v>
      </c>
      <c r="C29" s="118">
        <f t="shared" si="3"/>
        <v>0</v>
      </c>
      <c r="D29" s="108">
        <f t="shared" si="4"/>
        <v>0</v>
      </c>
      <c r="E29" s="119"/>
      <c r="F29" s="151"/>
      <c r="G29" s="119"/>
      <c r="H29" s="111">
        <f t="shared" si="0"/>
        <v>0</v>
      </c>
      <c r="I29" s="112">
        <f t="shared" si="1"/>
        <v>0</v>
      </c>
      <c r="J29" s="113">
        <f t="shared" si="5"/>
        <v>0</v>
      </c>
      <c r="K29" s="114"/>
      <c r="L29" s="112"/>
      <c r="M29" s="120"/>
      <c r="N29" s="112"/>
      <c r="O29" s="140"/>
      <c r="P29" s="140"/>
      <c r="Q29" s="158"/>
      <c r="R29" s="158"/>
      <c r="S29" s="141"/>
      <c r="T29" s="82">
        <v>0</v>
      </c>
      <c r="U29" s="82"/>
    </row>
    <row r="30" spans="1:24" ht="12.2" customHeight="1" x14ac:dyDescent="0.2">
      <c r="A30" s="117"/>
      <c r="B30" s="118">
        <f t="shared" si="2"/>
        <v>0</v>
      </c>
      <c r="C30" s="118">
        <f t="shared" si="3"/>
        <v>0</v>
      </c>
      <c r="D30" s="108">
        <f t="shared" si="4"/>
        <v>0</v>
      </c>
      <c r="E30" s="119"/>
      <c r="F30" s="151"/>
      <c r="G30" s="119"/>
      <c r="H30" s="111">
        <f t="shared" si="0"/>
        <v>0</v>
      </c>
      <c r="I30" s="112">
        <f t="shared" si="1"/>
        <v>0</v>
      </c>
      <c r="J30" s="113">
        <f t="shared" si="5"/>
        <v>0</v>
      </c>
      <c r="K30" s="114"/>
      <c r="L30" s="112"/>
      <c r="M30" s="120"/>
      <c r="N30" s="112"/>
      <c r="O30" s="140"/>
      <c r="P30" s="140"/>
      <c r="Q30" s="158"/>
      <c r="R30" s="158"/>
      <c r="S30" s="141"/>
      <c r="T30" s="62">
        <v>0</v>
      </c>
      <c r="U30" s="62"/>
      <c r="W30" s="62"/>
      <c r="X30" s="62"/>
    </row>
    <row r="31" spans="1:24" ht="12.2" customHeight="1" x14ac:dyDescent="0.2">
      <c r="A31" s="117"/>
      <c r="B31" s="118">
        <f t="shared" si="2"/>
        <v>0</v>
      </c>
      <c r="C31" s="118">
        <f t="shared" si="3"/>
        <v>0</v>
      </c>
      <c r="D31" s="108">
        <f t="shared" si="4"/>
        <v>0</v>
      </c>
      <c r="E31" s="119"/>
      <c r="F31" s="119"/>
      <c r="G31" s="119"/>
      <c r="H31" s="111">
        <f t="shared" si="0"/>
        <v>0</v>
      </c>
      <c r="I31" s="112">
        <f t="shared" si="1"/>
        <v>0</v>
      </c>
      <c r="J31" s="113">
        <f t="shared" si="5"/>
        <v>0</v>
      </c>
      <c r="K31" s="114"/>
      <c r="L31" s="112"/>
      <c r="M31" s="120"/>
      <c r="N31" s="112"/>
      <c r="O31" s="140"/>
      <c r="P31" s="140"/>
      <c r="Q31" s="158"/>
      <c r="R31" s="158"/>
      <c r="S31" s="141"/>
      <c r="T31" s="62">
        <v>0</v>
      </c>
      <c r="U31" s="62"/>
    </row>
    <row r="32" spans="1:24" ht="12.2" customHeight="1" x14ac:dyDescent="0.2">
      <c r="A32" s="117"/>
      <c r="B32" s="118">
        <f t="shared" si="2"/>
        <v>0</v>
      </c>
      <c r="C32" s="118">
        <f t="shared" si="3"/>
        <v>0</v>
      </c>
      <c r="D32" s="108">
        <f t="shared" si="4"/>
        <v>0</v>
      </c>
      <c r="E32" s="119"/>
      <c r="F32" s="119"/>
      <c r="G32" s="119"/>
      <c r="H32" s="111">
        <f t="shared" si="0"/>
        <v>0</v>
      </c>
      <c r="I32" s="112">
        <f t="shared" si="1"/>
        <v>0</v>
      </c>
      <c r="J32" s="113">
        <f t="shared" si="5"/>
        <v>0</v>
      </c>
      <c r="K32" s="114"/>
      <c r="L32" s="112"/>
      <c r="M32" s="120"/>
      <c r="N32" s="112"/>
      <c r="O32" s="140"/>
      <c r="P32" s="140"/>
      <c r="Q32" s="158"/>
      <c r="R32" s="158"/>
      <c r="S32" s="141"/>
      <c r="T32" s="62">
        <v>0</v>
      </c>
      <c r="U32" s="62"/>
    </row>
    <row r="33" spans="1:24" ht="12.2" customHeight="1" x14ac:dyDescent="0.2">
      <c r="A33" s="117"/>
      <c r="B33" s="118">
        <f t="shared" si="2"/>
        <v>0</v>
      </c>
      <c r="C33" s="118">
        <f t="shared" si="3"/>
        <v>0</v>
      </c>
      <c r="D33" s="108">
        <f t="shared" si="4"/>
        <v>0</v>
      </c>
      <c r="E33" s="119"/>
      <c r="F33" s="119"/>
      <c r="G33" s="119"/>
      <c r="H33" s="111">
        <f t="shared" si="0"/>
        <v>0</v>
      </c>
      <c r="I33" s="112">
        <f t="shared" si="1"/>
        <v>0</v>
      </c>
      <c r="J33" s="113">
        <f t="shared" si="5"/>
        <v>0</v>
      </c>
      <c r="K33" s="114"/>
      <c r="L33" s="112"/>
      <c r="M33" s="120"/>
      <c r="N33" s="112"/>
      <c r="O33" s="140"/>
      <c r="P33" s="140"/>
      <c r="Q33" s="158"/>
      <c r="R33" s="158"/>
      <c r="S33" s="141"/>
      <c r="T33" s="62">
        <v>0</v>
      </c>
      <c r="U33" s="62"/>
      <c r="W33" s="62"/>
      <c r="X33" s="62"/>
    </row>
    <row r="34" spans="1:24" ht="12.2" customHeight="1" x14ac:dyDescent="0.2">
      <c r="A34" s="117"/>
      <c r="B34" s="118">
        <f>IF(A33&lt;&gt;"",B33+F34-I33,0)</f>
        <v>0</v>
      </c>
      <c r="C34" s="118">
        <f>IF(A33&lt;&gt;"",C33+F34-I34,0)</f>
        <v>0</v>
      </c>
      <c r="D34" s="108">
        <f>IF(A33&lt;&gt;"",D33+G34-J33,0)</f>
        <v>0</v>
      </c>
      <c r="E34" s="119"/>
      <c r="F34" s="119"/>
      <c r="G34" s="119"/>
      <c r="H34" s="111">
        <f t="shared" si="0"/>
        <v>0</v>
      </c>
      <c r="I34" s="112">
        <f t="shared" si="1"/>
        <v>0</v>
      </c>
      <c r="J34" s="113">
        <f t="shared" si="5"/>
        <v>0</v>
      </c>
      <c r="K34" s="114"/>
      <c r="L34" s="112"/>
      <c r="M34" s="120"/>
      <c r="N34" s="112"/>
      <c r="O34" s="140"/>
      <c r="P34" s="140"/>
      <c r="Q34" s="158"/>
      <c r="R34" s="158"/>
      <c r="S34" s="141"/>
      <c r="T34" s="62">
        <v>0</v>
      </c>
      <c r="U34" s="62"/>
    </row>
    <row r="35" spans="1:24" ht="12.2" customHeight="1" x14ac:dyDescent="0.2">
      <c r="A35" s="117"/>
      <c r="B35" s="118">
        <f t="shared" ref="B35:B45" si="6">IF(A34&lt;&gt;"",B34+F35-I34,0)</f>
        <v>0</v>
      </c>
      <c r="C35" s="118">
        <f t="shared" ref="C35:C45" si="7">IF(A34&lt;&gt;"",C34+F35-I35,0)</f>
        <v>0</v>
      </c>
      <c r="D35" s="108">
        <f t="shared" ref="D35:D45" si="8">IF(A34&lt;&gt;"",D34+G35-J34,0)</f>
        <v>0</v>
      </c>
      <c r="E35" s="119"/>
      <c r="F35" s="119"/>
      <c r="G35" s="119"/>
      <c r="H35" s="111">
        <f>IF(A35&lt;&gt;"",IF(E35&lt;0,B35-ABS(E35),B35+E35),-B35)</f>
        <v>0</v>
      </c>
      <c r="I35" s="112">
        <f t="shared" si="1"/>
        <v>0</v>
      </c>
      <c r="J35" s="113">
        <f t="shared" si="5"/>
        <v>0</v>
      </c>
      <c r="K35" s="114"/>
      <c r="L35" s="112"/>
      <c r="M35" s="120"/>
      <c r="N35" s="112"/>
      <c r="O35" s="140"/>
      <c r="P35" s="140"/>
      <c r="Q35" s="158"/>
      <c r="R35" s="158"/>
      <c r="S35" s="141"/>
      <c r="T35" s="62">
        <v>0</v>
      </c>
      <c r="U35" s="62"/>
      <c r="W35" s="62"/>
      <c r="X35" s="62"/>
    </row>
    <row r="36" spans="1:24" ht="12.2" customHeight="1" x14ac:dyDescent="0.2">
      <c r="A36" s="117"/>
      <c r="B36" s="118">
        <f t="shared" si="6"/>
        <v>0</v>
      </c>
      <c r="C36" s="118">
        <f t="shared" si="7"/>
        <v>0</v>
      </c>
      <c r="D36" s="108">
        <f t="shared" si="8"/>
        <v>0</v>
      </c>
      <c r="E36" s="119"/>
      <c r="F36" s="119"/>
      <c r="G36" s="119"/>
      <c r="H36" s="111">
        <f t="shared" ref="H36:H46" si="9">IF(A36&lt;&gt;"",IF(E36&lt;0,B36-ABS(E36),B36+E36),-B36)</f>
        <v>0</v>
      </c>
      <c r="I36" s="112">
        <f t="shared" si="1"/>
        <v>0</v>
      </c>
      <c r="J36" s="113">
        <f t="shared" si="5"/>
        <v>0</v>
      </c>
      <c r="K36" s="114"/>
      <c r="L36" s="112"/>
      <c r="M36" s="120"/>
      <c r="N36" s="112"/>
      <c r="O36" s="140"/>
      <c r="P36" s="140"/>
      <c r="Q36" s="158"/>
      <c r="R36" s="158"/>
      <c r="S36" s="141"/>
      <c r="T36" s="62">
        <v>0</v>
      </c>
      <c r="U36" s="62"/>
    </row>
    <row r="37" spans="1:24" ht="12.2" customHeight="1" x14ac:dyDescent="0.2">
      <c r="A37" s="117"/>
      <c r="B37" s="118">
        <f t="shared" si="6"/>
        <v>0</v>
      </c>
      <c r="C37" s="118">
        <f t="shared" si="7"/>
        <v>0</v>
      </c>
      <c r="D37" s="108">
        <f t="shared" si="8"/>
        <v>0</v>
      </c>
      <c r="E37" s="119"/>
      <c r="F37" s="119"/>
      <c r="G37" s="119"/>
      <c r="H37" s="111">
        <f t="shared" si="9"/>
        <v>0</v>
      </c>
      <c r="I37" s="112">
        <f t="shared" si="1"/>
        <v>0</v>
      </c>
      <c r="J37" s="113">
        <f t="shared" si="5"/>
        <v>0</v>
      </c>
      <c r="K37" s="114"/>
      <c r="L37" s="121"/>
      <c r="M37" s="122"/>
      <c r="N37" s="121"/>
      <c r="O37" s="142"/>
      <c r="P37" s="142"/>
      <c r="Q37" s="241"/>
      <c r="R37" s="241"/>
      <c r="S37" s="143"/>
      <c r="T37" s="62">
        <v>0</v>
      </c>
      <c r="U37" s="62"/>
      <c r="W37" s="62"/>
      <c r="X37" s="62"/>
    </row>
    <row r="38" spans="1:24" ht="12.2" customHeight="1" x14ac:dyDescent="0.2">
      <c r="A38" s="117"/>
      <c r="B38" s="118">
        <f t="shared" si="6"/>
        <v>0</v>
      </c>
      <c r="C38" s="118">
        <f t="shared" si="7"/>
        <v>0</v>
      </c>
      <c r="D38" s="108">
        <f t="shared" si="8"/>
        <v>0</v>
      </c>
      <c r="E38" s="119"/>
      <c r="F38" s="119"/>
      <c r="G38" s="119"/>
      <c r="H38" s="111">
        <f t="shared" si="9"/>
        <v>0</v>
      </c>
      <c r="I38" s="112">
        <f t="shared" si="1"/>
        <v>0</v>
      </c>
      <c r="J38" s="113">
        <f t="shared" si="5"/>
        <v>0</v>
      </c>
      <c r="K38" s="114"/>
      <c r="L38" s="123">
        <f>SUM(L14:L37)</f>
        <v>0</v>
      </c>
      <c r="M38" s="124"/>
      <c r="N38" s="123">
        <f>SUM(N14:N37)</f>
        <v>0</v>
      </c>
      <c r="O38" s="125"/>
      <c r="P38" s="125"/>
      <c r="Q38" s="239"/>
      <c r="R38" s="240"/>
      <c r="S38" s="126">
        <f>SUM(S14:S37)</f>
        <v>0</v>
      </c>
      <c r="T38" s="62">
        <v>0</v>
      </c>
      <c r="U38" s="62"/>
      <c r="W38" s="62"/>
      <c r="X38" s="62"/>
    </row>
    <row r="39" spans="1:24" ht="12.2" customHeight="1" x14ac:dyDescent="0.2">
      <c r="A39" s="117"/>
      <c r="B39" s="118">
        <f t="shared" si="6"/>
        <v>0</v>
      </c>
      <c r="C39" s="118">
        <f t="shared" si="7"/>
        <v>0</v>
      </c>
      <c r="D39" s="108">
        <f t="shared" si="8"/>
        <v>0</v>
      </c>
      <c r="E39" s="119"/>
      <c r="F39" s="119"/>
      <c r="G39" s="119"/>
      <c r="H39" s="111">
        <f t="shared" si="9"/>
        <v>0</v>
      </c>
      <c r="I39" s="112">
        <f t="shared" si="1"/>
        <v>0</v>
      </c>
      <c r="J39" s="67">
        <f t="shared" si="5"/>
        <v>0</v>
      </c>
      <c r="K39" s="68"/>
      <c r="L39" s="229"/>
      <c r="M39" s="229"/>
      <c r="N39" s="229"/>
      <c r="O39" s="229"/>
      <c r="P39" s="229"/>
      <c r="Q39" s="229"/>
      <c r="R39" s="229"/>
      <c r="S39" s="229"/>
      <c r="T39" s="62">
        <v>0</v>
      </c>
      <c r="U39" s="62"/>
    </row>
    <row r="40" spans="1:24" ht="12.2" customHeight="1" x14ac:dyDescent="0.2">
      <c r="A40" s="127"/>
      <c r="B40" s="118">
        <f t="shared" si="6"/>
        <v>0</v>
      </c>
      <c r="C40" s="118">
        <f t="shared" si="7"/>
        <v>0</v>
      </c>
      <c r="D40" s="108">
        <f t="shared" si="8"/>
        <v>0</v>
      </c>
      <c r="E40" s="119"/>
      <c r="F40" s="119"/>
      <c r="G40" s="119"/>
      <c r="H40" s="111">
        <f t="shared" si="9"/>
        <v>0</v>
      </c>
      <c r="I40" s="112">
        <f t="shared" si="1"/>
        <v>0</v>
      </c>
      <c r="J40" s="67">
        <f t="shared" si="5"/>
        <v>0</v>
      </c>
      <c r="K40" s="68"/>
      <c r="L40" s="162" t="s">
        <v>46</v>
      </c>
      <c r="M40" s="163"/>
      <c r="N40" s="163"/>
      <c r="O40" s="163"/>
      <c r="P40" s="163"/>
      <c r="Q40" s="163"/>
      <c r="R40" s="163"/>
      <c r="S40" s="164"/>
      <c r="T40" s="62">
        <v>0</v>
      </c>
      <c r="U40" s="62"/>
    </row>
    <row r="41" spans="1:24" ht="12.2" customHeight="1" x14ac:dyDescent="0.2">
      <c r="A41" s="127"/>
      <c r="B41" s="118">
        <f t="shared" si="6"/>
        <v>0</v>
      </c>
      <c r="C41" s="118">
        <f t="shared" si="7"/>
        <v>0</v>
      </c>
      <c r="D41" s="108">
        <f t="shared" si="8"/>
        <v>0</v>
      </c>
      <c r="E41" s="119"/>
      <c r="F41" s="119"/>
      <c r="G41" s="119"/>
      <c r="H41" s="111">
        <f t="shared" si="9"/>
        <v>0</v>
      </c>
      <c r="I41" s="112">
        <f t="shared" si="1"/>
        <v>0</v>
      </c>
      <c r="J41" s="67">
        <f t="shared" si="5"/>
        <v>0</v>
      </c>
      <c r="K41" s="68"/>
      <c r="L41" s="155" t="s">
        <v>44</v>
      </c>
      <c r="M41" s="156"/>
      <c r="N41" s="156"/>
      <c r="O41" s="156"/>
      <c r="P41" s="156"/>
      <c r="Q41" s="156"/>
      <c r="R41" s="156"/>
      <c r="S41" s="157"/>
      <c r="T41" s="62">
        <v>0</v>
      </c>
      <c r="U41" s="62"/>
    </row>
    <row r="42" spans="1:24" ht="12.2" customHeight="1" x14ac:dyDescent="0.2">
      <c r="A42" s="127"/>
      <c r="B42" s="118">
        <f t="shared" si="6"/>
        <v>0</v>
      </c>
      <c r="C42" s="118">
        <f t="shared" si="7"/>
        <v>0</v>
      </c>
      <c r="D42" s="108">
        <f t="shared" si="8"/>
        <v>0</v>
      </c>
      <c r="E42" s="119"/>
      <c r="F42" s="119"/>
      <c r="G42" s="119"/>
      <c r="H42" s="111">
        <f t="shared" si="9"/>
        <v>0</v>
      </c>
      <c r="I42" s="112">
        <f t="shared" si="1"/>
        <v>0</v>
      </c>
      <c r="J42" s="67">
        <f t="shared" si="5"/>
        <v>0</v>
      </c>
      <c r="K42" s="68"/>
      <c r="L42" s="155"/>
      <c r="M42" s="156"/>
      <c r="N42" s="156"/>
      <c r="O42" s="156"/>
      <c r="P42" s="156"/>
      <c r="Q42" s="156"/>
      <c r="R42" s="156"/>
      <c r="S42" s="157"/>
      <c r="T42" s="62">
        <v>0</v>
      </c>
      <c r="U42" s="62"/>
    </row>
    <row r="43" spans="1:24" ht="12.2" customHeight="1" x14ac:dyDescent="0.2">
      <c r="A43" s="127"/>
      <c r="B43" s="118">
        <f t="shared" si="6"/>
        <v>0</v>
      </c>
      <c r="C43" s="118">
        <f t="shared" si="7"/>
        <v>0</v>
      </c>
      <c r="D43" s="108">
        <f t="shared" si="8"/>
        <v>0</v>
      </c>
      <c r="E43" s="119"/>
      <c r="F43" s="119"/>
      <c r="G43" s="119"/>
      <c r="H43" s="111">
        <f t="shared" si="9"/>
        <v>0</v>
      </c>
      <c r="I43" s="112">
        <f t="shared" si="1"/>
        <v>0</v>
      </c>
      <c r="J43" s="67">
        <f t="shared" si="5"/>
        <v>0</v>
      </c>
      <c r="K43" s="68"/>
      <c r="L43" s="155" t="s">
        <v>45</v>
      </c>
      <c r="M43" s="156"/>
      <c r="N43" s="156"/>
      <c r="O43" s="156"/>
      <c r="P43" s="156"/>
      <c r="Q43" s="156"/>
      <c r="R43" s="156"/>
      <c r="S43" s="157"/>
      <c r="T43" s="62">
        <v>0</v>
      </c>
      <c r="U43" s="62"/>
    </row>
    <row r="44" spans="1:24" ht="12.2" customHeight="1" x14ac:dyDescent="0.2">
      <c r="A44" s="127"/>
      <c r="B44" s="118">
        <f t="shared" si="6"/>
        <v>0</v>
      </c>
      <c r="C44" s="118">
        <f t="shared" si="7"/>
        <v>0</v>
      </c>
      <c r="D44" s="108">
        <f t="shared" si="8"/>
        <v>0</v>
      </c>
      <c r="E44" s="119"/>
      <c r="F44" s="119"/>
      <c r="G44" s="119"/>
      <c r="H44" s="111">
        <f t="shared" si="9"/>
        <v>0</v>
      </c>
      <c r="I44" s="112">
        <f t="shared" si="1"/>
        <v>0</v>
      </c>
      <c r="J44" s="67">
        <f t="shared" si="5"/>
        <v>0</v>
      </c>
      <c r="K44" s="68"/>
      <c r="L44" s="155"/>
      <c r="M44" s="156"/>
      <c r="N44" s="156"/>
      <c r="O44" s="156"/>
      <c r="P44" s="156"/>
      <c r="Q44" s="156"/>
      <c r="R44" s="156"/>
      <c r="S44" s="157"/>
      <c r="T44" s="62">
        <v>0</v>
      </c>
      <c r="U44" s="62"/>
    </row>
    <row r="45" spans="1:24" ht="12.2" customHeight="1" x14ac:dyDescent="0.2">
      <c r="A45" s="127"/>
      <c r="B45" s="118">
        <f t="shared" si="6"/>
        <v>0</v>
      </c>
      <c r="C45" s="118">
        <f t="shared" si="7"/>
        <v>0</v>
      </c>
      <c r="D45" s="108">
        <f t="shared" si="8"/>
        <v>0</v>
      </c>
      <c r="E45" s="119"/>
      <c r="F45" s="119"/>
      <c r="G45" s="119"/>
      <c r="H45" s="111">
        <f t="shared" si="9"/>
        <v>0</v>
      </c>
      <c r="I45" s="112">
        <f t="shared" si="1"/>
        <v>0</v>
      </c>
      <c r="J45" s="67">
        <f t="shared" si="5"/>
        <v>0</v>
      </c>
      <c r="K45" s="68"/>
      <c r="L45" s="155"/>
      <c r="M45" s="156"/>
      <c r="N45" s="156"/>
      <c r="O45" s="156"/>
      <c r="P45" s="156"/>
      <c r="Q45" s="156"/>
      <c r="R45" s="156"/>
      <c r="S45" s="157"/>
      <c r="T45" s="62">
        <v>0</v>
      </c>
      <c r="U45" s="62"/>
    </row>
    <row r="46" spans="1:24" ht="12.2" customHeight="1" x14ac:dyDescent="0.2">
      <c r="A46" s="127"/>
      <c r="B46" s="118">
        <f>IF(A45&lt;&gt;"",B45+F46-I45,0)</f>
        <v>0</v>
      </c>
      <c r="C46" s="118">
        <f>IF(A45&lt;&gt;"",C45+F46-I46,0)</f>
        <v>0</v>
      </c>
      <c r="D46" s="108">
        <f>IF(A45&lt;&gt;"",D45+G46-J45,0)</f>
        <v>0</v>
      </c>
      <c r="E46" s="119"/>
      <c r="F46" s="128"/>
      <c r="G46" s="137"/>
      <c r="H46" s="111">
        <f t="shared" si="9"/>
        <v>0</v>
      </c>
      <c r="I46" s="112">
        <f t="shared" si="1"/>
        <v>0</v>
      </c>
      <c r="J46" s="67">
        <f t="shared" si="5"/>
        <v>0</v>
      </c>
      <c r="K46" s="68"/>
      <c r="L46" s="155"/>
      <c r="M46" s="156"/>
      <c r="N46" s="156"/>
      <c r="O46" s="156"/>
      <c r="P46" s="156"/>
      <c r="Q46" s="156"/>
      <c r="R46" s="156"/>
      <c r="S46" s="157"/>
      <c r="T46" s="62">
        <v>0</v>
      </c>
      <c r="U46" s="62"/>
    </row>
    <row r="47" spans="1:24" ht="12.2" customHeight="1" x14ac:dyDescent="0.2">
      <c r="A47" s="103" t="s">
        <v>6</v>
      </c>
      <c r="B47" s="129"/>
      <c r="C47" s="130"/>
      <c r="D47" s="129"/>
      <c r="E47" s="125"/>
      <c r="F47" s="123">
        <f>SUM(F14:F46)</f>
        <v>0</v>
      </c>
      <c r="G47" s="123">
        <f>SUM(G14:G46)</f>
        <v>0</v>
      </c>
      <c r="H47" s="131"/>
      <c r="I47" s="123">
        <f>SUM(I14:I46)</f>
        <v>0</v>
      </c>
      <c r="J47" s="69">
        <f>SUM(J14:J46)</f>
        <v>0</v>
      </c>
      <c r="K47" s="68"/>
      <c r="L47" s="180"/>
      <c r="M47" s="181"/>
      <c r="N47" s="181"/>
      <c r="O47" s="181"/>
      <c r="P47" s="181"/>
      <c r="Q47" s="181"/>
      <c r="R47" s="181"/>
      <c r="S47" s="182"/>
      <c r="T47" s="62"/>
      <c r="U47" s="62"/>
      <c r="W47" s="62"/>
      <c r="X47" s="62"/>
    </row>
    <row r="48" spans="1:24" ht="5.0999999999999996" customHeight="1" x14ac:dyDescent="0.2">
      <c r="A48" s="44"/>
      <c r="B48" s="44"/>
      <c r="C48" s="44"/>
      <c r="D48" s="44"/>
      <c r="E48" s="44"/>
      <c r="F48" s="44"/>
      <c r="G48" s="44"/>
      <c r="H48" s="44"/>
      <c r="I48" s="44"/>
      <c r="J48" s="60"/>
      <c r="K48" s="44"/>
      <c r="L48" s="238">
        <v>0</v>
      </c>
      <c r="M48" s="238"/>
      <c r="N48" s="238"/>
      <c r="O48" s="238"/>
      <c r="P48" s="238"/>
      <c r="Q48" s="238"/>
      <c r="R48" s="238"/>
      <c r="S48" s="238"/>
    </row>
    <row r="49" spans="1:20" s="5" customFormat="1" ht="9" customHeight="1" x14ac:dyDescent="0.15">
      <c r="A49" s="101" t="s">
        <v>4</v>
      </c>
      <c r="B49" s="46"/>
      <c r="C49" s="46"/>
      <c r="D49" s="46"/>
      <c r="E49" s="45"/>
      <c r="F49" s="45"/>
      <c r="G49" s="45"/>
      <c r="H49" s="184" t="s">
        <v>5</v>
      </c>
      <c r="I49" s="185"/>
      <c r="J49" s="73"/>
      <c r="K49" s="71"/>
      <c r="L49" s="186" t="s">
        <v>30</v>
      </c>
      <c r="M49" s="187"/>
      <c r="N49" s="187"/>
      <c r="O49" s="187"/>
      <c r="P49" s="65"/>
      <c r="Q49" s="65"/>
      <c r="R49" s="45"/>
      <c r="S49" s="61"/>
      <c r="T49" s="6"/>
    </row>
    <row r="50" spans="1:20" ht="11.1" customHeight="1" x14ac:dyDescent="0.2">
      <c r="A50" s="219" t="s">
        <v>62</v>
      </c>
      <c r="B50" s="220"/>
      <c r="C50" s="220"/>
      <c r="D50" s="220"/>
      <c r="E50" s="220"/>
      <c r="F50" s="220"/>
      <c r="G50" s="221"/>
      <c r="H50" s="213"/>
      <c r="I50" s="214"/>
      <c r="J50" s="215"/>
      <c r="K50" s="72"/>
      <c r="L50" s="17"/>
      <c r="M50" s="18"/>
      <c r="N50" s="18"/>
      <c r="O50" s="63"/>
      <c r="P50" s="63"/>
      <c r="Q50" s="63"/>
      <c r="R50" s="15"/>
      <c r="S50" s="64"/>
      <c r="T50" s="4"/>
    </row>
    <row r="51" spans="1:20" ht="11.1" customHeight="1" x14ac:dyDescent="0.2">
      <c r="A51" s="222"/>
      <c r="B51" s="223"/>
      <c r="C51" s="223"/>
      <c r="D51" s="223"/>
      <c r="E51" s="223"/>
      <c r="F51" s="223"/>
      <c r="G51" s="224"/>
      <c r="H51" s="216"/>
      <c r="I51" s="217"/>
      <c r="J51" s="218"/>
      <c r="K51" s="72"/>
      <c r="L51" s="19"/>
      <c r="M51" s="20"/>
      <c r="N51" s="20"/>
      <c r="O51" s="66"/>
      <c r="P51" s="66"/>
      <c r="Q51" s="66"/>
      <c r="R51" s="16"/>
      <c r="S51" s="52"/>
      <c r="T51" s="4"/>
    </row>
    <row r="52" spans="1:20" ht="12" customHeight="1" x14ac:dyDescent="0.2">
      <c r="A52" s="33"/>
      <c r="B52" s="49"/>
      <c r="C52" s="49"/>
      <c r="D52" s="49"/>
      <c r="E52" s="98" t="s">
        <v>2</v>
      </c>
      <c r="F52" s="47"/>
      <c r="G52" s="47"/>
      <c r="H52" s="47"/>
      <c r="I52" s="47"/>
      <c r="J52" s="53"/>
      <c r="K52" s="47"/>
      <c r="L52" s="34"/>
      <c r="M52" s="34"/>
      <c r="N52" s="34"/>
      <c r="O52" s="34"/>
      <c r="P52" s="35"/>
      <c r="Q52" s="198" t="s">
        <v>43</v>
      </c>
      <c r="R52" s="198"/>
      <c r="S52" s="198"/>
    </row>
    <row r="53" spans="1:20" ht="12" customHeight="1" x14ac:dyDescent="0.2">
      <c r="A53" s="38"/>
      <c r="B53" s="37"/>
      <c r="C53" s="37"/>
      <c r="D53" s="37"/>
      <c r="E53" s="99" t="s">
        <v>3</v>
      </c>
      <c r="F53" s="48"/>
      <c r="G53" s="48"/>
      <c r="H53" s="48"/>
      <c r="I53" s="48"/>
      <c r="J53" s="54"/>
      <c r="K53" s="48"/>
      <c r="L53" s="36"/>
      <c r="M53" s="36"/>
      <c r="N53" s="36"/>
      <c r="O53" s="36"/>
      <c r="P53" s="39"/>
      <c r="Q53" s="36"/>
      <c r="R53" s="37"/>
      <c r="S53" s="37"/>
    </row>
    <row r="54" spans="1:20" ht="12" customHeight="1" x14ac:dyDescent="0.2">
      <c r="A54" s="38"/>
      <c r="B54" s="37"/>
      <c r="C54" s="37"/>
      <c r="D54" s="37"/>
      <c r="E54" s="99"/>
      <c r="F54" s="48"/>
      <c r="G54" s="48"/>
      <c r="H54" s="48"/>
      <c r="I54" s="48"/>
      <c r="J54" s="54"/>
      <c r="K54" s="48"/>
      <c r="L54" s="36"/>
      <c r="M54" s="36"/>
      <c r="N54" s="36"/>
      <c r="O54" s="36"/>
      <c r="P54" s="11"/>
      <c r="Q54" s="199" t="s">
        <v>1</v>
      </c>
      <c r="R54" s="199"/>
      <c r="S54" s="200"/>
    </row>
    <row r="55" spans="1:20" ht="12" customHeight="1" x14ac:dyDescent="0.2">
      <c r="A55" s="38"/>
      <c r="B55" s="37"/>
      <c r="C55" s="37"/>
      <c r="D55" s="37"/>
      <c r="E55" s="209" t="s">
        <v>32</v>
      </c>
      <c r="F55" s="209"/>
      <c r="G55" s="209"/>
      <c r="H55" s="209"/>
      <c r="I55" s="209"/>
      <c r="J55" s="209"/>
      <c r="K55" s="209"/>
      <c r="L55" s="209"/>
      <c r="M55" s="209"/>
      <c r="N55" s="209"/>
      <c r="O55" s="209"/>
      <c r="P55" s="210"/>
      <c r="Q55" s="102" t="s">
        <v>0</v>
      </c>
      <c r="R55" s="201" t="str">
        <f>IF(OR($A$66&lt;&gt;"",$N$66&lt;&gt;""),R4,"")</f>
        <v/>
      </c>
      <c r="S55" s="201"/>
    </row>
    <row r="56" spans="1:20" ht="12" customHeight="1" x14ac:dyDescent="0.2">
      <c r="A56" s="40"/>
      <c r="B56" s="50"/>
      <c r="C56" s="50"/>
      <c r="D56" s="50"/>
      <c r="E56" s="211"/>
      <c r="F56" s="211"/>
      <c r="G56" s="211"/>
      <c r="H56" s="211"/>
      <c r="I56" s="211"/>
      <c r="J56" s="211"/>
      <c r="K56" s="211"/>
      <c r="L56" s="211"/>
      <c r="M56" s="211"/>
      <c r="N56" s="211"/>
      <c r="O56" s="211"/>
      <c r="P56" s="212"/>
      <c r="Q56" s="102" t="s">
        <v>7</v>
      </c>
      <c r="R56" s="201" t="str">
        <f>IF(OR($A$66&lt;&gt;"",$N$66&lt;&gt;""),R5,"")</f>
        <v/>
      </c>
      <c r="S56" s="201"/>
    </row>
    <row r="57" spans="1:20" ht="5.0999999999999996" customHeight="1" x14ac:dyDescent="0.2">
      <c r="A57" s="41"/>
      <c r="B57" s="41"/>
      <c r="C57" s="41"/>
      <c r="D57" s="41"/>
      <c r="E57" s="41"/>
      <c r="F57" s="50"/>
      <c r="G57" s="41"/>
      <c r="H57" s="41"/>
      <c r="I57" s="41"/>
      <c r="J57" s="55"/>
      <c r="K57" s="41"/>
      <c r="L57" s="41"/>
      <c r="M57" s="41"/>
      <c r="N57" s="41"/>
      <c r="O57" s="41"/>
      <c r="P57" s="41"/>
      <c r="Q57" s="41"/>
      <c r="R57" s="37"/>
      <c r="S57" s="37"/>
    </row>
    <row r="58" spans="1:20" s="3" customFormat="1" ht="9" customHeight="1" x14ac:dyDescent="0.2">
      <c r="A58" s="100" t="s">
        <v>10</v>
      </c>
      <c r="B58" s="42"/>
      <c r="C58" s="42"/>
      <c r="D58" s="42"/>
      <c r="E58" s="42"/>
      <c r="F58" s="70"/>
      <c r="G58" s="42"/>
      <c r="H58" s="42"/>
      <c r="I58" s="42"/>
      <c r="J58" s="56"/>
      <c r="K58" s="42"/>
      <c r="L58" s="42"/>
      <c r="M58" s="42"/>
      <c r="N58" s="42"/>
      <c r="O58" s="42"/>
      <c r="P58" s="165" t="s">
        <v>8</v>
      </c>
      <c r="Q58" s="166"/>
      <c r="R58" s="166"/>
      <c r="S58" s="167"/>
    </row>
    <row r="59" spans="1:20" x14ac:dyDescent="0.2">
      <c r="A59" s="84" t="str">
        <f>IF(OR($A$66&lt;&gt;"",$N$66&lt;&gt;""),A8,"")</f>
        <v/>
      </c>
      <c r="B59" s="85"/>
      <c r="C59" s="85"/>
      <c r="D59" s="85"/>
      <c r="E59" s="85"/>
      <c r="F59" s="85"/>
      <c r="G59" s="85"/>
      <c r="H59" s="85"/>
      <c r="I59" s="85"/>
      <c r="J59" s="85"/>
      <c r="K59" s="85"/>
      <c r="L59" s="85"/>
      <c r="M59" s="85"/>
      <c r="N59" s="85"/>
      <c r="O59" s="86"/>
      <c r="P59" s="206" t="str">
        <f>IF(OR($A$66&lt;&gt;"",$N$66&lt;&gt;""),P8,"")</f>
        <v/>
      </c>
      <c r="Q59" s="207"/>
      <c r="R59" s="207"/>
      <c r="S59" s="208"/>
      <c r="T59" s="8"/>
    </row>
    <row r="60" spans="1:20" s="3" customFormat="1" ht="9" customHeight="1" x14ac:dyDescent="0.15">
      <c r="A60" s="100" t="s">
        <v>11</v>
      </c>
      <c r="B60" s="42"/>
      <c r="C60" s="42"/>
      <c r="D60" s="42"/>
      <c r="E60" s="42"/>
      <c r="F60" s="42"/>
      <c r="G60" s="42"/>
      <c r="H60" s="42"/>
      <c r="I60" s="42"/>
      <c r="J60" s="56"/>
      <c r="K60" s="42"/>
      <c r="L60" s="42"/>
      <c r="M60" s="42"/>
      <c r="N60" s="42"/>
      <c r="O60" s="42"/>
      <c r="P60" s="165" t="s">
        <v>9</v>
      </c>
      <c r="Q60" s="166"/>
      <c r="R60" s="166"/>
      <c r="S60" s="167"/>
      <c r="T60" s="9"/>
    </row>
    <row r="61" spans="1:20" x14ac:dyDescent="0.2">
      <c r="A61" s="84" t="str">
        <f>IF(OR($A$66&lt;&gt;"",$N$66&lt;&gt;""),A10,"")</f>
        <v/>
      </c>
      <c r="B61" s="85"/>
      <c r="C61" s="85"/>
      <c r="D61" s="85"/>
      <c r="E61" s="85"/>
      <c r="F61" s="85"/>
      <c r="G61" s="85"/>
      <c r="H61" s="85"/>
      <c r="I61" s="85"/>
      <c r="J61" s="85"/>
      <c r="K61" s="85"/>
      <c r="L61" s="85"/>
      <c r="M61" s="85"/>
      <c r="N61" s="85"/>
      <c r="O61" s="86"/>
      <c r="P61" s="203" t="str">
        <f>IF(OR($A$66&lt;&gt;"",$N$66&lt;&gt;""),P10,"")</f>
        <v/>
      </c>
      <c r="Q61" s="204"/>
      <c r="R61" s="204"/>
      <c r="S61" s="205"/>
      <c r="T61" s="10"/>
    </row>
    <row r="62" spans="1:20" ht="5.0999999999999996" customHeight="1" x14ac:dyDescent="0.2">
      <c r="A62" s="12"/>
      <c r="B62" s="12"/>
      <c r="C62" s="12"/>
      <c r="D62" s="12"/>
      <c r="E62" s="13"/>
      <c r="F62" s="13"/>
      <c r="G62" s="13"/>
      <c r="H62" s="13"/>
      <c r="I62" s="13"/>
      <c r="J62" s="57"/>
      <c r="K62" s="13"/>
      <c r="L62" s="13"/>
      <c r="M62" s="13"/>
      <c r="N62" s="13"/>
      <c r="O62" s="13"/>
      <c r="P62" s="13"/>
      <c r="Q62" s="13"/>
      <c r="R62" s="14"/>
      <c r="S62" s="14"/>
    </row>
    <row r="63" spans="1:20" s="2" customFormat="1" ht="10.5" customHeight="1" x14ac:dyDescent="0.15">
      <c r="A63" s="188" t="s">
        <v>12</v>
      </c>
      <c r="B63" s="27" t="s">
        <v>23</v>
      </c>
      <c r="C63" s="27" t="s">
        <v>24</v>
      </c>
      <c r="D63" s="27" t="s">
        <v>25</v>
      </c>
      <c r="E63" s="31" t="s">
        <v>14</v>
      </c>
      <c r="F63" s="190" t="s">
        <v>34</v>
      </c>
      <c r="G63" s="191"/>
      <c r="H63" s="190" t="s">
        <v>42</v>
      </c>
      <c r="I63" s="233"/>
      <c r="J63" s="58" t="s">
        <v>15</v>
      </c>
      <c r="K63" s="29"/>
      <c r="L63" s="104" t="s">
        <v>38</v>
      </c>
      <c r="M63" s="31" t="s">
        <v>27</v>
      </c>
      <c r="N63" s="90" t="s">
        <v>17</v>
      </c>
      <c r="O63" s="192" t="s">
        <v>18</v>
      </c>
      <c r="P63" s="192" t="s">
        <v>19</v>
      </c>
      <c r="Q63" s="196" t="s">
        <v>20</v>
      </c>
      <c r="R63" s="196"/>
      <c r="S63" s="32" t="s">
        <v>21</v>
      </c>
      <c r="T63" s="7"/>
    </row>
    <row r="64" spans="1:20" s="2" customFormat="1" ht="10.5" customHeight="1" x14ac:dyDescent="0.15">
      <c r="A64" s="189"/>
      <c r="B64" s="28" t="s">
        <v>24</v>
      </c>
      <c r="C64" s="28" t="s">
        <v>26</v>
      </c>
      <c r="D64" s="28" t="s">
        <v>26</v>
      </c>
      <c r="E64" s="25" t="s">
        <v>33</v>
      </c>
      <c r="F64" s="25" t="s">
        <v>28</v>
      </c>
      <c r="G64" s="26" t="s">
        <v>36</v>
      </c>
      <c r="H64" s="25" t="s">
        <v>37</v>
      </c>
      <c r="I64" s="25" t="s">
        <v>35</v>
      </c>
      <c r="J64" s="59" t="s">
        <v>13</v>
      </c>
      <c r="K64" s="30"/>
      <c r="L64" s="26" t="s">
        <v>39</v>
      </c>
      <c r="M64" s="25" t="s">
        <v>16</v>
      </c>
      <c r="N64" s="89" t="s">
        <v>40</v>
      </c>
      <c r="O64" s="193"/>
      <c r="P64" s="193"/>
      <c r="Q64" s="197"/>
      <c r="R64" s="197"/>
      <c r="S64" s="43" t="s">
        <v>22</v>
      </c>
    </row>
    <row r="65" spans="1:24" x14ac:dyDescent="0.2">
      <c r="A65" s="132" t="s">
        <v>29</v>
      </c>
      <c r="B65" s="133"/>
      <c r="C65" s="133"/>
      <c r="D65" s="133"/>
      <c r="E65" s="125"/>
      <c r="F65" s="123">
        <f>IF(OR($A$66&lt;&gt;"",$N$66&lt;&gt;""),F47,0)</f>
        <v>0</v>
      </c>
      <c r="G65" s="123">
        <f>IF(OR($A$66&lt;&gt;"",$N$66&lt;&gt;""),G47,0)</f>
        <v>0</v>
      </c>
      <c r="H65" s="125"/>
      <c r="I65" s="123">
        <f>IF(OR($A$66&lt;&gt;"",$N$66&lt;&gt;""),I47,0)</f>
        <v>0</v>
      </c>
      <c r="J65" s="69">
        <f>IF(OR($A$66&lt;&gt;"",$N$66&lt;&gt;""),J47,0)</f>
        <v>0</v>
      </c>
      <c r="K65" s="68"/>
      <c r="L65" s="123">
        <f>IF(OR($A$66&lt;&gt;"",$N$66&lt;&gt;""),L38,0)</f>
        <v>0</v>
      </c>
      <c r="M65" s="124"/>
      <c r="N65" s="123">
        <f>IF(OR($A$66&lt;&gt;"",$N$66&lt;&gt;""),N38,0)</f>
        <v>0</v>
      </c>
      <c r="O65" s="97"/>
      <c r="P65" s="97"/>
      <c r="Q65" s="160"/>
      <c r="R65" s="160"/>
      <c r="S65" s="123">
        <f>IF(OR($A$66&lt;&gt;"",$N$66&lt;&gt;""),S38,0)</f>
        <v>0</v>
      </c>
    </row>
    <row r="66" spans="1:24" x14ac:dyDescent="0.2">
      <c r="A66" s="134"/>
      <c r="B66" s="118">
        <f>IF(A46&lt;&gt;"",B46+F66-I46,0)</f>
        <v>0</v>
      </c>
      <c r="C66" s="118">
        <f>IF(A46&lt;&gt;"",C46+F66-I66,0)</f>
        <v>0</v>
      </c>
      <c r="D66" s="108">
        <f>IF(A46&lt;&gt;"",D46+G66-J46,0)</f>
        <v>0</v>
      </c>
      <c r="E66" s="109"/>
      <c r="F66" s="109"/>
      <c r="G66" s="109"/>
      <c r="H66" s="111">
        <f>IF(A66&lt;&gt;"",IF(E66&lt;0,B66-ABS(E66),B66+E66),-B66)</f>
        <v>0</v>
      </c>
      <c r="I66" s="112">
        <f>IF(A66&lt;&gt;"",IF(H66&gt;0,IF(H66&lt;B66,H66,B66),0),ABS(H66))</f>
        <v>0</v>
      </c>
      <c r="J66" s="67">
        <f>IF(C66&gt;0,IF(B66&gt;0,(I66/B66)*D66,0),D66)</f>
        <v>0</v>
      </c>
      <c r="K66" s="68"/>
      <c r="L66" s="115"/>
      <c r="M66" s="116"/>
      <c r="N66" s="115"/>
      <c r="O66" s="138"/>
      <c r="P66" s="138"/>
      <c r="Q66" s="202"/>
      <c r="R66" s="202"/>
      <c r="S66" s="139"/>
      <c r="T66" s="1">
        <v>0</v>
      </c>
    </row>
    <row r="67" spans="1:24" x14ac:dyDescent="0.2">
      <c r="A67" s="117"/>
      <c r="B67" s="118">
        <f>IF(A66&lt;&gt;"",B66+F67-I66,0)</f>
        <v>0</v>
      </c>
      <c r="C67" s="118">
        <f>IF(A66&lt;&gt;"",C66+F67-I67,0)</f>
        <v>0</v>
      </c>
      <c r="D67" s="108">
        <f>IF(A66&lt;&gt;"",D66+G67-J66,0)</f>
        <v>0</v>
      </c>
      <c r="E67" s="119"/>
      <c r="F67" s="119"/>
      <c r="G67" s="119"/>
      <c r="H67" s="111">
        <f t="shared" ref="H67:H97" si="10">IF(A67&lt;&gt;"",IF(E67&lt;0,B67-ABS(E67),B67+E67),-B67)</f>
        <v>0</v>
      </c>
      <c r="I67" s="112">
        <f t="shared" ref="I67:I97" si="11">IF(A67&lt;&gt;"",IF(H67&gt;0,IF(H67&lt;B67,H67,B67),0),ABS(H67))</f>
        <v>0</v>
      </c>
      <c r="J67" s="67">
        <f t="shared" ref="J67:J97" si="12">IF(C67&gt;0,IF(B67&gt;0,(I67/B67)*D67,0),D67)</f>
        <v>0</v>
      </c>
      <c r="K67" s="68"/>
      <c r="L67" s="112"/>
      <c r="M67" s="120"/>
      <c r="N67" s="112"/>
      <c r="O67" s="140"/>
      <c r="P67" s="140"/>
      <c r="Q67" s="158"/>
      <c r="R67" s="158"/>
      <c r="S67" s="141"/>
      <c r="T67" s="1">
        <v>0</v>
      </c>
      <c r="W67" s="62"/>
      <c r="X67" s="62"/>
    </row>
    <row r="68" spans="1:24" x14ac:dyDescent="0.2">
      <c r="A68" s="117"/>
      <c r="B68" s="118">
        <f t="shared" ref="B68:B97" si="13">IF(A67&lt;&gt;"",B67+F68-I67,0)</f>
        <v>0</v>
      </c>
      <c r="C68" s="118">
        <f t="shared" ref="C68:C97" si="14">IF(A67&lt;&gt;"",C67+F68-I68,0)</f>
        <v>0</v>
      </c>
      <c r="D68" s="108">
        <f t="shared" ref="D68:D97" si="15">IF(A67&lt;&gt;"",D67+G68-J67,0)</f>
        <v>0</v>
      </c>
      <c r="E68" s="119"/>
      <c r="F68" s="119"/>
      <c r="G68" s="109"/>
      <c r="H68" s="111">
        <f t="shared" si="10"/>
        <v>0</v>
      </c>
      <c r="I68" s="112">
        <f t="shared" si="11"/>
        <v>0</v>
      </c>
      <c r="J68" s="67">
        <f t="shared" si="12"/>
        <v>0</v>
      </c>
      <c r="K68" s="68"/>
      <c r="L68" s="112"/>
      <c r="M68" s="120"/>
      <c r="N68" s="112"/>
      <c r="O68" s="140"/>
      <c r="P68" s="140"/>
      <c r="Q68" s="158"/>
      <c r="R68" s="158"/>
      <c r="S68" s="141"/>
      <c r="T68" s="1">
        <v>0</v>
      </c>
      <c r="W68" s="62"/>
    </row>
    <row r="69" spans="1:24" x14ac:dyDescent="0.2">
      <c r="A69" s="117"/>
      <c r="B69" s="118">
        <f t="shared" si="13"/>
        <v>0</v>
      </c>
      <c r="C69" s="118">
        <f t="shared" si="14"/>
        <v>0</v>
      </c>
      <c r="D69" s="108">
        <f t="shared" si="15"/>
        <v>0</v>
      </c>
      <c r="E69" s="119"/>
      <c r="F69" s="119"/>
      <c r="G69" s="119"/>
      <c r="H69" s="111">
        <f t="shared" si="10"/>
        <v>0</v>
      </c>
      <c r="I69" s="112">
        <f t="shared" si="11"/>
        <v>0</v>
      </c>
      <c r="J69" s="67">
        <f t="shared" si="12"/>
        <v>0</v>
      </c>
      <c r="K69" s="68"/>
      <c r="L69" s="112"/>
      <c r="M69" s="120"/>
      <c r="N69" s="112"/>
      <c r="O69" s="140"/>
      <c r="P69" s="140"/>
      <c r="Q69" s="158"/>
      <c r="R69" s="158"/>
      <c r="S69" s="141"/>
      <c r="T69" s="1">
        <v>0</v>
      </c>
      <c r="W69" s="62"/>
      <c r="X69" s="62"/>
    </row>
    <row r="70" spans="1:24" x14ac:dyDescent="0.2">
      <c r="A70" s="117"/>
      <c r="B70" s="118">
        <f t="shared" si="13"/>
        <v>0</v>
      </c>
      <c r="C70" s="118">
        <f t="shared" si="14"/>
        <v>0</v>
      </c>
      <c r="D70" s="108">
        <f t="shared" si="15"/>
        <v>0</v>
      </c>
      <c r="E70" s="119"/>
      <c r="F70" s="119"/>
      <c r="G70" s="109"/>
      <c r="H70" s="111">
        <f t="shared" si="10"/>
        <v>0</v>
      </c>
      <c r="I70" s="112">
        <f t="shared" si="11"/>
        <v>0</v>
      </c>
      <c r="J70" s="67">
        <f t="shared" si="12"/>
        <v>0</v>
      </c>
      <c r="K70" s="68"/>
      <c r="L70" s="112"/>
      <c r="M70" s="120"/>
      <c r="N70" s="112"/>
      <c r="O70" s="140"/>
      <c r="P70" s="140"/>
      <c r="Q70" s="158"/>
      <c r="R70" s="158"/>
      <c r="S70" s="141"/>
      <c r="W70" s="62"/>
      <c r="X70" s="62"/>
    </row>
    <row r="71" spans="1:24" x14ac:dyDescent="0.2">
      <c r="A71" s="117"/>
      <c r="B71" s="118">
        <f t="shared" si="13"/>
        <v>0</v>
      </c>
      <c r="C71" s="118">
        <f t="shared" si="14"/>
        <v>0</v>
      </c>
      <c r="D71" s="108">
        <f t="shared" si="15"/>
        <v>0</v>
      </c>
      <c r="E71" s="119"/>
      <c r="F71" s="119"/>
      <c r="G71" s="119"/>
      <c r="H71" s="111">
        <f t="shared" si="10"/>
        <v>0</v>
      </c>
      <c r="I71" s="112">
        <f t="shared" si="11"/>
        <v>0</v>
      </c>
      <c r="J71" s="67">
        <f t="shared" si="12"/>
        <v>0</v>
      </c>
      <c r="K71" s="68"/>
      <c r="L71" s="112"/>
      <c r="M71" s="120"/>
      <c r="N71" s="112"/>
      <c r="O71" s="140"/>
      <c r="P71" s="140"/>
      <c r="Q71" s="158"/>
      <c r="R71" s="158"/>
      <c r="S71" s="141"/>
      <c r="W71" s="62"/>
      <c r="X71" s="62"/>
    </row>
    <row r="72" spans="1:24" x14ac:dyDescent="0.2">
      <c r="A72" s="117"/>
      <c r="B72" s="118">
        <f t="shared" si="13"/>
        <v>0</v>
      </c>
      <c r="C72" s="118">
        <f t="shared" si="14"/>
        <v>0</v>
      </c>
      <c r="D72" s="108">
        <f t="shared" si="15"/>
        <v>0</v>
      </c>
      <c r="E72" s="119"/>
      <c r="F72" s="119"/>
      <c r="G72" s="109"/>
      <c r="H72" s="111">
        <f t="shared" si="10"/>
        <v>0</v>
      </c>
      <c r="I72" s="112">
        <f t="shared" si="11"/>
        <v>0</v>
      </c>
      <c r="J72" s="67">
        <f t="shared" si="12"/>
        <v>0</v>
      </c>
      <c r="K72" s="68"/>
      <c r="L72" s="112"/>
      <c r="M72" s="120"/>
      <c r="N72" s="112"/>
      <c r="O72" s="140"/>
      <c r="P72" s="140"/>
      <c r="Q72" s="158"/>
      <c r="R72" s="158"/>
      <c r="S72" s="141"/>
      <c r="W72" s="62"/>
      <c r="X72" s="62"/>
    </row>
    <row r="73" spans="1:24" x14ac:dyDescent="0.2">
      <c r="A73" s="117"/>
      <c r="B73" s="118">
        <f t="shared" si="13"/>
        <v>0</v>
      </c>
      <c r="C73" s="118">
        <f t="shared" si="14"/>
        <v>0</v>
      </c>
      <c r="D73" s="108">
        <f t="shared" si="15"/>
        <v>0</v>
      </c>
      <c r="E73" s="119"/>
      <c r="F73" s="119"/>
      <c r="G73" s="119"/>
      <c r="H73" s="111">
        <f t="shared" si="10"/>
        <v>0</v>
      </c>
      <c r="I73" s="112">
        <f t="shared" si="11"/>
        <v>0</v>
      </c>
      <c r="J73" s="67">
        <f t="shared" si="12"/>
        <v>0</v>
      </c>
      <c r="K73" s="68"/>
      <c r="L73" s="112"/>
      <c r="M73" s="120"/>
      <c r="N73" s="112"/>
      <c r="O73" s="140"/>
      <c r="P73" s="140"/>
      <c r="Q73" s="158"/>
      <c r="R73" s="158"/>
      <c r="S73" s="141"/>
      <c r="W73" s="62"/>
      <c r="X73" s="62"/>
    </row>
    <row r="74" spans="1:24" x14ac:dyDescent="0.2">
      <c r="A74" s="117"/>
      <c r="B74" s="118">
        <f t="shared" si="13"/>
        <v>0</v>
      </c>
      <c r="C74" s="118">
        <f t="shared" si="14"/>
        <v>0</v>
      </c>
      <c r="D74" s="108">
        <f t="shared" si="15"/>
        <v>0</v>
      </c>
      <c r="E74" s="119"/>
      <c r="F74" s="119"/>
      <c r="G74" s="109"/>
      <c r="H74" s="111">
        <f t="shared" si="10"/>
        <v>0</v>
      </c>
      <c r="I74" s="112">
        <f t="shared" si="11"/>
        <v>0</v>
      </c>
      <c r="J74" s="67">
        <f t="shared" si="12"/>
        <v>0</v>
      </c>
      <c r="K74" s="68"/>
      <c r="L74" s="112"/>
      <c r="M74" s="120"/>
      <c r="N74" s="112"/>
      <c r="O74" s="140"/>
      <c r="P74" s="140"/>
      <c r="Q74" s="158"/>
      <c r="R74" s="158"/>
      <c r="S74" s="141"/>
      <c r="W74" s="62"/>
      <c r="X74" s="62"/>
    </row>
    <row r="75" spans="1:24" x14ac:dyDescent="0.2">
      <c r="A75" s="117"/>
      <c r="B75" s="118">
        <f t="shared" si="13"/>
        <v>0</v>
      </c>
      <c r="C75" s="118">
        <f t="shared" si="14"/>
        <v>0</v>
      </c>
      <c r="D75" s="108">
        <f t="shared" si="15"/>
        <v>0</v>
      </c>
      <c r="E75" s="119"/>
      <c r="F75" s="119"/>
      <c r="G75" s="119"/>
      <c r="H75" s="111">
        <f t="shared" si="10"/>
        <v>0</v>
      </c>
      <c r="I75" s="112">
        <f t="shared" si="11"/>
        <v>0</v>
      </c>
      <c r="J75" s="67">
        <f t="shared" si="12"/>
        <v>0</v>
      </c>
      <c r="K75" s="68"/>
      <c r="L75" s="112"/>
      <c r="M75" s="120"/>
      <c r="N75" s="112"/>
      <c r="O75" s="140"/>
      <c r="P75" s="140"/>
      <c r="Q75" s="158"/>
      <c r="R75" s="158"/>
      <c r="S75" s="141"/>
    </row>
    <row r="76" spans="1:24" x14ac:dyDescent="0.2">
      <c r="A76" s="117"/>
      <c r="B76" s="118">
        <f t="shared" si="13"/>
        <v>0</v>
      </c>
      <c r="C76" s="118">
        <f t="shared" si="14"/>
        <v>0</v>
      </c>
      <c r="D76" s="108">
        <f t="shared" si="15"/>
        <v>0</v>
      </c>
      <c r="E76" s="119"/>
      <c r="F76" s="119"/>
      <c r="G76" s="109"/>
      <c r="H76" s="111">
        <f t="shared" si="10"/>
        <v>0</v>
      </c>
      <c r="I76" s="112">
        <f t="shared" si="11"/>
        <v>0</v>
      </c>
      <c r="J76" s="67">
        <f t="shared" si="12"/>
        <v>0</v>
      </c>
      <c r="K76" s="68"/>
      <c r="L76" s="112"/>
      <c r="M76" s="120"/>
      <c r="N76" s="112"/>
      <c r="O76" s="140"/>
      <c r="P76" s="140"/>
      <c r="Q76" s="158"/>
      <c r="R76" s="158"/>
      <c r="S76" s="141"/>
      <c r="W76" s="62"/>
      <c r="X76" s="62"/>
    </row>
    <row r="77" spans="1:24" x14ac:dyDescent="0.2">
      <c r="A77" s="117"/>
      <c r="B77" s="118">
        <f t="shared" si="13"/>
        <v>0</v>
      </c>
      <c r="C77" s="118">
        <f t="shared" si="14"/>
        <v>0</v>
      </c>
      <c r="D77" s="108">
        <f t="shared" si="15"/>
        <v>0</v>
      </c>
      <c r="E77" s="119"/>
      <c r="F77" s="119"/>
      <c r="G77" s="119"/>
      <c r="H77" s="111">
        <f t="shared" si="10"/>
        <v>0</v>
      </c>
      <c r="I77" s="112">
        <f t="shared" si="11"/>
        <v>0</v>
      </c>
      <c r="J77" s="67">
        <f t="shared" si="12"/>
        <v>0</v>
      </c>
      <c r="K77" s="68"/>
      <c r="L77" s="112"/>
      <c r="M77" s="120"/>
      <c r="N77" s="112"/>
      <c r="O77" s="140"/>
      <c r="P77" s="140"/>
      <c r="Q77" s="158"/>
      <c r="R77" s="158"/>
      <c r="S77" s="141"/>
      <c r="W77" s="62"/>
      <c r="X77" s="62"/>
    </row>
    <row r="78" spans="1:24" x14ac:dyDescent="0.2">
      <c r="A78" s="117"/>
      <c r="B78" s="118">
        <f t="shared" si="13"/>
        <v>0</v>
      </c>
      <c r="C78" s="118">
        <f t="shared" si="14"/>
        <v>0</v>
      </c>
      <c r="D78" s="108">
        <f t="shared" si="15"/>
        <v>0</v>
      </c>
      <c r="E78" s="119"/>
      <c r="F78" s="119"/>
      <c r="G78" s="109"/>
      <c r="H78" s="111">
        <f t="shared" si="10"/>
        <v>0</v>
      </c>
      <c r="I78" s="112">
        <f t="shared" si="11"/>
        <v>0</v>
      </c>
      <c r="J78" s="67">
        <f t="shared" si="12"/>
        <v>0</v>
      </c>
      <c r="K78" s="68"/>
      <c r="L78" s="112"/>
      <c r="M78" s="120"/>
      <c r="N78" s="112"/>
      <c r="O78" s="140"/>
      <c r="P78" s="140"/>
      <c r="Q78" s="158"/>
      <c r="R78" s="158"/>
      <c r="S78" s="141"/>
      <c r="W78" s="62"/>
      <c r="X78" s="62"/>
    </row>
    <row r="79" spans="1:24" x14ac:dyDescent="0.2">
      <c r="A79" s="117"/>
      <c r="B79" s="118">
        <f t="shared" si="13"/>
        <v>0</v>
      </c>
      <c r="C79" s="118">
        <f t="shared" si="14"/>
        <v>0</v>
      </c>
      <c r="D79" s="108">
        <f t="shared" si="15"/>
        <v>0</v>
      </c>
      <c r="E79" s="119"/>
      <c r="F79" s="119"/>
      <c r="G79" s="119"/>
      <c r="H79" s="111">
        <f t="shared" si="10"/>
        <v>0</v>
      </c>
      <c r="I79" s="112">
        <f t="shared" si="11"/>
        <v>0</v>
      </c>
      <c r="J79" s="67">
        <f t="shared" si="12"/>
        <v>0</v>
      </c>
      <c r="K79" s="68"/>
      <c r="L79" s="112"/>
      <c r="M79" s="120"/>
      <c r="N79" s="112"/>
      <c r="O79" s="140"/>
      <c r="P79" s="140"/>
      <c r="Q79" s="158"/>
      <c r="R79" s="158"/>
      <c r="S79" s="141"/>
      <c r="W79" s="62"/>
      <c r="X79" s="62"/>
    </row>
    <row r="80" spans="1:24" x14ac:dyDescent="0.2">
      <c r="A80" s="117"/>
      <c r="B80" s="118">
        <f t="shared" si="13"/>
        <v>0</v>
      </c>
      <c r="C80" s="118">
        <f t="shared" si="14"/>
        <v>0</v>
      </c>
      <c r="D80" s="108">
        <f t="shared" si="15"/>
        <v>0</v>
      </c>
      <c r="E80" s="119"/>
      <c r="F80" s="119"/>
      <c r="G80" s="119"/>
      <c r="H80" s="111">
        <f t="shared" si="10"/>
        <v>0</v>
      </c>
      <c r="I80" s="112">
        <f t="shared" si="11"/>
        <v>0</v>
      </c>
      <c r="J80" s="67">
        <f t="shared" si="12"/>
        <v>0</v>
      </c>
      <c r="K80" s="68"/>
      <c r="L80" s="112"/>
      <c r="M80" s="120"/>
      <c r="N80" s="112"/>
      <c r="O80" s="140"/>
      <c r="P80" s="140"/>
      <c r="Q80" s="158"/>
      <c r="R80" s="158"/>
      <c r="S80" s="141"/>
    </row>
    <row r="81" spans="1:24" x14ac:dyDescent="0.2">
      <c r="A81" s="117"/>
      <c r="B81" s="118">
        <f t="shared" si="13"/>
        <v>0</v>
      </c>
      <c r="C81" s="118">
        <f t="shared" si="14"/>
        <v>0</v>
      </c>
      <c r="D81" s="108">
        <f t="shared" si="15"/>
        <v>0</v>
      </c>
      <c r="E81" s="119"/>
      <c r="F81" s="119"/>
      <c r="G81" s="119"/>
      <c r="H81" s="111">
        <f t="shared" si="10"/>
        <v>0</v>
      </c>
      <c r="I81" s="112">
        <f t="shared" si="11"/>
        <v>0</v>
      </c>
      <c r="J81" s="67">
        <f t="shared" si="12"/>
        <v>0</v>
      </c>
      <c r="K81" s="68"/>
      <c r="L81" s="112"/>
      <c r="M81" s="120"/>
      <c r="N81" s="112"/>
      <c r="O81" s="140"/>
      <c r="P81" s="140"/>
      <c r="Q81" s="158"/>
      <c r="R81" s="158"/>
      <c r="S81" s="141"/>
      <c r="W81" s="62"/>
      <c r="X81" s="62"/>
    </row>
    <row r="82" spans="1:24" x14ac:dyDescent="0.2">
      <c r="A82" s="117"/>
      <c r="B82" s="118">
        <f t="shared" si="13"/>
        <v>0</v>
      </c>
      <c r="C82" s="118">
        <f t="shared" si="14"/>
        <v>0</v>
      </c>
      <c r="D82" s="108">
        <f t="shared" si="15"/>
        <v>0</v>
      </c>
      <c r="E82" s="119"/>
      <c r="F82" s="119"/>
      <c r="G82" s="119"/>
      <c r="H82" s="111">
        <f t="shared" si="10"/>
        <v>0</v>
      </c>
      <c r="I82" s="112">
        <f t="shared" si="11"/>
        <v>0</v>
      </c>
      <c r="J82" s="67">
        <f t="shared" si="12"/>
        <v>0</v>
      </c>
      <c r="K82" s="68"/>
      <c r="L82" s="112"/>
      <c r="M82" s="120"/>
      <c r="N82" s="112"/>
      <c r="O82" s="140"/>
      <c r="P82" s="140"/>
      <c r="Q82" s="158"/>
      <c r="R82" s="158"/>
      <c r="S82" s="141"/>
    </row>
    <row r="83" spans="1:24" x14ac:dyDescent="0.2">
      <c r="A83" s="117"/>
      <c r="B83" s="118">
        <f t="shared" si="13"/>
        <v>0</v>
      </c>
      <c r="C83" s="118">
        <f t="shared" si="14"/>
        <v>0</v>
      </c>
      <c r="D83" s="108">
        <f t="shared" si="15"/>
        <v>0</v>
      </c>
      <c r="E83" s="119"/>
      <c r="F83" s="119"/>
      <c r="G83" s="119"/>
      <c r="H83" s="111">
        <f t="shared" si="10"/>
        <v>0</v>
      </c>
      <c r="I83" s="112">
        <f t="shared" si="11"/>
        <v>0</v>
      </c>
      <c r="J83" s="67">
        <f t="shared" si="12"/>
        <v>0</v>
      </c>
      <c r="K83" s="68"/>
      <c r="L83" s="112"/>
      <c r="M83" s="120"/>
      <c r="N83" s="112"/>
      <c r="O83" s="140"/>
      <c r="P83" s="140"/>
      <c r="Q83" s="158"/>
      <c r="R83" s="158"/>
      <c r="S83" s="141"/>
    </row>
    <row r="84" spans="1:24" x14ac:dyDescent="0.2">
      <c r="A84" s="117"/>
      <c r="B84" s="118">
        <f t="shared" si="13"/>
        <v>0</v>
      </c>
      <c r="C84" s="118">
        <f t="shared" si="14"/>
        <v>0</v>
      </c>
      <c r="D84" s="108">
        <f t="shared" si="15"/>
        <v>0</v>
      </c>
      <c r="E84" s="119"/>
      <c r="F84" s="119"/>
      <c r="G84" s="119"/>
      <c r="H84" s="111">
        <f t="shared" si="10"/>
        <v>0</v>
      </c>
      <c r="I84" s="112">
        <f t="shared" si="11"/>
        <v>0</v>
      </c>
      <c r="J84" s="67">
        <f t="shared" si="12"/>
        <v>0</v>
      </c>
      <c r="K84" s="68"/>
      <c r="L84" s="112"/>
      <c r="M84" s="120"/>
      <c r="N84" s="112"/>
      <c r="O84" s="140"/>
      <c r="P84" s="140"/>
      <c r="Q84" s="158"/>
      <c r="R84" s="158"/>
      <c r="S84" s="141"/>
      <c r="W84" s="62"/>
      <c r="X84" s="62"/>
    </row>
    <row r="85" spans="1:24" x14ac:dyDescent="0.2">
      <c r="A85" s="117"/>
      <c r="B85" s="118">
        <f t="shared" si="13"/>
        <v>0</v>
      </c>
      <c r="C85" s="118">
        <f t="shared" si="14"/>
        <v>0</v>
      </c>
      <c r="D85" s="108">
        <f t="shared" si="15"/>
        <v>0</v>
      </c>
      <c r="E85" s="119"/>
      <c r="F85" s="119"/>
      <c r="G85" s="119"/>
      <c r="H85" s="111">
        <f t="shared" si="10"/>
        <v>0</v>
      </c>
      <c r="I85" s="112">
        <f t="shared" si="11"/>
        <v>0</v>
      </c>
      <c r="J85" s="67">
        <f t="shared" si="12"/>
        <v>0</v>
      </c>
      <c r="K85" s="68"/>
      <c r="L85" s="112"/>
      <c r="M85" s="120"/>
      <c r="N85" s="112"/>
      <c r="O85" s="140"/>
      <c r="P85" s="140"/>
      <c r="Q85" s="158"/>
      <c r="R85" s="158"/>
      <c r="S85" s="141"/>
    </row>
    <row r="86" spans="1:24" x14ac:dyDescent="0.2">
      <c r="A86" s="117"/>
      <c r="B86" s="118">
        <f t="shared" si="13"/>
        <v>0</v>
      </c>
      <c r="C86" s="118">
        <f t="shared" si="14"/>
        <v>0</v>
      </c>
      <c r="D86" s="108">
        <f t="shared" si="15"/>
        <v>0</v>
      </c>
      <c r="E86" s="119"/>
      <c r="F86" s="119"/>
      <c r="G86" s="119"/>
      <c r="H86" s="111">
        <f t="shared" si="10"/>
        <v>0</v>
      </c>
      <c r="I86" s="112">
        <f t="shared" si="11"/>
        <v>0</v>
      </c>
      <c r="J86" s="67">
        <f t="shared" si="12"/>
        <v>0</v>
      </c>
      <c r="K86" s="68"/>
      <c r="L86" s="112"/>
      <c r="M86" s="120"/>
      <c r="N86" s="112"/>
      <c r="O86" s="140"/>
      <c r="P86" s="140"/>
      <c r="Q86" s="158"/>
      <c r="R86" s="158"/>
      <c r="S86" s="141"/>
      <c r="W86" s="62"/>
      <c r="X86" s="62"/>
    </row>
    <row r="87" spans="1:24" x14ac:dyDescent="0.2">
      <c r="A87" s="117"/>
      <c r="B87" s="118">
        <f t="shared" si="13"/>
        <v>0</v>
      </c>
      <c r="C87" s="118">
        <f t="shared" si="14"/>
        <v>0</v>
      </c>
      <c r="D87" s="108">
        <f t="shared" si="15"/>
        <v>0</v>
      </c>
      <c r="E87" s="119"/>
      <c r="F87" s="119"/>
      <c r="G87" s="119"/>
      <c r="H87" s="111">
        <f t="shared" si="10"/>
        <v>0</v>
      </c>
      <c r="I87" s="112">
        <f t="shared" si="11"/>
        <v>0</v>
      </c>
      <c r="J87" s="67">
        <f t="shared" si="12"/>
        <v>0</v>
      </c>
      <c r="K87" s="68"/>
      <c r="L87" s="112"/>
      <c r="M87" s="120"/>
      <c r="N87" s="112"/>
      <c r="O87" s="140"/>
      <c r="P87" s="140"/>
      <c r="Q87" s="158"/>
      <c r="R87" s="158"/>
      <c r="S87" s="141"/>
    </row>
    <row r="88" spans="1:24" x14ac:dyDescent="0.2">
      <c r="A88" s="117"/>
      <c r="B88" s="118">
        <f t="shared" si="13"/>
        <v>0</v>
      </c>
      <c r="C88" s="118">
        <f t="shared" si="14"/>
        <v>0</v>
      </c>
      <c r="D88" s="108">
        <f t="shared" si="15"/>
        <v>0</v>
      </c>
      <c r="E88" s="119"/>
      <c r="F88" s="119"/>
      <c r="G88" s="119"/>
      <c r="H88" s="111">
        <f t="shared" si="10"/>
        <v>0</v>
      </c>
      <c r="I88" s="112">
        <f t="shared" si="11"/>
        <v>0</v>
      </c>
      <c r="J88" s="67">
        <f t="shared" si="12"/>
        <v>0</v>
      </c>
      <c r="K88" s="68"/>
      <c r="L88" s="135"/>
      <c r="M88" s="136"/>
      <c r="N88" s="135"/>
      <c r="O88" s="144"/>
      <c r="P88" s="144"/>
      <c r="Q88" s="159"/>
      <c r="R88" s="159"/>
      <c r="S88" s="145"/>
      <c r="W88" s="62"/>
      <c r="X88" s="62"/>
    </row>
    <row r="89" spans="1:24" x14ac:dyDescent="0.2">
      <c r="A89" s="117"/>
      <c r="B89" s="118">
        <f t="shared" si="13"/>
        <v>0</v>
      </c>
      <c r="C89" s="118">
        <f t="shared" si="14"/>
        <v>0</v>
      </c>
      <c r="D89" s="108">
        <f t="shared" si="15"/>
        <v>0</v>
      </c>
      <c r="E89" s="119"/>
      <c r="F89" s="119"/>
      <c r="G89" s="119"/>
      <c r="H89" s="111">
        <f t="shared" si="10"/>
        <v>0</v>
      </c>
      <c r="I89" s="112">
        <f t="shared" si="11"/>
        <v>0</v>
      </c>
      <c r="J89" s="67">
        <f t="shared" si="12"/>
        <v>0</v>
      </c>
      <c r="K89" s="68"/>
      <c r="L89" s="123">
        <f>SUM(L65:L88)</f>
        <v>0</v>
      </c>
      <c r="M89" s="124"/>
      <c r="N89" s="123">
        <f>SUM(N65:N88)</f>
        <v>0</v>
      </c>
      <c r="O89" s="125"/>
      <c r="P89" s="125"/>
      <c r="Q89" s="160"/>
      <c r="R89" s="160"/>
      <c r="S89" s="126">
        <f>SUM(S65:S88)</f>
        <v>0</v>
      </c>
      <c r="W89" s="62"/>
      <c r="X89" s="62"/>
    </row>
    <row r="90" spans="1:24" x14ac:dyDescent="0.2">
      <c r="A90" s="117"/>
      <c r="B90" s="118">
        <f t="shared" si="13"/>
        <v>0</v>
      </c>
      <c r="C90" s="118">
        <f t="shared" si="14"/>
        <v>0</v>
      </c>
      <c r="D90" s="108">
        <f t="shared" si="15"/>
        <v>0</v>
      </c>
      <c r="E90" s="119"/>
      <c r="F90" s="119"/>
      <c r="G90" s="119"/>
      <c r="H90" s="111">
        <f t="shared" si="10"/>
        <v>0</v>
      </c>
      <c r="I90" s="112">
        <f t="shared" si="11"/>
        <v>0</v>
      </c>
      <c r="J90" s="67">
        <f t="shared" si="12"/>
        <v>0</v>
      </c>
      <c r="K90" s="68"/>
      <c r="L90" s="93"/>
      <c r="M90" s="95"/>
      <c r="N90" s="93"/>
      <c r="O90" s="96"/>
      <c r="P90" s="96"/>
      <c r="Q90" s="161"/>
      <c r="R90" s="161"/>
      <c r="S90" s="94"/>
    </row>
    <row r="91" spans="1:24" x14ac:dyDescent="0.2">
      <c r="A91" s="127"/>
      <c r="B91" s="118">
        <f t="shared" si="13"/>
        <v>0</v>
      </c>
      <c r="C91" s="118">
        <f t="shared" si="14"/>
        <v>0</v>
      </c>
      <c r="D91" s="108">
        <f t="shared" si="15"/>
        <v>0</v>
      </c>
      <c r="E91" s="128"/>
      <c r="F91" s="128"/>
      <c r="G91" s="119"/>
      <c r="H91" s="111">
        <f t="shared" si="10"/>
        <v>0</v>
      </c>
      <c r="I91" s="112">
        <f t="shared" si="11"/>
        <v>0</v>
      </c>
      <c r="J91" s="67">
        <f t="shared" si="12"/>
        <v>0</v>
      </c>
      <c r="K91" s="68"/>
      <c r="L91" s="162" t="str">
        <f>L40</f>
        <v>Notas Explicativas:</v>
      </c>
      <c r="M91" s="163"/>
      <c r="N91" s="163"/>
      <c r="O91" s="163"/>
      <c r="P91" s="163"/>
      <c r="Q91" s="163"/>
      <c r="R91" s="163"/>
      <c r="S91" s="164"/>
    </row>
    <row r="92" spans="1:24" x14ac:dyDescent="0.2">
      <c r="A92" s="127"/>
      <c r="B92" s="118">
        <f t="shared" si="13"/>
        <v>0</v>
      </c>
      <c r="C92" s="118">
        <f t="shared" si="14"/>
        <v>0</v>
      </c>
      <c r="D92" s="108">
        <f t="shared" si="15"/>
        <v>0</v>
      </c>
      <c r="E92" s="128"/>
      <c r="F92" s="128"/>
      <c r="G92" s="119"/>
      <c r="H92" s="111">
        <f t="shared" si="10"/>
        <v>0</v>
      </c>
      <c r="I92" s="112">
        <f t="shared" si="11"/>
        <v>0</v>
      </c>
      <c r="J92" s="67">
        <f t="shared" si="12"/>
        <v>0</v>
      </c>
      <c r="K92" s="68"/>
      <c r="L92" s="155" t="str">
        <f>L41</f>
        <v>1. O quadro acima transporta o crédito indevido e calcula automaticamente o ICMS exigível no D.D.F e respectivas datas DCI, DIJ e DCM.</v>
      </c>
      <c r="M92" s="156"/>
      <c r="N92" s="156"/>
      <c r="O92" s="156"/>
      <c r="P92" s="156"/>
      <c r="Q92" s="156"/>
      <c r="R92" s="156"/>
      <c r="S92" s="157"/>
    </row>
    <row r="93" spans="1:24" x14ac:dyDescent="0.2">
      <c r="A93" s="127"/>
      <c r="B93" s="118">
        <f t="shared" si="13"/>
        <v>0</v>
      </c>
      <c r="C93" s="118">
        <f t="shared" si="14"/>
        <v>0</v>
      </c>
      <c r="D93" s="108">
        <f t="shared" si="15"/>
        <v>0</v>
      </c>
      <c r="E93" s="128"/>
      <c r="F93" s="128"/>
      <c r="G93" s="119"/>
      <c r="H93" s="111">
        <f t="shared" si="10"/>
        <v>0</v>
      </c>
      <c r="I93" s="112">
        <f t="shared" si="11"/>
        <v>0</v>
      </c>
      <c r="J93" s="67">
        <f t="shared" si="12"/>
        <v>0</v>
      </c>
      <c r="K93" s="68"/>
      <c r="L93" s="155"/>
      <c r="M93" s="156"/>
      <c r="N93" s="156"/>
      <c r="O93" s="156"/>
      <c r="P93" s="156"/>
      <c r="Q93" s="156"/>
      <c r="R93" s="156"/>
      <c r="S93" s="157"/>
    </row>
    <row r="94" spans="1:24" x14ac:dyDescent="0.2">
      <c r="A94" s="127"/>
      <c r="B94" s="118">
        <f t="shared" si="13"/>
        <v>0</v>
      </c>
      <c r="C94" s="118">
        <f t="shared" si="14"/>
        <v>0</v>
      </c>
      <c r="D94" s="108">
        <f t="shared" si="15"/>
        <v>0</v>
      </c>
      <c r="E94" s="128"/>
      <c r="F94" s="128"/>
      <c r="G94" s="119"/>
      <c r="H94" s="111">
        <f t="shared" si="10"/>
        <v>0</v>
      </c>
      <c r="I94" s="112">
        <f t="shared" si="11"/>
        <v>0</v>
      </c>
      <c r="J94" s="67">
        <f t="shared" si="12"/>
        <v>0</v>
      </c>
      <c r="K94" s="68"/>
      <c r="L94" s="155" t="str">
        <f>L43</f>
        <v>2. O ICMS exigível e respectivas datas são calculadas em conformidade com a evolução do débito fiscal (Artigo 565, I, 'c' do RICMS).</v>
      </c>
      <c r="M94" s="156"/>
      <c r="N94" s="156"/>
      <c r="O94" s="156"/>
      <c r="P94" s="156"/>
      <c r="Q94" s="156"/>
      <c r="R94" s="156"/>
      <c r="S94" s="157"/>
    </row>
    <row r="95" spans="1:24" x14ac:dyDescent="0.2">
      <c r="A95" s="127"/>
      <c r="B95" s="118">
        <f t="shared" si="13"/>
        <v>0</v>
      </c>
      <c r="C95" s="118">
        <f t="shared" si="14"/>
        <v>0</v>
      </c>
      <c r="D95" s="108">
        <f t="shared" si="15"/>
        <v>0</v>
      </c>
      <c r="E95" s="128"/>
      <c r="F95" s="128"/>
      <c r="G95" s="119"/>
      <c r="H95" s="111">
        <f t="shared" si="10"/>
        <v>0</v>
      </c>
      <c r="I95" s="112">
        <f t="shared" si="11"/>
        <v>0</v>
      </c>
      <c r="J95" s="67">
        <f t="shared" si="12"/>
        <v>0</v>
      </c>
      <c r="K95" s="68"/>
      <c r="L95" s="155"/>
      <c r="M95" s="156"/>
      <c r="N95" s="156"/>
      <c r="O95" s="156"/>
      <c r="P95" s="156"/>
      <c r="Q95" s="156"/>
      <c r="R95" s="156"/>
      <c r="S95" s="157"/>
    </row>
    <row r="96" spans="1:24" x14ac:dyDescent="0.2">
      <c r="A96" s="127"/>
      <c r="B96" s="118">
        <f t="shared" si="13"/>
        <v>0</v>
      </c>
      <c r="C96" s="118">
        <f t="shared" si="14"/>
        <v>0</v>
      </c>
      <c r="D96" s="108">
        <f t="shared" si="15"/>
        <v>0</v>
      </c>
      <c r="E96" s="128"/>
      <c r="F96" s="128"/>
      <c r="G96" s="119"/>
      <c r="H96" s="111">
        <f t="shared" si="10"/>
        <v>0</v>
      </c>
      <c r="I96" s="112">
        <f t="shared" si="11"/>
        <v>0</v>
      </c>
      <c r="J96" s="67">
        <f t="shared" si="12"/>
        <v>0</v>
      </c>
      <c r="K96" s="68"/>
      <c r="L96" s="155">
        <f>L45</f>
        <v>0</v>
      </c>
      <c r="M96" s="156"/>
      <c r="N96" s="156"/>
      <c r="O96" s="156"/>
      <c r="P96" s="156"/>
      <c r="Q96" s="156"/>
      <c r="R96" s="156"/>
      <c r="S96" s="157"/>
    </row>
    <row r="97" spans="1:24" x14ac:dyDescent="0.2">
      <c r="A97" s="127"/>
      <c r="B97" s="118">
        <f t="shared" si="13"/>
        <v>0</v>
      </c>
      <c r="C97" s="118">
        <f t="shared" si="14"/>
        <v>0</v>
      </c>
      <c r="D97" s="108">
        <f t="shared" si="15"/>
        <v>0</v>
      </c>
      <c r="E97" s="128"/>
      <c r="F97" s="128"/>
      <c r="G97" s="119"/>
      <c r="H97" s="111">
        <f t="shared" si="10"/>
        <v>0</v>
      </c>
      <c r="I97" s="112">
        <f t="shared" si="11"/>
        <v>0</v>
      </c>
      <c r="J97" s="67">
        <f t="shared" si="12"/>
        <v>0</v>
      </c>
      <c r="K97" s="68"/>
      <c r="L97" s="155"/>
      <c r="M97" s="156"/>
      <c r="N97" s="156"/>
      <c r="O97" s="156"/>
      <c r="P97" s="156"/>
      <c r="Q97" s="156"/>
      <c r="R97" s="156"/>
      <c r="S97" s="157"/>
    </row>
    <row r="98" spans="1:24" x14ac:dyDescent="0.2">
      <c r="A98" s="103" t="s">
        <v>6</v>
      </c>
      <c r="B98" s="129"/>
      <c r="C98" s="130"/>
      <c r="D98" s="129"/>
      <c r="E98" s="125"/>
      <c r="F98" s="123">
        <f>SUM(F65:F97)</f>
        <v>0</v>
      </c>
      <c r="G98" s="123">
        <f>SUM(G65:G97)</f>
        <v>0</v>
      </c>
      <c r="H98" s="131"/>
      <c r="I98" s="123">
        <f>SUM(I65:I97)</f>
        <v>0</v>
      </c>
      <c r="J98" s="69">
        <f>SUM(J65:J97)</f>
        <v>0</v>
      </c>
      <c r="K98" s="68"/>
      <c r="L98" s="180"/>
      <c r="M98" s="181"/>
      <c r="N98" s="181"/>
      <c r="O98" s="181"/>
      <c r="P98" s="181"/>
      <c r="Q98" s="181"/>
      <c r="R98" s="181"/>
      <c r="S98" s="182"/>
      <c r="W98" s="62"/>
      <c r="X98" s="62"/>
    </row>
    <row r="99" spans="1:24" ht="5.0999999999999996" customHeight="1" x14ac:dyDescent="0.2">
      <c r="A99" s="44"/>
      <c r="B99" s="44"/>
      <c r="C99" s="44"/>
      <c r="D99" s="44"/>
      <c r="E99" s="44"/>
      <c r="F99" s="44"/>
      <c r="G99" s="44"/>
      <c r="H99" s="44"/>
      <c r="I99" s="44"/>
      <c r="J99" s="60"/>
      <c r="K99" s="44"/>
      <c r="L99" s="225"/>
      <c r="M99" s="225"/>
      <c r="N99" s="225"/>
      <c r="O99" s="225"/>
      <c r="P99" s="225"/>
      <c r="Q99" s="225"/>
      <c r="R99" s="225"/>
      <c r="S99" s="225"/>
    </row>
    <row r="100" spans="1:24" s="5" customFormat="1" ht="9" customHeight="1" x14ac:dyDescent="0.15">
      <c r="A100" s="101" t="s">
        <v>4</v>
      </c>
      <c r="B100" s="46"/>
      <c r="C100" s="46"/>
      <c r="D100" s="46"/>
      <c r="E100" s="45"/>
      <c r="F100" s="45"/>
      <c r="G100" s="45"/>
      <c r="H100" s="184" t="s">
        <v>5</v>
      </c>
      <c r="I100" s="185"/>
      <c r="J100" s="61"/>
      <c r="K100" s="71"/>
      <c r="L100" s="186" t="s">
        <v>30</v>
      </c>
      <c r="M100" s="187"/>
      <c r="N100" s="187"/>
      <c r="O100" s="187"/>
      <c r="P100" s="65"/>
      <c r="Q100" s="65"/>
      <c r="R100" s="45"/>
      <c r="S100" s="61"/>
      <c r="T100" s="6"/>
    </row>
    <row r="101" spans="1:24" ht="11.1" customHeight="1" x14ac:dyDescent="0.2">
      <c r="A101" s="168" t="str">
        <f>IF(OR($A$66&lt;&gt;"",$N$66&lt;&gt;""),A50,"")</f>
        <v/>
      </c>
      <c r="B101" s="169"/>
      <c r="C101" s="169"/>
      <c r="D101" s="169"/>
      <c r="E101" s="169"/>
      <c r="F101" s="169"/>
      <c r="G101" s="169"/>
      <c r="H101" s="174" t="str">
        <f>IF(OR($A$66&lt;&gt;"",$N$66&lt;&gt;""),H50,"")</f>
        <v/>
      </c>
      <c r="I101" s="175"/>
      <c r="J101" s="176"/>
      <c r="K101" s="72"/>
      <c r="L101" s="17"/>
      <c r="M101" s="18"/>
      <c r="N101" s="18"/>
      <c r="O101" s="63"/>
      <c r="P101" s="63"/>
      <c r="Q101" s="63"/>
      <c r="R101" s="15"/>
      <c r="S101" s="64"/>
      <c r="T101" s="4"/>
    </row>
    <row r="102" spans="1:24" ht="10.5" customHeight="1" x14ac:dyDescent="0.2">
      <c r="A102" s="171"/>
      <c r="B102" s="172"/>
      <c r="C102" s="172"/>
      <c r="D102" s="172"/>
      <c r="E102" s="172"/>
      <c r="F102" s="172"/>
      <c r="G102" s="172"/>
      <c r="H102" s="177"/>
      <c r="I102" s="178"/>
      <c r="J102" s="179"/>
      <c r="K102" s="72"/>
      <c r="L102" s="19"/>
      <c r="M102" s="20"/>
      <c r="N102" s="20"/>
      <c r="O102" s="66"/>
      <c r="P102" s="66"/>
      <c r="Q102" s="66"/>
      <c r="R102" s="16"/>
      <c r="S102" s="52"/>
      <c r="T102" s="4"/>
    </row>
    <row r="103" spans="1:24" ht="12" customHeight="1" x14ac:dyDescent="0.2">
      <c r="A103" s="33"/>
      <c r="B103" s="49"/>
      <c r="C103" s="49"/>
      <c r="D103" s="49"/>
      <c r="E103" s="98" t="s">
        <v>2</v>
      </c>
      <c r="F103" s="47"/>
      <c r="G103" s="47"/>
      <c r="H103" s="47"/>
      <c r="I103" s="47"/>
      <c r="J103" s="53"/>
      <c r="K103" s="47"/>
      <c r="L103" s="34"/>
      <c r="M103" s="34"/>
      <c r="N103" s="34"/>
      <c r="O103" s="34"/>
      <c r="P103" s="35"/>
      <c r="Q103" s="198" t="s">
        <v>43</v>
      </c>
      <c r="R103" s="198"/>
      <c r="S103" s="198"/>
    </row>
    <row r="104" spans="1:24" ht="12" customHeight="1" x14ac:dyDescent="0.2">
      <c r="A104" s="38"/>
      <c r="B104" s="37"/>
      <c r="C104" s="37"/>
      <c r="D104" s="37"/>
      <c r="E104" s="99" t="s">
        <v>3</v>
      </c>
      <c r="F104" s="48"/>
      <c r="G104" s="48"/>
      <c r="H104" s="48"/>
      <c r="I104" s="48"/>
      <c r="J104" s="54"/>
      <c r="K104" s="48"/>
      <c r="L104" s="36"/>
      <c r="M104" s="36"/>
      <c r="N104" s="36"/>
      <c r="O104" s="36"/>
      <c r="P104" s="39"/>
      <c r="Q104" s="36"/>
      <c r="R104" s="37"/>
      <c r="S104" s="37"/>
    </row>
    <row r="105" spans="1:24" ht="12" customHeight="1" x14ac:dyDescent="0.2">
      <c r="A105" s="38"/>
      <c r="B105" s="37"/>
      <c r="C105" s="37"/>
      <c r="D105" s="37"/>
      <c r="E105" s="99"/>
      <c r="F105" s="48"/>
      <c r="G105" s="48"/>
      <c r="H105" s="48"/>
      <c r="I105" s="48"/>
      <c r="J105" s="54"/>
      <c r="K105" s="48"/>
      <c r="L105" s="36"/>
      <c r="M105" s="36"/>
      <c r="N105" s="36"/>
      <c r="O105" s="36"/>
      <c r="P105" s="11"/>
      <c r="Q105" s="199" t="s">
        <v>1</v>
      </c>
      <c r="R105" s="199"/>
      <c r="S105" s="200"/>
    </row>
    <row r="106" spans="1:24" ht="12" customHeight="1" x14ac:dyDescent="0.2">
      <c r="A106" s="38"/>
      <c r="B106" s="37"/>
      <c r="C106" s="37"/>
      <c r="D106" s="37"/>
      <c r="E106" s="209" t="s">
        <v>32</v>
      </c>
      <c r="F106" s="209"/>
      <c r="G106" s="209"/>
      <c r="H106" s="209"/>
      <c r="I106" s="209"/>
      <c r="J106" s="209"/>
      <c r="K106" s="209"/>
      <c r="L106" s="209"/>
      <c r="M106" s="209"/>
      <c r="N106" s="209"/>
      <c r="O106" s="209"/>
      <c r="P106" s="210"/>
      <c r="Q106" s="102" t="s">
        <v>0</v>
      </c>
      <c r="R106" s="201" t="str">
        <f>IF(OR($A$117&lt;&gt;"",$N$117&lt;&gt;""),R55,"")</f>
        <v/>
      </c>
      <c r="S106" s="201"/>
    </row>
    <row r="107" spans="1:24" ht="12" customHeight="1" x14ac:dyDescent="0.2">
      <c r="A107" s="40"/>
      <c r="B107" s="50"/>
      <c r="C107" s="50"/>
      <c r="D107" s="50"/>
      <c r="E107" s="211"/>
      <c r="F107" s="211"/>
      <c r="G107" s="211"/>
      <c r="H107" s="211"/>
      <c r="I107" s="211"/>
      <c r="J107" s="211"/>
      <c r="K107" s="211"/>
      <c r="L107" s="211"/>
      <c r="M107" s="211"/>
      <c r="N107" s="211"/>
      <c r="O107" s="211"/>
      <c r="P107" s="212"/>
      <c r="Q107" s="102" t="s">
        <v>7</v>
      </c>
      <c r="R107" s="201" t="str">
        <f>IF(OR($A$117&lt;&gt;"",$N$117&lt;&gt;""),R56,"")</f>
        <v/>
      </c>
      <c r="S107" s="201"/>
    </row>
    <row r="108" spans="1:24" ht="5.0999999999999996" customHeight="1" x14ac:dyDescent="0.2">
      <c r="A108" s="41"/>
      <c r="B108" s="41"/>
      <c r="C108" s="41"/>
      <c r="D108" s="41"/>
      <c r="E108" s="41"/>
      <c r="F108" s="50"/>
      <c r="G108" s="41"/>
      <c r="H108" s="41"/>
      <c r="I108" s="41"/>
      <c r="J108" s="55"/>
      <c r="K108" s="41"/>
      <c r="L108" s="41"/>
      <c r="M108" s="41"/>
      <c r="N108" s="41"/>
      <c r="O108" s="41"/>
      <c r="P108" s="41"/>
      <c r="Q108" s="41"/>
      <c r="R108" s="37"/>
      <c r="S108" s="37"/>
    </row>
    <row r="109" spans="1:24" s="3" customFormat="1" ht="9" customHeight="1" x14ac:dyDescent="0.2">
      <c r="A109" s="100" t="s">
        <v>10</v>
      </c>
      <c r="B109" s="42"/>
      <c r="C109" s="42"/>
      <c r="D109" s="42"/>
      <c r="E109" s="42"/>
      <c r="F109" s="70"/>
      <c r="G109" s="42"/>
      <c r="H109" s="42"/>
      <c r="I109" s="42"/>
      <c r="J109" s="56"/>
      <c r="K109" s="42"/>
      <c r="L109" s="42"/>
      <c r="M109" s="42"/>
      <c r="N109" s="42"/>
      <c r="O109" s="42"/>
      <c r="P109" s="165" t="s">
        <v>8</v>
      </c>
      <c r="Q109" s="166"/>
      <c r="R109" s="166"/>
      <c r="S109" s="167"/>
    </row>
    <row r="110" spans="1:24" x14ac:dyDescent="0.2">
      <c r="A110" s="84" t="str">
        <f>IF(OR($A$117&lt;&gt;"",$N$117&lt;&gt;""),A59,"")</f>
        <v/>
      </c>
      <c r="B110" s="85"/>
      <c r="C110" s="85"/>
      <c r="D110" s="85"/>
      <c r="E110" s="85"/>
      <c r="F110" s="85"/>
      <c r="G110" s="85"/>
      <c r="H110" s="85"/>
      <c r="I110" s="85"/>
      <c r="J110" s="85"/>
      <c r="K110" s="85"/>
      <c r="L110" s="85"/>
      <c r="M110" s="85"/>
      <c r="N110" s="85"/>
      <c r="O110" s="86"/>
      <c r="P110" s="206" t="str">
        <f>IF(OR($A$117&lt;&gt;"",$N$117&lt;&gt;""),P59,"")</f>
        <v/>
      </c>
      <c r="Q110" s="207"/>
      <c r="R110" s="207"/>
      <c r="S110" s="208"/>
      <c r="T110" s="8"/>
    </row>
    <row r="111" spans="1:24" s="3" customFormat="1" ht="9" customHeight="1" x14ac:dyDescent="0.15">
      <c r="A111" s="100" t="s">
        <v>11</v>
      </c>
      <c r="B111" s="42"/>
      <c r="C111" s="42"/>
      <c r="D111" s="42"/>
      <c r="E111" s="42"/>
      <c r="F111" s="42"/>
      <c r="G111" s="42"/>
      <c r="H111" s="42"/>
      <c r="I111" s="42"/>
      <c r="J111" s="56"/>
      <c r="K111" s="42"/>
      <c r="L111" s="42"/>
      <c r="M111" s="42"/>
      <c r="N111" s="42"/>
      <c r="O111" s="42"/>
      <c r="P111" s="165" t="s">
        <v>9</v>
      </c>
      <c r="Q111" s="166"/>
      <c r="R111" s="166"/>
      <c r="S111" s="167"/>
      <c r="T111" s="9"/>
    </row>
    <row r="112" spans="1:24" x14ac:dyDescent="0.2">
      <c r="A112" s="84" t="str">
        <f>IF(OR($A$117&lt;&gt;"",$N$117&lt;&gt;""),A61,"")</f>
        <v/>
      </c>
      <c r="B112" s="85"/>
      <c r="C112" s="85"/>
      <c r="D112" s="85"/>
      <c r="E112" s="85"/>
      <c r="F112" s="85"/>
      <c r="G112" s="85"/>
      <c r="H112" s="85"/>
      <c r="I112" s="85"/>
      <c r="J112" s="85"/>
      <c r="K112" s="85"/>
      <c r="L112" s="85"/>
      <c r="M112" s="85"/>
      <c r="N112" s="85"/>
      <c r="O112" s="86"/>
      <c r="P112" s="203" t="str">
        <f>IF(OR($A$117&lt;&gt;"",$N$117&lt;&gt;""),P61,"")</f>
        <v/>
      </c>
      <c r="Q112" s="204"/>
      <c r="R112" s="204"/>
      <c r="S112" s="205"/>
      <c r="T112" s="10"/>
    </row>
    <row r="113" spans="1:24" ht="5.0999999999999996" customHeight="1" x14ac:dyDescent="0.2">
      <c r="A113" s="12"/>
      <c r="B113" s="12"/>
      <c r="C113" s="12"/>
      <c r="D113" s="12"/>
      <c r="E113" s="13"/>
      <c r="F113" s="13"/>
      <c r="G113" s="13"/>
      <c r="H113" s="13"/>
      <c r="I113" s="13"/>
      <c r="J113" s="57"/>
      <c r="K113" s="13"/>
      <c r="L113" s="13"/>
      <c r="M113" s="13"/>
      <c r="N113" s="13"/>
      <c r="O113" s="13"/>
      <c r="P113" s="13"/>
      <c r="Q113" s="13"/>
      <c r="R113" s="14"/>
      <c r="S113" s="14"/>
    </row>
    <row r="114" spans="1:24" s="2" customFormat="1" ht="10.5" customHeight="1" x14ac:dyDescent="0.15">
      <c r="A114" s="188" t="s">
        <v>12</v>
      </c>
      <c r="B114" s="27" t="s">
        <v>23</v>
      </c>
      <c r="C114" s="27" t="s">
        <v>24</v>
      </c>
      <c r="D114" s="27" t="s">
        <v>25</v>
      </c>
      <c r="E114" s="31" t="s">
        <v>14</v>
      </c>
      <c r="F114" s="190" t="s">
        <v>34</v>
      </c>
      <c r="G114" s="191"/>
      <c r="H114" s="194" t="s">
        <v>42</v>
      </c>
      <c r="I114" s="195"/>
      <c r="J114" s="58" t="s">
        <v>15</v>
      </c>
      <c r="K114" s="29"/>
      <c r="L114" s="104" t="s">
        <v>41</v>
      </c>
      <c r="M114" s="31" t="s">
        <v>27</v>
      </c>
      <c r="N114" s="31" t="s">
        <v>17</v>
      </c>
      <c r="O114" s="192" t="s">
        <v>18</v>
      </c>
      <c r="P114" s="192" t="s">
        <v>19</v>
      </c>
      <c r="Q114" s="196" t="s">
        <v>20</v>
      </c>
      <c r="R114" s="196"/>
      <c r="S114" s="32" t="s">
        <v>21</v>
      </c>
      <c r="T114" s="7"/>
    </row>
    <row r="115" spans="1:24" s="2" customFormat="1" ht="10.5" customHeight="1" x14ac:dyDescent="0.15">
      <c r="A115" s="189"/>
      <c r="B115" s="28" t="s">
        <v>24</v>
      </c>
      <c r="C115" s="28" t="s">
        <v>26</v>
      </c>
      <c r="D115" s="28" t="s">
        <v>26</v>
      </c>
      <c r="E115" s="25" t="s">
        <v>33</v>
      </c>
      <c r="F115" s="25" t="s">
        <v>28</v>
      </c>
      <c r="G115" s="26" t="s">
        <v>36</v>
      </c>
      <c r="H115" s="91" t="s">
        <v>37</v>
      </c>
      <c r="I115" s="92" t="s">
        <v>35</v>
      </c>
      <c r="J115" s="59" t="s">
        <v>13</v>
      </c>
      <c r="K115" s="30"/>
      <c r="L115" s="26" t="s">
        <v>39</v>
      </c>
      <c r="M115" s="25" t="s">
        <v>16</v>
      </c>
      <c r="N115" s="25" t="s">
        <v>40</v>
      </c>
      <c r="O115" s="193"/>
      <c r="P115" s="193"/>
      <c r="Q115" s="197"/>
      <c r="R115" s="197"/>
      <c r="S115" s="43" t="s">
        <v>22</v>
      </c>
    </row>
    <row r="116" spans="1:24" x14ac:dyDescent="0.2">
      <c r="A116" s="132" t="s">
        <v>29</v>
      </c>
      <c r="B116" s="133"/>
      <c r="C116" s="133"/>
      <c r="D116" s="133"/>
      <c r="E116" s="125"/>
      <c r="F116" s="123">
        <f>IF(OR($A$117&lt;&gt;"",$N$117&lt;&gt;""),F98,0)</f>
        <v>0</v>
      </c>
      <c r="G116" s="123">
        <f>IF(OR($A$117&lt;&gt;"",$N$117&lt;&gt;""),G98,0)</f>
        <v>0</v>
      </c>
      <c r="H116" s="125"/>
      <c r="I116" s="123">
        <f>IF(OR($A$117&lt;&gt;"",$N$117&lt;&gt;""),I98,0)</f>
        <v>0</v>
      </c>
      <c r="J116" s="69">
        <f>IF(OR($A$66&lt;&gt;"",$N$66&lt;&gt;""),J98,0)</f>
        <v>0</v>
      </c>
      <c r="K116" s="68"/>
      <c r="L116" s="123">
        <f>IF(OR($A$117&lt;&gt;"",$N$117&lt;&gt;""),L89,0)</f>
        <v>0</v>
      </c>
      <c r="M116" s="124"/>
      <c r="N116" s="123">
        <f>IF(OR($A$117&lt;&gt;"",$N$117&lt;&gt;""),N89,0)</f>
        <v>0</v>
      </c>
      <c r="O116" s="97"/>
      <c r="P116" s="97"/>
      <c r="Q116" s="160"/>
      <c r="R116" s="160"/>
      <c r="S116" s="123">
        <f>IF(OR($A$117&lt;&gt;"",$N$117&lt;&gt;""),S89,0)</f>
        <v>0</v>
      </c>
    </row>
    <row r="117" spans="1:24" x14ac:dyDescent="0.2">
      <c r="A117" s="134"/>
      <c r="B117" s="118">
        <f>IF(A97&lt;&gt;"",B97+F117-I97,0)</f>
        <v>0</v>
      </c>
      <c r="C117" s="118">
        <f>IF(A97&lt;&gt;"",C97+F117-I117,0)</f>
        <v>0</v>
      </c>
      <c r="D117" s="108">
        <f>IF(A97&lt;&gt;"",D97+G117-J97,0)</f>
        <v>0</v>
      </c>
      <c r="E117" s="109"/>
      <c r="F117" s="109"/>
      <c r="G117" s="109"/>
      <c r="H117" s="111">
        <f t="shared" ref="H117:H148" si="16">IF(A117&lt;&gt;"",IF(E117&lt;0,B117-ABS(E117),B117+E117),-B117)</f>
        <v>0</v>
      </c>
      <c r="I117" s="112">
        <f t="shared" ref="I117:I148" si="17">IF(A117&lt;&gt;"",IF(H117&gt;0,IF(H117&lt;B117,H117,B117),0),ABS(H117))</f>
        <v>0</v>
      </c>
      <c r="J117" s="67">
        <f>IF(C117&gt;0,IF(B117&gt;0,(I117/B117)*D117,0),D117)</f>
        <v>0</v>
      </c>
      <c r="K117" s="68"/>
      <c r="L117" s="115"/>
      <c r="M117" s="116"/>
      <c r="N117" s="115"/>
      <c r="O117" s="138"/>
      <c r="P117" s="138"/>
      <c r="Q117" s="202"/>
      <c r="R117" s="202"/>
      <c r="S117" s="139"/>
      <c r="T117" s="1">
        <v>0</v>
      </c>
    </row>
    <row r="118" spans="1:24" x14ac:dyDescent="0.2">
      <c r="A118" s="117"/>
      <c r="B118" s="118">
        <f>IF(A117&lt;&gt;"",B117+F118-I117,0)</f>
        <v>0</v>
      </c>
      <c r="C118" s="118">
        <f>IF(A117&lt;&gt;"",C117+F118-I118,0)</f>
        <v>0</v>
      </c>
      <c r="D118" s="108">
        <f>IF(A117&lt;&gt;"",D117+G118-J117,0)</f>
        <v>0</v>
      </c>
      <c r="E118" s="119"/>
      <c r="F118" s="119"/>
      <c r="G118" s="119"/>
      <c r="H118" s="111">
        <f t="shared" si="16"/>
        <v>0</v>
      </c>
      <c r="I118" s="112">
        <f t="shared" si="17"/>
        <v>0</v>
      </c>
      <c r="J118" s="67">
        <f t="shared" ref="J118:J148" si="18">IF(C118&gt;0,IF(B118&gt;0,(I118/B118)*D118,0),D118)</f>
        <v>0</v>
      </c>
      <c r="K118" s="68"/>
      <c r="L118" s="112"/>
      <c r="M118" s="120"/>
      <c r="N118" s="112"/>
      <c r="O118" s="140"/>
      <c r="P118" s="140"/>
      <c r="Q118" s="158"/>
      <c r="R118" s="158"/>
      <c r="S118" s="141"/>
      <c r="T118" s="1">
        <v>0</v>
      </c>
      <c r="W118" s="62"/>
      <c r="X118" s="62"/>
    </row>
    <row r="119" spans="1:24" x14ac:dyDescent="0.2">
      <c r="A119" s="117"/>
      <c r="B119" s="118">
        <f t="shared" ref="B119:B148" si="19">IF(A118&lt;&gt;"",B118+F119-I118,0)</f>
        <v>0</v>
      </c>
      <c r="C119" s="118">
        <f t="shared" ref="C119:C148" si="20">IF(A118&lt;&gt;"",C118+F119-I119,0)</f>
        <v>0</v>
      </c>
      <c r="D119" s="108">
        <f t="shared" ref="D119:D148" si="21">IF(A118&lt;&gt;"",D118+G119-J118,0)</f>
        <v>0</v>
      </c>
      <c r="E119" s="119"/>
      <c r="F119" s="119"/>
      <c r="G119" s="119"/>
      <c r="H119" s="111">
        <f t="shared" si="16"/>
        <v>0</v>
      </c>
      <c r="I119" s="112">
        <f t="shared" si="17"/>
        <v>0</v>
      </c>
      <c r="J119" s="67">
        <f t="shared" si="18"/>
        <v>0</v>
      </c>
      <c r="K119" s="68"/>
      <c r="L119" s="112"/>
      <c r="M119" s="120"/>
      <c r="N119" s="112"/>
      <c r="O119" s="140"/>
      <c r="P119" s="140"/>
      <c r="Q119" s="158"/>
      <c r="R119" s="158"/>
      <c r="S119" s="141"/>
      <c r="T119" s="1">
        <v>0</v>
      </c>
      <c r="W119" s="62"/>
    </row>
    <row r="120" spans="1:24" x14ac:dyDescent="0.2">
      <c r="A120" s="117"/>
      <c r="B120" s="118">
        <f t="shared" si="19"/>
        <v>0</v>
      </c>
      <c r="C120" s="118">
        <f t="shared" si="20"/>
        <v>0</v>
      </c>
      <c r="D120" s="108">
        <f t="shared" si="21"/>
        <v>0</v>
      </c>
      <c r="E120" s="119"/>
      <c r="F120" s="119"/>
      <c r="G120" s="119"/>
      <c r="H120" s="111">
        <f t="shared" si="16"/>
        <v>0</v>
      </c>
      <c r="I120" s="112">
        <f t="shared" si="17"/>
        <v>0</v>
      </c>
      <c r="J120" s="67">
        <f t="shared" si="18"/>
        <v>0</v>
      </c>
      <c r="K120" s="68"/>
      <c r="L120" s="112"/>
      <c r="M120" s="120"/>
      <c r="N120" s="112"/>
      <c r="O120" s="140"/>
      <c r="P120" s="140"/>
      <c r="Q120" s="158"/>
      <c r="R120" s="158"/>
      <c r="S120" s="141"/>
      <c r="T120" s="1">
        <v>0</v>
      </c>
      <c r="W120" s="62"/>
      <c r="X120" s="62"/>
    </row>
    <row r="121" spans="1:24" x14ac:dyDescent="0.2">
      <c r="A121" s="117"/>
      <c r="B121" s="118">
        <f t="shared" si="19"/>
        <v>0</v>
      </c>
      <c r="C121" s="118">
        <f t="shared" si="20"/>
        <v>0</v>
      </c>
      <c r="D121" s="108">
        <f t="shared" si="21"/>
        <v>0</v>
      </c>
      <c r="E121" s="119"/>
      <c r="F121" s="119"/>
      <c r="G121" s="119"/>
      <c r="H121" s="111">
        <f t="shared" si="16"/>
        <v>0</v>
      </c>
      <c r="I121" s="112">
        <f t="shared" si="17"/>
        <v>0</v>
      </c>
      <c r="J121" s="67">
        <f t="shared" si="18"/>
        <v>0</v>
      </c>
      <c r="K121" s="68"/>
      <c r="L121" s="112"/>
      <c r="M121" s="120"/>
      <c r="N121" s="112"/>
      <c r="O121" s="140"/>
      <c r="P121" s="140"/>
      <c r="Q121" s="158"/>
      <c r="R121" s="158"/>
      <c r="S121" s="141"/>
      <c r="W121" s="62"/>
      <c r="X121" s="62"/>
    </row>
    <row r="122" spans="1:24" x14ac:dyDescent="0.2">
      <c r="A122" s="117"/>
      <c r="B122" s="118">
        <f t="shared" si="19"/>
        <v>0</v>
      </c>
      <c r="C122" s="118">
        <f t="shared" si="20"/>
        <v>0</v>
      </c>
      <c r="D122" s="108">
        <f t="shared" si="21"/>
        <v>0</v>
      </c>
      <c r="E122" s="119"/>
      <c r="F122" s="119"/>
      <c r="G122" s="119"/>
      <c r="H122" s="111">
        <f t="shared" si="16"/>
        <v>0</v>
      </c>
      <c r="I122" s="112">
        <f t="shared" si="17"/>
        <v>0</v>
      </c>
      <c r="J122" s="67">
        <f t="shared" si="18"/>
        <v>0</v>
      </c>
      <c r="K122" s="68"/>
      <c r="L122" s="112"/>
      <c r="M122" s="120"/>
      <c r="N122" s="112"/>
      <c r="O122" s="140"/>
      <c r="P122" s="140"/>
      <c r="Q122" s="158"/>
      <c r="R122" s="158"/>
      <c r="S122" s="141"/>
      <c r="W122" s="62"/>
      <c r="X122" s="62"/>
    </row>
    <row r="123" spans="1:24" x14ac:dyDescent="0.2">
      <c r="A123" s="117"/>
      <c r="B123" s="118">
        <f t="shared" si="19"/>
        <v>0</v>
      </c>
      <c r="C123" s="118">
        <f t="shared" si="20"/>
        <v>0</v>
      </c>
      <c r="D123" s="108">
        <f t="shared" si="21"/>
        <v>0</v>
      </c>
      <c r="E123" s="119"/>
      <c r="F123" s="119"/>
      <c r="G123" s="119"/>
      <c r="H123" s="111">
        <f t="shared" si="16"/>
        <v>0</v>
      </c>
      <c r="I123" s="112">
        <f t="shared" si="17"/>
        <v>0</v>
      </c>
      <c r="J123" s="67">
        <f t="shared" si="18"/>
        <v>0</v>
      </c>
      <c r="K123" s="68"/>
      <c r="L123" s="112"/>
      <c r="M123" s="120"/>
      <c r="N123" s="112"/>
      <c r="O123" s="140"/>
      <c r="P123" s="140"/>
      <c r="Q123" s="158"/>
      <c r="R123" s="158"/>
      <c r="S123" s="141"/>
      <c r="W123" s="62"/>
      <c r="X123" s="62"/>
    </row>
    <row r="124" spans="1:24" x14ac:dyDescent="0.2">
      <c r="A124" s="117"/>
      <c r="B124" s="118">
        <f t="shared" si="19"/>
        <v>0</v>
      </c>
      <c r="C124" s="118">
        <f t="shared" si="20"/>
        <v>0</v>
      </c>
      <c r="D124" s="108">
        <f t="shared" si="21"/>
        <v>0</v>
      </c>
      <c r="E124" s="119"/>
      <c r="F124" s="119"/>
      <c r="G124" s="119"/>
      <c r="H124" s="111">
        <f t="shared" si="16"/>
        <v>0</v>
      </c>
      <c r="I124" s="112">
        <f t="shared" si="17"/>
        <v>0</v>
      </c>
      <c r="J124" s="67">
        <f t="shared" si="18"/>
        <v>0</v>
      </c>
      <c r="K124" s="68"/>
      <c r="L124" s="112"/>
      <c r="M124" s="120"/>
      <c r="N124" s="112"/>
      <c r="O124" s="140"/>
      <c r="P124" s="140"/>
      <c r="Q124" s="158"/>
      <c r="R124" s="158"/>
      <c r="S124" s="141"/>
      <c r="W124" s="62"/>
      <c r="X124" s="62"/>
    </row>
    <row r="125" spans="1:24" x14ac:dyDescent="0.2">
      <c r="A125" s="117"/>
      <c r="B125" s="118">
        <f t="shared" si="19"/>
        <v>0</v>
      </c>
      <c r="C125" s="118">
        <f t="shared" si="20"/>
        <v>0</v>
      </c>
      <c r="D125" s="108">
        <f t="shared" si="21"/>
        <v>0</v>
      </c>
      <c r="E125" s="119"/>
      <c r="F125" s="119"/>
      <c r="G125" s="119"/>
      <c r="H125" s="111">
        <f t="shared" si="16"/>
        <v>0</v>
      </c>
      <c r="I125" s="112">
        <f t="shared" si="17"/>
        <v>0</v>
      </c>
      <c r="J125" s="67">
        <f t="shared" si="18"/>
        <v>0</v>
      </c>
      <c r="K125" s="68"/>
      <c r="L125" s="112"/>
      <c r="M125" s="120"/>
      <c r="N125" s="112"/>
      <c r="O125" s="140"/>
      <c r="P125" s="140"/>
      <c r="Q125" s="158"/>
      <c r="R125" s="158"/>
      <c r="S125" s="141"/>
      <c r="W125" s="62"/>
      <c r="X125" s="62"/>
    </row>
    <row r="126" spans="1:24" x14ac:dyDescent="0.2">
      <c r="A126" s="117"/>
      <c r="B126" s="118">
        <f t="shared" si="19"/>
        <v>0</v>
      </c>
      <c r="C126" s="118">
        <f t="shared" si="20"/>
        <v>0</v>
      </c>
      <c r="D126" s="108">
        <f t="shared" si="21"/>
        <v>0</v>
      </c>
      <c r="E126" s="119"/>
      <c r="F126" s="119"/>
      <c r="G126" s="119"/>
      <c r="H126" s="111">
        <f t="shared" si="16"/>
        <v>0</v>
      </c>
      <c r="I126" s="112">
        <f t="shared" si="17"/>
        <v>0</v>
      </c>
      <c r="J126" s="67">
        <f t="shared" si="18"/>
        <v>0</v>
      </c>
      <c r="K126" s="68"/>
      <c r="L126" s="112"/>
      <c r="M126" s="120"/>
      <c r="N126" s="112"/>
      <c r="O126" s="140"/>
      <c r="P126" s="140"/>
      <c r="Q126" s="158"/>
      <c r="R126" s="158"/>
      <c r="S126" s="141"/>
    </row>
    <row r="127" spans="1:24" x14ac:dyDescent="0.2">
      <c r="A127" s="117"/>
      <c r="B127" s="118">
        <f t="shared" si="19"/>
        <v>0</v>
      </c>
      <c r="C127" s="118">
        <f t="shared" si="20"/>
        <v>0</v>
      </c>
      <c r="D127" s="108">
        <f t="shared" si="21"/>
        <v>0</v>
      </c>
      <c r="E127" s="119"/>
      <c r="F127" s="119"/>
      <c r="G127" s="119"/>
      <c r="H127" s="111">
        <f t="shared" si="16"/>
        <v>0</v>
      </c>
      <c r="I127" s="112">
        <f t="shared" si="17"/>
        <v>0</v>
      </c>
      <c r="J127" s="67">
        <f t="shared" si="18"/>
        <v>0</v>
      </c>
      <c r="K127" s="68"/>
      <c r="L127" s="112"/>
      <c r="M127" s="120"/>
      <c r="N127" s="112"/>
      <c r="O127" s="140"/>
      <c r="P127" s="140"/>
      <c r="Q127" s="158"/>
      <c r="R127" s="158"/>
      <c r="S127" s="141"/>
      <c r="W127" s="62"/>
      <c r="X127" s="62"/>
    </row>
    <row r="128" spans="1:24" x14ac:dyDescent="0.2">
      <c r="A128" s="117"/>
      <c r="B128" s="118">
        <f t="shared" si="19"/>
        <v>0</v>
      </c>
      <c r="C128" s="118">
        <f t="shared" si="20"/>
        <v>0</v>
      </c>
      <c r="D128" s="108">
        <f t="shared" si="21"/>
        <v>0</v>
      </c>
      <c r="E128" s="119"/>
      <c r="F128" s="119"/>
      <c r="G128" s="119"/>
      <c r="H128" s="111">
        <f t="shared" si="16"/>
        <v>0</v>
      </c>
      <c r="I128" s="112">
        <f t="shared" si="17"/>
        <v>0</v>
      </c>
      <c r="J128" s="67">
        <f t="shared" si="18"/>
        <v>0</v>
      </c>
      <c r="K128" s="68"/>
      <c r="L128" s="112"/>
      <c r="M128" s="120"/>
      <c r="N128" s="112"/>
      <c r="O128" s="140"/>
      <c r="P128" s="140"/>
      <c r="Q128" s="158"/>
      <c r="R128" s="158"/>
      <c r="S128" s="141"/>
      <c r="W128" s="62"/>
      <c r="X128" s="62"/>
    </row>
    <row r="129" spans="1:24" x14ac:dyDescent="0.2">
      <c r="A129" s="117"/>
      <c r="B129" s="118">
        <f t="shared" si="19"/>
        <v>0</v>
      </c>
      <c r="C129" s="118">
        <f t="shared" si="20"/>
        <v>0</v>
      </c>
      <c r="D129" s="108">
        <f t="shared" si="21"/>
        <v>0</v>
      </c>
      <c r="E129" s="119"/>
      <c r="F129" s="119"/>
      <c r="G129" s="119"/>
      <c r="H129" s="111">
        <f t="shared" si="16"/>
        <v>0</v>
      </c>
      <c r="I129" s="112">
        <f t="shared" si="17"/>
        <v>0</v>
      </c>
      <c r="J129" s="67">
        <f t="shared" si="18"/>
        <v>0</v>
      </c>
      <c r="K129" s="68"/>
      <c r="L129" s="112"/>
      <c r="M129" s="120"/>
      <c r="N129" s="112"/>
      <c r="O129" s="140"/>
      <c r="P129" s="140"/>
      <c r="Q129" s="158"/>
      <c r="R129" s="158"/>
      <c r="S129" s="141"/>
      <c r="W129" s="62"/>
      <c r="X129" s="62"/>
    </row>
    <row r="130" spans="1:24" x14ac:dyDescent="0.2">
      <c r="A130" s="117"/>
      <c r="B130" s="118">
        <f t="shared" si="19"/>
        <v>0</v>
      </c>
      <c r="C130" s="118">
        <f t="shared" si="20"/>
        <v>0</v>
      </c>
      <c r="D130" s="108">
        <f t="shared" si="21"/>
        <v>0</v>
      </c>
      <c r="E130" s="119"/>
      <c r="F130" s="119"/>
      <c r="G130" s="119"/>
      <c r="H130" s="111">
        <f t="shared" si="16"/>
        <v>0</v>
      </c>
      <c r="I130" s="112">
        <f t="shared" si="17"/>
        <v>0</v>
      </c>
      <c r="J130" s="67">
        <f t="shared" si="18"/>
        <v>0</v>
      </c>
      <c r="K130" s="68"/>
      <c r="L130" s="112"/>
      <c r="M130" s="120"/>
      <c r="N130" s="112"/>
      <c r="O130" s="140"/>
      <c r="P130" s="140"/>
      <c r="Q130" s="158"/>
      <c r="R130" s="158"/>
      <c r="S130" s="141"/>
      <c r="W130" s="62"/>
      <c r="X130" s="62"/>
    </row>
    <row r="131" spans="1:24" x14ac:dyDescent="0.2">
      <c r="A131" s="117"/>
      <c r="B131" s="118">
        <f t="shared" si="19"/>
        <v>0</v>
      </c>
      <c r="C131" s="118">
        <f t="shared" si="20"/>
        <v>0</v>
      </c>
      <c r="D131" s="108">
        <f t="shared" si="21"/>
        <v>0</v>
      </c>
      <c r="E131" s="119"/>
      <c r="F131" s="119"/>
      <c r="G131" s="119"/>
      <c r="H131" s="111">
        <f t="shared" si="16"/>
        <v>0</v>
      </c>
      <c r="I131" s="112">
        <f t="shared" si="17"/>
        <v>0</v>
      </c>
      <c r="J131" s="67">
        <f t="shared" si="18"/>
        <v>0</v>
      </c>
      <c r="K131" s="68"/>
      <c r="L131" s="112"/>
      <c r="M131" s="120"/>
      <c r="N131" s="112"/>
      <c r="O131" s="140"/>
      <c r="P131" s="140"/>
      <c r="Q131" s="158"/>
      <c r="R131" s="158"/>
      <c r="S131" s="141"/>
    </row>
    <row r="132" spans="1:24" x14ac:dyDescent="0.2">
      <c r="A132" s="117"/>
      <c r="B132" s="118">
        <f t="shared" si="19"/>
        <v>0</v>
      </c>
      <c r="C132" s="118">
        <f t="shared" si="20"/>
        <v>0</v>
      </c>
      <c r="D132" s="108">
        <f t="shared" si="21"/>
        <v>0</v>
      </c>
      <c r="E132" s="119"/>
      <c r="F132" s="119"/>
      <c r="G132" s="119"/>
      <c r="H132" s="111">
        <f t="shared" si="16"/>
        <v>0</v>
      </c>
      <c r="I132" s="112">
        <f t="shared" si="17"/>
        <v>0</v>
      </c>
      <c r="J132" s="67">
        <f t="shared" si="18"/>
        <v>0</v>
      </c>
      <c r="K132" s="68"/>
      <c r="L132" s="112"/>
      <c r="M132" s="120"/>
      <c r="N132" s="112"/>
      <c r="O132" s="140"/>
      <c r="P132" s="140"/>
      <c r="Q132" s="158"/>
      <c r="R132" s="158"/>
      <c r="S132" s="141"/>
      <c r="W132" s="62"/>
      <c r="X132" s="62"/>
    </row>
    <row r="133" spans="1:24" x14ac:dyDescent="0.2">
      <c r="A133" s="117"/>
      <c r="B133" s="118">
        <f t="shared" si="19"/>
        <v>0</v>
      </c>
      <c r="C133" s="118">
        <f t="shared" si="20"/>
        <v>0</v>
      </c>
      <c r="D133" s="108">
        <f t="shared" si="21"/>
        <v>0</v>
      </c>
      <c r="E133" s="119"/>
      <c r="F133" s="119"/>
      <c r="G133" s="119"/>
      <c r="H133" s="111">
        <f t="shared" si="16"/>
        <v>0</v>
      </c>
      <c r="I133" s="112">
        <f t="shared" si="17"/>
        <v>0</v>
      </c>
      <c r="J133" s="67">
        <f t="shared" si="18"/>
        <v>0</v>
      </c>
      <c r="K133" s="68"/>
      <c r="L133" s="112"/>
      <c r="M133" s="120"/>
      <c r="N133" s="112"/>
      <c r="O133" s="140"/>
      <c r="P133" s="140"/>
      <c r="Q133" s="158"/>
      <c r="R133" s="158"/>
      <c r="S133" s="141"/>
    </row>
    <row r="134" spans="1:24" x14ac:dyDescent="0.2">
      <c r="A134" s="117"/>
      <c r="B134" s="118">
        <f t="shared" si="19"/>
        <v>0</v>
      </c>
      <c r="C134" s="118">
        <f t="shared" si="20"/>
        <v>0</v>
      </c>
      <c r="D134" s="108">
        <f t="shared" si="21"/>
        <v>0</v>
      </c>
      <c r="E134" s="119"/>
      <c r="F134" s="119"/>
      <c r="G134" s="119"/>
      <c r="H134" s="111">
        <f t="shared" si="16"/>
        <v>0</v>
      </c>
      <c r="I134" s="112">
        <f t="shared" si="17"/>
        <v>0</v>
      </c>
      <c r="J134" s="67">
        <f t="shared" si="18"/>
        <v>0</v>
      </c>
      <c r="K134" s="68"/>
      <c r="L134" s="112"/>
      <c r="M134" s="120"/>
      <c r="N134" s="112"/>
      <c r="O134" s="140"/>
      <c r="P134" s="140"/>
      <c r="Q134" s="158"/>
      <c r="R134" s="158"/>
      <c r="S134" s="141"/>
    </row>
    <row r="135" spans="1:24" x14ac:dyDescent="0.2">
      <c r="A135" s="117"/>
      <c r="B135" s="118">
        <f t="shared" si="19"/>
        <v>0</v>
      </c>
      <c r="C135" s="118">
        <f t="shared" si="20"/>
        <v>0</v>
      </c>
      <c r="D135" s="108">
        <f t="shared" si="21"/>
        <v>0</v>
      </c>
      <c r="E135" s="119"/>
      <c r="F135" s="119"/>
      <c r="G135" s="119"/>
      <c r="H135" s="111">
        <f t="shared" si="16"/>
        <v>0</v>
      </c>
      <c r="I135" s="112">
        <f t="shared" si="17"/>
        <v>0</v>
      </c>
      <c r="J135" s="67">
        <f t="shared" si="18"/>
        <v>0</v>
      </c>
      <c r="K135" s="68"/>
      <c r="L135" s="112"/>
      <c r="M135" s="120"/>
      <c r="N135" s="112"/>
      <c r="O135" s="140"/>
      <c r="P135" s="140"/>
      <c r="Q135" s="158"/>
      <c r="R135" s="158"/>
      <c r="S135" s="141"/>
      <c r="W135" s="62"/>
      <c r="X135" s="62"/>
    </row>
    <row r="136" spans="1:24" x14ac:dyDescent="0.2">
      <c r="A136" s="117"/>
      <c r="B136" s="118">
        <f t="shared" si="19"/>
        <v>0</v>
      </c>
      <c r="C136" s="118">
        <f t="shared" si="20"/>
        <v>0</v>
      </c>
      <c r="D136" s="108">
        <f t="shared" si="21"/>
        <v>0</v>
      </c>
      <c r="E136" s="119"/>
      <c r="F136" s="119"/>
      <c r="G136" s="119"/>
      <c r="H136" s="111">
        <f t="shared" si="16"/>
        <v>0</v>
      </c>
      <c r="I136" s="112">
        <f t="shared" si="17"/>
        <v>0</v>
      </c>
      <c r="J136" s="67">
        <f t="shared" si="18"/>
        <v>0</v>
      </c>
      <c r="K136" s="68"/>
      <c r="L136" s="112"/>
      <c r="M136" s="120"/>
      <c r="N136" s="112"/>
      <c r="O136" s="140"/>
      <c r="P136" s="140"/>
      <c r="Q136" s="158"/>
      <c r="R136" s="158"/>
      <c r="S136" s="141"/>
    </row>
    <row r="137" spans="1:24" x14ac:dyDescent="0.2">
      <c r="A137" s="117"/>
      <c r="B137" s="118">
        <f t="shared" si="19"/>
        <v>0</v>
      </c>
      <c r="C137" s="118">
        <f t="shared" si="20"/>
        <v>0</v>
      </c>
      <c r="D137" s="108">
        <f t="shared" si="21"/>
        <v>0</v>
      </c>
      <c r="E137" s="119"/>
      <c r="F137" s="119"/>
      <c r="G137" s="119"/>
      <c r="H137" s="111">
        <f t="shared" si="16"/>
        <v>0</v>
      </c>
      <c r="I137" s="112">
        <f t="shared" si="17"/>
        <v>0</v>
      </c>
      <c r="J137" s="67">
        <f t="shared" si="18"/>
        <v>0</v>
      </c>
      <c r="K137" s="68"/>
      <c r="L137" s="112"/>
      <c r="M137" s="120"/>
      <c r="N137" s="112"/>
      <c r="O137" s="140"/>
      <c r="P137" s="140"/>
      <c r="Q137" s="158"/>
      <c r="R137" s="158"/>
      <c r="S137" s="141"/>
      <c r="W137" s="62"/>
      <c r="X137" s="62"/>
    </row>
    <row r="138" spans="1:24" x14ac:dyDescent="0.2">
      <c r="A138" s="117"/>
      <c r="B138" s="118">
        <f t="shared" si="19"/>
        <v>0</v>
      </c>
      <c r="C138" s="118">
        <f t="shared" si="20"/>
        <v>0</v>
      </c>
      <c r="D138" s="108">
        <f t="shared" si="21"/>
        <v>0</v>
      </c>
      <c r="E138" s="119"/>
      <c r="F138" s="119"/>
      <c r="G138" s="119"/>
      <c r="H138" s="111">
        <f t="shared" si="16"/>
        <v>0</v>
      </c>
      <c r="I138" s="112">
        <f t="shared" si="17"/>
        <v>0</v>
      </c>
      <c r="J138" s="67">
        <f t="shared" si="18"/>
        <v>0</v>
      </c>
      <c r="K138" s="68"/>
      <c r="L138" s="112"/>
      <c r="M138" s="120"/>
      <c r="N138" s="112"/>
      <c r="O138" s="140"/>
      <c r="P138" s="140"/>
      <c r="Q138" s="158"/>
      <c r="R138" s="158"/>
      <c r="S138" s="141"/>
    </row>
    <row r="139" spans="1:24" x14ac:dyDescent="0.2">
      <c r="A139" s="117"/>
      <c r="B139" s="118">
        <f t="shared" si="19"/>
        <v>0</v>
      </c>
      <c r="C139" s="118">
        <f t="shared" si="20"/>
        <v>0</v>
      </c>
      <c r="D139" s="108">
        <f t="shared" si="21"/>
        <v>0</v>
      </c>
      <c r="E139" s="119"/>
      <c r="F139" s="119"/>
      <c r="G139" s="119"/>
      <c r="H139" s="111">
        <f t="shared" si="16"/>
        <v>0</v>
      </c>
      <c r="I139" s="112">
        <f t="shared" si="17"/>
        <v>0</v>
      </c>
      <c r="J139" s="67">
        <f t="shared" si="18"/>
        <v>0</v>
      </c>
      <c r="K139" s="68"/>
      <c r="L139" s="135"/>
      <c r="M139" s="136"/>
      <c r="N139" s="135"/>
      <c r="O139" s="144"/>
      <c r="P139" s="144"/>
      <c r="Q139" s="159"/>
      <c r="R139" s="159"/>
      <c r="S139" s="145"/>
      <c r="W139" s="62"/>
      <c r="X139" s="62"/>
    </row>
    <row r="140" spans="1:24" x14ac:dyDescent="0.2">
      <c r="A140" s="117"/>
      <c r="B140" s="118">
        <f t="shared" si="19"/>
        <v>0</v>
      </c>
      <c r="C140" s="118">
        <f t="shared" si="20"/>
        <v>0</v>
      </c>
      <c r="D140" s="108">
        <f t="shared" si="21"/>
        <v>0</v>
      </c>
      <c r="E140" s="119"/>
      <c r="F140" s="119"/>
      <c r="G140" s="119"/>
      <c r="H140" s="111">
        <f t="shared" si="16"/>
        <v>0</v>
      </c>
      <c r="I140" s="112">
        <f t="shared" si="17"/>
        <v>0</v>
      </c>
      <c r="J140" s="67">
        <f t="shared" si="18"/>
        <v>0</v>
      </c>
      <c r="K140" s="68"/>
      <c r="L140" s="123">
        <f>SUM(L116:L139)</f>
        <v>0</v>
      </c>
      <c r="M140" s="124"/>
      <c r="N140" s="123">
        <f>SUM(N116:N139)</f>
        <v>0</v>
      </c>
      <c r="O140" s="125"/>
      <c r="P140" s="125"/>
      <c r="Q140" s="160"/>
      <c r="R140" s="160"/>
      <c r="S140" s="126">
        <f>SUM(S116:S139)</f>
        <v>0</v>
      </c>
      <c r="W140" s="62"/>
      <c r="X140" s="62"/>
    </row>
    <row r="141" spans="1:24" x14ac:dyDescent="0.2">
      <c r="A141" s="117"/>
      <c r="B141" s="118">
        <f t="shared" si="19"/>
        <v>0</v>
      </c>
      <c r="C141" s="118">
        <f t="shared" si="20"/>
        <v>0</v>
      </c>
      <c r="D141" s="108">
        <f t="shared" si="21"/>
        <v>0</v>
      </c>
      <c r="E141" s="119"/>
      <c r="F141" s="119"/>
      <c r="G141" s="119"/>
      <c r="H141" s="111">
        <f t="shared" si="16"/>
        <v>0</v>
      </c>
      <c r="I141" s="112">
        <f t="shared" si="17"/>
        <v>0</v>
      </c>
      <c r="J141" s="67">
        <f t="shared" si="18"/>
        <v>0</v>
      </c>
      <c r="K141" s="68"/>
      <c r="L141" s="93"/>
      <c r="M141" s="95"/>
      <c r="N141" s="93"/>
      <c r="O141" s="96"/>
      <c r="P141" s="96"/>
      <c r="Q141" s="161"/>
      <c r="R141" s="161"/>
      <c r="S141" s="94"/>
    </row>
    <row r="142" spans="1:24" x14ac:dyDescent="0.2">
      <c r="A142" s="127"/>
      <c r="B142" s="118">
        <f t="shared" si="19"/>
        <v>0</v>
      </c>
      <c r="C142" s="118">
        <f t="shared" si="20"/>
        <v>0</v>
      </c>
      <c r="D142" s="108">
        <f t="shared" si="21"/>
        <v>0</v>
      </c>
      <c r="E142" s="128"/>
      <c r="F142" s="128"/>
      <c r="G142" s="119"/>
      <c r="H142" s="111">
        <f t="shared" si="16"/>
        <v>0</v>
      </c>
      <c r="I142" s="112">
        <f t="shared" si="17"/>
        <v>0</v>
      </c>
      <c r="J142" s="67">
        <f t="shared" si="18"/>
        <v>0</v>
      </c>
      <c r="K142" s="68"/>
      <c r="L142" s="162" t="str">
        <f>L91</f>
        <v>Notas Explicativas:</v>
      </c>
      <c r="M142" s="163"/>
      <c r="N142" s="163"/>
      <c r="O142" s="163"/>
      <c r="P142" s="163"/>
      <c r="Q142" s="163"/>
      <c r="R142" s="163"/>
      <c r="S142" s="164"/>
    </row>
    <row r="143" spans="1:24" x14ac:dyDescent="0.2">
      <c r="A143" s="127"/>
      <c r="B143" s="118">
        <f t="shared" si="19"/>
        <v>0</v>
      </c>
      <c r="C143" s="118">
        <f t="shared" si="20"/>
        <v>0</v>
      </c>
      <c r="D143" s="108">
        <f t="shared" si="21"/>
        <v>0</v>
      </c>
      <c r="E143" s="128"/>
      <c r="F143" s="128"/>
      <c r="G143" s="119"/>
      <c r="H143" s="111">
        <f t="shared" si="16"/>
        <v>0</v>
      </c>
      <c r="I143" s="112">
        <f t="shared" si="17"/>
        <v>0</v>
      </c>
      <c r="J143" s="67">
        <f t="shared" si="18"/>
        <v>0</v>
      </c>
      <c r="K143" s="68"/>
      <c r="L143" s="155" t="str">
        <f>L92</f>
        <v>1. O quadro acima transporta o crédito indevido e calcula automaticamente o ICMS exigível no D.D.F e respectivas datas DCI, DIJ e DCM.</v>
      </c>
      <c r="M143" s="156"/>
      <c r="N143" s="156"/>
      <c r="O143" s="156"/>
      <c r="P143" s="156"/>
      <c r="Q143" s="156"/>
      <c r="R143" s="156"/>
      <c r="S143" s="157"/>
    </row>
    <row r="144" spans="1:24" x14ac:dyDescent="0.2">
      <c r="A144" s="127"/>
      <c r="B144" s="118">
        <f t="shared" si="19"/>
        <v>0</v>
      </c>
      <c r="C144" s="118">
        <f t="shared" si="20"/>
        <v>0</v>
      </c>
      <c r="D144" s="108">
        <f t="shared" si="21"/>
        <v>0</v>
      </c>
      <c r="E144" s="128"/>
      <c r="F144" s="128"/>
      <c r="G144" s="119"/>
      <c r="H144" s="111">
        <f t="shared" si="16"/>
        <v>0</v>
      </c>
      <c r="I144" s="112">
        <f t="shared" si="17"/>
        <v>0</v>
      </c>
      <c r="J144" s="67">
        <f t="shared" si="18"/>
        <v>0</v>
      </c>
      <c r="K144" s="68"/>
      <c r="L144" s="155"/>
      <c r="M144" s="156"/>
      <c r="N144" s="156"/>
      <c r="O144" s="156"/>
      <c r="P144" s="156"/>
      <c r="Q144" s="156"/>
      <c r="R144" s="156"/>
      <c r="S144" s="157"/>
    </row>
    <row r="145" spans="1:24" x14ac:dyDescent="0.2">
      <c r="A145" s="127"/>
      <c r="B145" s="118">
        <f t="shared" si="19"/>
        <v>0</v>
      </c>
      <c r="C145" s="118">
        <f t="shared" si="20"/>
        <v>0</v>
      </c>
      <c r="D145" s="108">
        <f t="shared" si="21"/>
        <v>0</v>
      </c>
      <c r="E145" s="128"/>
      <c r="F145" s="128"/>
      <c r="G145" s="119"/>
      <c r="H145" s="111">
        <f t="shared" si="16"/>
        <v>0</v>
      </c>
      <c r="I145" s="112">
        <f t="shared" si="17"/>
        <v>0</v>
      </c>
      <c r="J145" s="67">
        <f t="shared" si="18"/>
        <v>0</v>
      </c>
      <c r="K145" s="68"/>
      <c r="L145" s="155" t="str">
        <f>L94</f>
        <v>2. O ICMS exigível e respectivas datas são calculadas em conformidade com a evolução do débito fiscal (Artigo 565, I, 'c' do RICMS).</v>
      </c>
      <c r="M145" s="156"/>
      <c r="N145" s="156"/>
      <c r="O145" s="156"/>
      <c r="P145" s="156"/>
      <c r="Q145" s="156"/>
      <c r="R145" s="156"/>
      <c r="S145" s="157"/>
    </row>
    <row r="146" spans="1:24" x14ac:dyDescent="0.2">
      <c r="A146" s="127"/>
      <c r="B146" s="118">
        <f t="shared" si="19"/>
        <v>0</v>
      </c>
      <c r="C146" s="118">
        <f t="shared" si="20"/>
        <v>0</v>
      </c>
      <c r="D146" s="108">
        <f t="shared" si="21"/>
        <v>0</v>
      </c>
      <c r="E146" s="128"/>
      <c r="F146" s="128"/>
      <c r="G146" s="119"/>
      <c r="H146" s="111">
        <f t="shared" si="16"/>
        <v>0</v>
      </c>
      <c r="I146" s="112">
        <f t="shared" si="17"/>
        <v>0</v>
      </c>
      <c r="J146" s="67">
        <f t="shared" si="18"/>
        <v>0</v>
      </c>
      <c r="K146" s="68"/>
      <c r="L146" s="155"/>
      <c r="M146" s="156"/>
      <c r="N146" s="156"/>
      <c r="O146" s="156"/>
      <c r="P146" s="156"/>
      <c r="Q146" s="156"/>
      <c r="R146" s="156"/>
      <c r="S146" s="157"/>
    </row>
    <row r="147" spans="1:24" x14ac:dyDescent="0.2">
      <c r="A147" s="127"/>
      <c r="B147" s="118">
        <f t="shared" si="19"/>
        <v>0</v>
      </c>
      <c r="C147" s="118">
        <f t="shared" si="20"/>
        <v>0</v>
      </c>
      <c r="D147" s="108">
        <f t="shared" si="21"/>
        <v>0</v>
      </c>
      <c r="E147" s="128"/>
      <c r="F147" s="128"/>
      <c r="G147" s="119"/>
      <c r="H147" s="111">
        <f t="shared" si="16"/>
        <v>0</v>
      </c>
      <c r="I147" s="112">
        <f t="shared" si="17"/>
        <v>0</v>
      </c>
      <c r="J147" s="67">
        <f t="shared" si="18"/>
        <v>0</v>
      </c>
      <c r="K147" s="68"/>
      <c r="L147" s="155">
        <f>L96</f>
        <v>0</v>
      </c>
      <c r="M147" s="156"/>
      <c r="N147" s="156"/>
      <c r="O147" s="156"/>
      <c r="P147" s="156"/>
      <c r="Q147" s="156"/>
      <c r="R147" s="156"/>
      <c r="S147" s="157"/>
    </row>
    <row r="148" spans="1:24" x14ac:dyDescent="0.2">
      <c r="A148" s="127"/>
      <c r="B148" s="118">
        <f t="shared" si="19"/>
        <v>0</v>
      </c>
      <c r="C148" s="118">
        <f t="shared" si="20"/>
        <v>0</v>
      </c>
      <c r="D148" s="108">
        <f t="shared" si="21"/>
        <v>0</v>
      </c>
      <c r="E148" s="128"/>
      <c r="F148" s="128"/>
      <c r="G148" s="119"/>
      <c r="H148" s="111">
        <f t="shared" si="16"/>
        <v>0</v>
      </c>
      <c r="I148" s="112">
        <f t="shared" si="17"/>
        <v>0</v>
      </c>
      <c r="J148" s="67">
        <f t="shared" si="18"/>
        <v>0</v>
      </c>
      <c r="K148" s="68"/>
      <c r="L148" s="155"/>
      <c r="M148" s="156"/>
      <c r="N148" s="156"/>
      <c r="O148" s="156"/>
      <c r="P148" s="156"/>
      <c r="Q148" s="156"/>
      <c r="R148" s="156"/>
      <c r="S148" s="157"/>
    </row>
    <row r="149" spans="1:24" x14ac:dyDescent="0.2">
      <c r="A149" s="103" t="s">
        <v>6</v>
      </c>
      <c r="B149" s="129"/>
      <c r="C149" s="130"/>
      <c r="D149" s="129"/>
      <c r="E149" s="125"/>
      <c r="F149" s="123">
        <f>SUM(F116:F148)</f>
        <v>0</v>
      </c>
      <c r="G149" s="123">
        <f>SUM(G116:G148)</f>
        <v>0</v>
      </c>
      <c r="H149" s="131"/>
      <c r="I149" s="123">
        <f>SUM(I116:I148)</f>
        <v>0</v>
      </c>
      <c r="J149" s="69">
        <f>SUM(J116:J148)</f>
        <v>0</v>
      </c>
      <c r="K149" s="68"/>
      <c r="L149" s="180"/>
      <c r="M149" s="181"/>
      <c r="N149" s="181"/>
      <c r="O149" s="181"/>
      <c r="P149" s="181"/>
      <c r="Q149" s="181"/>
      <c r="R149" s="181"/>
      <c r="S149" s="182"/>
      <c r="W149" s="62"/>
      <c r="X149" s="62"/>
    </row>
    <row r="150" spans="1:24" ht="5.0999999999999996" customHeight="1" x14ac:dyDescent="0.2">
      <c r="A150" s="44"/>
      <c r="B150" s="44"/>
      <c r="C150" s="44"/>
      <c r="D150" s="44"/>
      <c r="E150" s="44"/>
      <c r="F150" s="44"/>
      <c r="G150" s="44"/>
      <c r="H150" s="44"/>
      <c r="I150" s="44"/>
      <c r="J150" s="60"/>
      <c r="K150" s="44"/>
      <c r="L150" s="183"/>
      <c r="M150" s="183"/>
      <c r="N150" s="183"/>
      <c r="O150" s="183"/>
      <c r="P150" s="183"/>
      <c r="Q150" s="183"/>
      <c r="R150" s="183"/>
      <c r="S150" s="183"/>
      <c r="T150" s="4"/>
    </row>
    <row r="151" spans="1:24" s="5" customFormat="1" ht="9" customHeight="1" x14ac:dyDescent="0.15">
      <c r="A151" s="101" t="s">
        <v>4</v>
      </c>
      <c r="B151" s="46"/>
      <c r="C151" s="46"/>
      <c r="D151" s="46"/>
      <c r="E151" s="45"/>
      <c r="F151" s="45"/>
      <c r="G151" s="74"/>
      <c r="H151" s="184" t="s">
        <v>5</v>
      </c>
      <c r="I151" s="185"/>
      <c r="J151" s="61"/>
      <c r="K151" s="71"/>
      <c r="L151" s="186" t="s">
        <v>30</v>
      </c>
      <c r="M151" s="187"/>
      <c r="N151" s="187"/>
      <c r="O151" s="187"/>
      <c r="P151" s="65"/>
      <c r="Q151" s="65"/>
      <c r="R151" s="45"/>
      <c r="S151" s="61"/>
      <c r="T151" s="6"/>
    </row>
    <row r="152" spans="1:24" ht="11.1" customHeight="1" x14ac:dyDescent="0.2">
      <c r="A152" s="168" t="str">
        <f>IF(OR($A$117&lt;&gt;"",$N$117&lt;&gt;""),A101,"")</f>
        <v/>
      </c>
      <c r="B152" s="169"/>
      <c r="C152" s="169"/>
      <c r="D152" s="169"/>
      <c r="E152" s="169"/>
      <c r="F152" s="169"/>
      <c r="G152" s="170"/>
      <c r="H152" s="174" t="str">
        <f>IF(OR($A$117&lt;&gt;"",$N$117&lt;&gt;""),H101,"")</f>
        <v/>
      </c>
      <c r="I152" s="175"/>
      <c r="J152" s="176"/>
      <c r="K152" s="72"/>
      <c r="L152" s="17"/>
      <c r="M152" s="18"/>
      <c r="N152" s="18"/>
      <c r="O152" s="63"/>
      <c r="P152" s="63"/>
      <c r="Q152" s="63"/>
      <c r="R152" s="15"/>
      <c r="S152" s="64"/>
      <c r="T152" s="4"/>
    </row>
    <row r="153" spans="1:24" ht="10.5" customHeight="1" x14ac:dyDescent="0.2">
      <c r="A153" s="171"/>
      <c r="B153" s="172"/>
      <c r="C153" s="172"/>
      <c r="D153" s="172"/>
      <c r="E153" s="172"/>
      <c r="F153" s="172"/>
      <c r="G153" s="173"/>
      <c r="H153" s="177"/>
      <c r="I153" s="178"/>
      <c r="J153" s="179"/>
      <c r="K153" s="72"/>
      <c r="L153" s="19"/>
      <c r="M153" s="20"/>
      <c r="N153" s="20"/>
      <c r="O153" s="66"/>
      <c r="P153" s="66"/>
      <c r="Q153" s="66"/>
      <c r="R153" s="16"/>
      <c r="S153" s="52"/>
      <c r="T153" s="4"/>
    </row>
    <row r="154" spans="1:24" x14ac:dyDescent="0.2">
      <c r="F154" s="87"/>
      <c r="K154" s="4"/>
    </row>
  </sheetData>
  <sheetProtection password="88C5" sheet="1" objects="1" scenarios="1"/>
  <mergeCells count="157">
    <mergeCell ref="Q77:R77"/>
    <mergeCell ref="L100:O100"/>
    <mergeCell ref="Q81:R81"/>
    <mergeCell ref="L98:S98"/>
    <mergeCell ref="Q84:R84"/>
    <mergeCell ref="Q82:R82"/>
    <mergeCell ref="Q83:R83"/>
    <mergeCell ref="Q90:R90"/>
    <mergeCell ref="Q85:R85"/>
    <mergeCell ref="Q86:R86"/>
    <mergeCell ref="Q21:R21"/>
    <mergeCell ref="P7:S7"/>
    <mergeCell ref="P8:S8"/>
    <mergeCell ref="P60:S60"/>
    <mergeCell ref="R55:S55"/>
    <mergeCell ref="R56:S56"/>
    <mergeCell ref="E55:P56"/>
    <mergeCell ref="L49:O49"/>
    <mergeCell ref="Q35:R35"/>
    <mergeCell ref="Q36:R36"/>
    <mergeCell ref="Q26:R26"/>
    <mergeCell ref="Q22:R22"/>
    <mergeCell ref="Q23:R23"/>
    <mergeCell ref="Q66:R66"/>
    <mergeCell ref="Q73:R73"/>
    <mergeCell ref="Q34:R34"/>
    <mergeCell ref="Q29:R29"/>
    <mergeCell ref="Q30:R30"/>
    <mergeCell ref="Q38:R38"/>
    <mergeCell ref="Q37:R37"/>
    <mergeCell ref="Q87:R87"/>
    <mergeCell ref="Q88:R88"/>
    <mergeCell ref="Q31:R31"/>
    <mergeCell ref="Q33:R33"/>
    <mergeCell ref="Q32:R32"/>
    <mergeCell ref="L48:S48"/>
    <mergeCell ref="L41:S42"/>
    <mergeCell ref="L43:S44"/>
    <mergeCell ref="L45:S46"/>
    <mergeCell ref="L40:S40"/>
    <mergeCell ref="A12:A13"/>
    <mergeCell ref="Q24:R24"/>
    <mergeCell ref="Q25:R25"/>
    <mergeCell ref="Q18:R18"/>
    <mergeCell ref="Q19:R19"/>
    <mergeCell ref="Q12:R13"/>
    <mergeCell ref="Q14:R14"/>
    <mergeCell ref="Q17:R17"/>
    <mergeCell ref="Q15:R15"/>
    <mergeCell ref="H12:I12"/>
    <mergeCell ref="Q1:S1"/>
    <mergeCell ref="Q3:S3"/>
    <mergeCell ref="P9:S9"/>
    <mergeCell ref="R4:S4"/>
    <mergeCell ref="R5:S5"/>
    <mergeCell ref="E4:P5"/>
    <mergeCell ref="A8:O8"/>
    <mergeCell ref="N2:O2"/>
    <mergeCell ref="N3:O3"/>
    <mergeCell ref="H100:I100"/>
    <mergeCell ref="H101:J102"/>
    <mergeCell ref="A101:G102"/>
    <mergeCell ref="A63:A64"/>
    <mergeCell ref="F63:G63"/>
    <mergeCell ref="H63:I63"/>
    <mergeCell ref="P10:S10"/>
    <mergeCell ref="L39:S39"/>
    <mergeCell ref="A10:O10"/>
    <mergeCell ref="Q27:R27"/>
    <mergeCell ref="Q28:R28"/>
    <mergeCell ref="P12:P13"/>
    <mergeCell ref="Q16:R16"/>
    <mergeCell ref="F12:G12"/>
    <mergeCell ref="O12:O13"/>
    <mergeCell ref="Q20:R20"/>
    <mergeCell ref="L47:S47"/>
    <mergeCell ref="Q71:R71"/>
    <mergeCell ref="Q72:R72"/>
    <mergeCell ref="P61:S61"/>
    <mergeCell ref="Q69:R69"/>
    <mergeCell ref="Q70:R70"/>
    <mergeCell ref="P59:S59"/>
    <mergeCell ref="Q65:R65"/>
    <mergeCell ref="H49:I49"/>
    <mergeCell ref="Q63:R64"/>
    <mergeCell ref="Q80:R80"/>
    <mergeCell ref="Q89:R89"/>
    <mergeCell ref="Q75:R75"/>
    <mergeCell ref="Q76:R76"/>
    <mergeCell ref="Q78:R78"/>
    <mergeCell ref="Q52:S52"/>
    <mergeCell ref="Q54:S54"/>
    <mergeCell ref="Q67:R67"/>
    <mergeCell ref="H50:J51"/>
    <mergeCell ref="A50:G51"/>
    <mergeCell ref="L99:S99"/>
    <mergeCell ref="Q68:R68"/>
    <mergeCell ref="O63:O64"/>
    <mergeCell ref="P63:P64"/>
    <mergeCell ref="L91:S91"/>
    <mergeCell ref="Q79:R79"/>
    <mergeCell ref="Q74:R74"/>
    <mergeCell ref="P58:S58"/>
    <mergeCell ref="Q103:S103"/>
    <mergeCell ref="Q105:S105"/>
    <mergeCell ref="R106:S106"/>
    <mergeCell ref="R107:S107"/>
    <mergeCell ref="Q117:R117"/>
    <mergeCell ref="Q118:R118"/>
    <mergeCell ref="P112:S112"/>
    <mergeCell ref="P109:S109"/>
    <mergeCell ref="P110:S110"/>
    <mergeCell ref="E106:P107"/>
    <mergeCell ref="Q119:R119"/>
    <mergeCell ref="A114:A115"/>
    <mergeCell ref="F114:G114"/>
    <mergeCell ref="O114:O115"/>
    <mergeCell ref="P114:P115"/>
    <mergeCell ref="H114:I114"/>
    <mergeCell ref="Q114:R115"/>
    <mergeCell ref="Q116:R116"/>
    <mergeCell ref="Q133:R133"/>
    <mergeCell ref="Q122:R122"/>
    <mergeCell ref="Q123:R123"/>
    <mergeCell ref="Q124:R124"/>
    <mergeCell ref="Q125:R125"/>
    <mergeCell ref="Q126:R126"/>
    <mergeCell ref="Q127:R127"/>
    <mergeCell ref="Q128:R128"/>
    <mergeCell ref="Q129:R129"/>
    <mergeCell ref="Q131:R131"/>
    <mergeCell ref="A152:G153"/>
    <mergeCell ref="H152:J153"/>
    <mergeCell ref="L149:S149"/>
    <mergeCell ref="L150:S150"/>
    <mergeCell ref="H151:I151"/>
    <mergeCell ref="L151:O151"/>
    <mergeCell ref="L145:S146"/>
    <mergeCell ref="L147:S148"/>
    <mergeCell ref="Q132:R132"/>
    <mergeCell ref="L92:S93"/>
    <mergeCell ref="L94:S95"/>
    <mergeCell ref="L96:S97"/>
    <mergeCell ref="Q130:R130"/>
    <mergeCell ref="Q120:R120"/>
    <mergeCell ref="Q121:R121"/>
    <mergeCell ref="P111:S111"/>
    <mergeCell ref="L143:S144"/>
    <mergeCell ref="Q134:R134"/>
    <mergeCell ref="Q135:R135"/>
    <mergeCell ref="Q136:R136"/>
    <mergeCell ref="Q137:R137"/>
    <mergeCell ref="Q138:R138"/>
    <mergeCell ref="Q139:R139"/>
    <mergeCell ref="Q140:R140"/>
    <mergeCell ref="Q141:R141"/>
    <mergeCell ref="L142:S142"/>
  </mergeCells>
  <phoneticPr fontId="0" type="noConversion"/>
  <conditionalFormatting sqref="I117:I148 I14:I46 I66:I97">
    <cfRule type="cellIs" dxfId="2" priority="12" stopIfTrue="1" operator="lessThan">
      <formula>0</formula>
    </cfRule>
  </conditionalFormatting>
  <conditionalFormatting sqref="E66:E97 H117:H148 H14:H46 H66:H97 E117:E148">
    <cfRule type="cellIs" dxfId="1" priority="13" stopIfTrue="1" operator="lessThan">
      <formula>0</formula>
    </cfRule>
  </conditionalFormatting>
  <conditionalFormatting sqref="E14:E46">
    <cfRule type="cellIs" dxfId="0" priority="1" stopIfTrue="1" operator="lessThan">
      <formula>0</formula>
    </cfRule>
  </conditionalFormatting>
  <printOptions horizontalCentered="1" verticalCentered="1"/>
  <pageMargins left="0" right="0" top="0.59055118110236227" bottom="0.19685039370078741" header="0" footer="0"/>
  <pageSetup paperSize="9" scale="84" orientation="landscape" r:id="rId1"/>
  <headerFooter alignWithMargins="0"/>
  <rowBreaks count="1" manualBreakCount="1">
    <brk id="51" max="16383" man="1"/>
  </rowBreaks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14</vt:i4>
      </vt:variant>
    </vt:vector>
  </HeadingPairs>
  <TitlesOfParts>
    <vt:vector size="16" baseType="lpstr">
      <vt:lpstr>Instruções</vt:lpstr>
      <vt:lpstr>CREDITO - DDF</vt:lpstr>
      <vt:lpstr>Instruções!Area_de_impressao</vt:lpstr>
      <vt:lpstr>Folha1</vt:lpstr>
      <vt:lpstr>Folha2</vt:lpstr>
      <vt:lpstr>Folha3</vt:lpstr>
      <vt:lpstr>FolhaTudo</vt:lpstr>
      <vt:lpstr>MesAno1</vt:lpstr>
      <vt:lpstr>MesAno2</vt:lpstr>
      <vt:lpstr>MesAno3</vt:lpstr>
      <vt:lpstr>Quadro1</vt:lpstr>
      <vt:lpstr>Quadro2</vt:lpstr>
      <vt:lpstr>Quadro3</vt:lpstr>
      <vt:lpstr>Quadro4</vt:lpstr>
      <vt:lpstr>Quadro5</vt:lpstr>
      <vt:lpstr>Quadro6</vt:lpstr>
    </vt:vector>
  </TitlesOfParts>
  <Company>Secretaria da Fazenda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PF-11</dc:creator>
  <cp:lastModifiedBy>Alexandre Palmeira Mendonça</cp:lastModifiedBy>
  <cp:lastPrinted>2017-09-19T19:31:28Z</cp:lastPrinted>
  <dcterms:created xsi:type="dcterms:W3CDTF">2001-12-18T15:48:13Z</dcterms:created>
  <dcterms:modified xsi:type="dcterms:W3CDTF">2022-03-22T17:00:55Z</dcterms:modified>
</cp:coreProperties>
</file>