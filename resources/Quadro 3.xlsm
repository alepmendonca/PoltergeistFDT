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13_ncr:1_{5E7401D3-4B9A-4439-9EBE-61BC41D13CF8}" xr6:coauthVersionLast="47" xr6:coauthVersionMax="47" xr10:uidLastSave="{00000000-0000-0000-0000-000000000000}"/>
  <workbookProtection lockStructure="1"/>
  <bookViews>
    <workbookView xWindow="9225" yWindow="1425" windowWidth="23880" windowHeight="11700" tabRatio="863" activeTab="4" xr2:uid="{00000000-000D-0000-FFFF-FFFF00000000}"/>
  </bookViews>
  <sheets>
    <sheet name="Ajuda" sheetId="18" r:id="rId1"/>
    <sheet name="DDF Original" sheetId="16" r:id="rId2"/>
    <sheet name="Recálculo Confissão (85-B)" sheetId="13" r:id="rId3"/>
    <sheet name="Cálculo do Desconto" sheetId="19" r:id="rId4"/>
    <sheet name="Demonstr Pagto Após Confissão" sheetId="20" r:id="rId5"/>
  </sheets>
  <externalReferences>
    <externalReference r:id="rId6"/>
  </externalReferences>
  <definedNames>
    <definedName name="_AMO_UniqueIdentifier" localSheetId="0" hidden="1">"'a54b8ad0-8140-4a6d-ac6c-f54ef23cadef'"</definedName>
    <definedName name="_AMO_UniqueIdentifier" hidden="1">"'2221145e-2aad-4c6f-9ca7-50fa08d7776f'"</definedName>
    <definedName name="_xlnm.Print_Area" localSheetId="0">Ajuda!$A$1:$C$18</definedName>
    <definedName name="_xlnm.Print_Area" localSheetId="4">'Demonstr Pagto Após Confissão'!$A$1:$K$37</definedName>
    <definedName name="Nº_Parcelas_Deferido">[1]Parcelamento!$C$4</definedName>
    <definedName name="_xlnm.Print_Titles" localSheetId="0">Ajuda!$1:$1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6" l="1"/>
  <c r="B509" i="19"/>
  <c r="C509" i="19"/>
  <c r="D509" i="19"/>
  <c r="B510" i="19"/>
  <c r="C510" i="19"/>
  <c r="D510" i="19"/>
  <c r="B511" i="19"/>
  <c r="C511" i="19"/>
  <c r="D511" i="19"/>
  <c r="B512" i="19"/>
  <c r="C512" i="19"/>
  <c r="D512" i="19"/>
  <c r="B513" i="19"/>
  <c r="C513" i="19"/>
  <c r="D513" i="19"/>
  <c r="B514" i="19"/>
  <c r="C514" i="19"/>
  <c r="D514" i="19"/>
  <c r="B515" i="19"/>
  <c r="C515" i="19"/>
  <c r="D515" i="19"/>
  <c r="B516" i="19"/>
  <c r="C516" i="19"/>
  <c r="D516" i="19"/>
  <c r="B517" i="19"/>
  <c r="C517" i="19"/>
  <c r="D517" i="19"/>
  <c r="B518" i="19"/>
  <c r="C518" i="19"/>
  <c r="D518" i="19"/>
  <c r="B519" i="19"/>
  <c r="C519" i="19"/>
  <c r="D519" i="19"/>
  <c r="B520" i="19"/>
  <c r="C520" i="19"/>
  <c r="D520" i="19"/>
  <c r="B521" i="19"/>
  <c r="C521" i="19"/>
  <c r="D521" i="19"/>
  <c r="B522" i="19"/>
  <c r="C522" i="19"/>
  <c r="D522" i="19"/>
  <c r="B523" i="19"/>
  <c r="C523" i="19"/>
  <c r="D523" i="19"/>
  <c r="B524" i="19"/>
  <c r="C524" i="19"/>
  <c r="D524" i="19"/>
  <c r="B525" i="19"/>
  <c r="C525" i="19"/>
  <c r="D525" i="19"/>
  <c r="B526" i="19"/>
  <c r="C526" i="19"/>
  <c r="D526" i="19"/>
  <c r="B527" i="19"/>
  <c r="C527" i="19"/>
  <c r="D527" i="19"/>
  <c r="B528" i="19"/>
  <c r="C528" i="19"/>
  <c r="D528" i="19"/>
  <c r="B529" i="19"/>
  <c r="C529" i="19"/>
  <c r="D529" i="19"/>
  <c r="B530" i="19"/>
  <c r="C530" i="19"/>
  <c r="D530" i="19"/>
  <c r="B531" i="19"/>
  <c r="C531" i="19"/>
  <c r="D531" i="19"/>
  <c r="B532" i="19"/>
  <c r="C532" i="19"/>
  <c r="D532" i="19"/>
  <c r="B533" i="19"/>
  <c r="C533" i="19"/>
  <c r="D533" i="19"/>
  <c r="B534" i="19"/>
  <c r="C534" i="19"/>
  <c r="D534" i="19"/>
  <c r="B535" i="19"/>
  <c r="C535" i="19"/>
  <c r="D535" i="19"/>
  <c r="B536" i="19"/>
  <c r="C536" i="19"/>
  <c r="D536" i="19"/>
  <c r="B537" i="19"/>
  <c r="C537" i="19"/>
  <c r="D537" i="19"/>
  <c r="B538" i="19"/>
  <c r="C538" i="19"/>
  <c r="D538" i="19"/>
  <c r="B539" i="19"/>
  <c r="C539" i="19"/>
  <c r="D539" i="19"/>
  <c r="B540" i="19"/>
  <c r="C540" i="19"/>
  <c r="D540" i="19"/>
  <c r="B541" i="19"/>
  <c r="C541" i="19"/>
  <c r="D541" i="19"/>
  <c r="B542" i="19"/>
  <c r="C542" i="19"/>
  <c r="D542" i="19"/>
  <c r="B543" i="19"/>
  <c r="C543" i="19"/>
  <c r="D543" i="19"/>
  <c r="B544" i="19"/>
  <c r="C544" i="19"/>
  <c r="D544" i="19"/>
  <c r="B545" i="19"/>
  <c r="C545" i="19"/>
  <c r="D545" i="19"/>
  <c r="B546" i="19"/>
  <c r="C546" i="19"/>
  <c r="D546" i="19"/>
  <c r="B547" i="19"/>
  <c r="C547" i="19"/>
  <c r="D547" i="19"/>
  <c r="B548" i="19"/>
  <c r="C548" i="19"/>
  <c r="D548" i="19"/>
  <c r="B549" i="19"/>
  <c r="C549" i="19"/>
  <c r="D549" i="19"/>
  <c r="B550" i="19"/>
  <c r="C550" i="19"/>
  <c r="D550" i="19"/>
  <c r="B551" i="19"/>
  <c r="C551" i="19"/>
  <c r="D551" i="19"/>
  <c r="B552" i="19"/>
  <c r="C552" i="19"/>
  <c r="D552" i="19"/>
  <c r="B553" i="19"/>
  <c r="C553" i="19"/>
  <c r="D553" i="19"/>
  <c r="B554" i="19"/>
  <c r="C554" i="19"/>
  <c r="D554" i="19"/>
  <c r="B555" i="19"/>
  <c r="C555" i="19"/>
  <c r="D555" i="19"/>
  <c r="B556" i="19"/>
  <c r="C556" i="19"/>
  <c r="D556" i="19"/>
  <c r="B557" i="19"/>
  <c r="C557" i="19"/>
  <c r="D557" i="19"/>
  <c r="B558" i="19"/>
  <c r="C558" i="19"/>
  <c r="D558" i="19"/>
  <c r="B559" i="19"/>
  <c r="C559" i="19"/>
  <c r="D559" i="19"/>
  <c r="B560" i="19"/>
  <c r="C560" i="19"/>
  <c r="D560" i="19"/>
  <c r="B561" i="19"/>
  <c r="C561" i="19"/>
  <c r="D561" i="19"/>
  <c r="B562" i="19"/>
  <c r="C562" i="19"/>
  <c r="D562" i="19"/>
  <c r="B563" i="19"/>
  <c r="C563" i="19"/>
  <c r="D563" i="19"/>
  <c r="B564" i="19"/>
  <c r="C564" i="19"/>
  <c r="D564" i="19"/>
  <c r="B565" i="19"/>
  <c r="C565" i="19"/>
  <c r="D565" i="19"/>
  <c r="B566" i="19"/>
  <c r="C566" i="19"/>
  <c r="D566" i="19"/>
  <c r="B567" i="19"/>
  <c r="C567" i="19"/>
  <c r="D567" i="19"/>
  <c r="B568" i="19"/>
  <c r="C568" i="19"/>
  <c r="D568" i="19"/>
  <c r="B569" i="19"/>
  <c r="C569" i="19"/>
  <c r="D569" i="19"/>
  <c r="B570" i="19"/>
  <c r="C570" i="19"/>
  <c r="D570" i="19"/>
  <c r="B571" i="19"/>
  <c r="C571" i="19"/>
  <c r="D571" i="19"/>
  <c r="B572" i="19"/>
  <c r="C572" i="19"/>
  <c r="D572" i="19"/>
  <c r="B573" i="19"/>
  <c r="C573" i="19"/>
  <c r="D573" i="19"/>
  <c r="B574" i="19"/>
  <c r="C574" i="19"/>
  <c r="D574" i="19"/>
  <c r="B575" i="19"/>
  <c r="C575" i="19"/>
  <c r="D575" i="19"/>
  <c r="B576" i="19"/>
  <c r="C576" i="19"/>
  <c r="D576" i="19"/>
  <c r="B577" i="19"/>
  <c r="C577" i="19"/>
  <c r="D577" i="19"/>
  <c r="B578" i="19"/>
  <c r="C578" i="19"/>
  <c r="D578" i="19"/>
  <c r="B579" i="19"/>
  <c r="C579" i="19"/>
  <c r="D579" i="19"/>
  <c r="B580" i="19"/>
  <c r="C580" i="19"/>
  <c r="D580" i="19"/>
  <c r="B581" i="19"/>
  <c r="C581" i="19"/>
  <c r="D581" i="19"/>
  <c r="B582" i="19"/>
  <c r="C582" i="19"/>
  <c r="D582" i="19"/>
  <c r="B583" i="19"/>
  <c r="C583" i="19"/>
  <c r="D583" i="19"/>
  <c r="B584" i="19"/>
  <c r="C584" i="19"/>
  <c r="D584" i="19"/>
  <c r="B585" i="19"/>
  <c r="C585" i="19"/>
  <c r="D585" i="19"/>
  <c r="B586" i="19"/>
  <c r="C586" i="19"/>
  <c r="D586" i="19"/>
  <c r="B587" i="19"/>
  <c r="C587" i="19"/>
  <c r="D587" i="19"/>
  <c r="B588" i="19"/>
  <c r="C588" i="19"/>
  <c r="D588" i="19"/>
  <c r="B589" i="19"/>
  <c r="C589" i="19"/>
  <c r="D589" i="19"/>
  <c r="B590" i="19"/>
  <c r="C590" i="19"/>
  <c r="D590" i="19"/>
  <c r="B591" i="19"/>
  <c r="C591" i="19"/>
  <c r="D591" i="19"/>
  <c r="B592" i="19"/>
  <c r="C592" i="19"/>
  <c r="D592" i="19"/>
  <c r="B593" i="19"/>
  <c r="C593" i="19"/>
  <c r="D593" i="19"/>
  <c r="B594" i="19"/>
  <c r="C594" i="19"/>
  <c r="D594" i="19"/>
  <c r="B595" i="19"/>
  <c r="C595" i="19"/>
  <c r="D595" i="19"/>
  <c r="B596" i="19"/>
  <c r="C596" i="19"/>
  <c r="D596" i="19"/>
  <c r="B597" i="19"/>
  <c r="C597" i="19"/>
  <c r="D597" i="19"/>
  <c r="B598" i="19"/>
  <c r="C598" i="19"/>
  <c r="D598" i="19"/>
  <c r="B599" i="19"/>
  <c r="C599" i="19"/>
  <c r="D599" i="19"/>
  <c r="B600" i="19"/>
  <c r="C600" i="19"/>
  <c r="D600" i="19"/>
  <c r="B601" i="19"/>
  <c r="C601" i="19"/>
  <c r="D601" i="19"/>
  <c r="B602" i="19"/>
  <c r="C602" i="19"/>
  <c r="D602" i="19"/>
  <c r="B603" i="19"/>
  <c r="C603" i="19"/>
  <c r="D603" i="19"/>
  <c r="B604" i="19"/>
  <c r="C604" i="19"/>
  <c r="D604" i="19"/>
  <c r="B605" i="19"/>
  <c r="C605" i="19"/>
  <c r="D605" i="19"/>
  <c r="B606" i="19"/>
  <c r="C606" i="19"/>
  <c r="D606" i="19"/>
  <c r="B607" i="19"/>
  <c r="C607" i="19"/>
  <c r="D607" i="19"/>
  <c r="B608" i="19"/>
  <c r="C608" i="19"/>
  <c r="D608" i="19"/>
  <c r="B609" i="19"/>
  <c r="C609" i="19"/>
  <c r="D609" i="19"/>
  <c r="B610" i="19"/>
  <c r="C610" i="19"/>
  <c r="D610" i="19"/>
  <c r="B611" i="19"/>
  <c r="C611" i="19"/>
  <c r="D611" i="19"/>
  <c r="B612" i="19"/>
  <c r="C612" i="19"/>
  <c r="D612" i="19"/>
  <c r="B613" i="19"/>
  <c r="C613" i="19"/>
  <c r="D613" i="19"/>
  <c r="B614" i="19"/>
  <c r="C614" i="19"/>
  <c r="D614" i="19"/>
  <c r="B615" i="19"/>
  <c r="C615" i="19"/>
  <c r="D615" i="19"/>
  <c r="B616" i="19"/>
  <c r="C616" i="19"/>
  <c r="D616" i="19"/>
  <c r="B617" i="19"/>
  <c r="C617" i="19"/>
  <c r="D617" i="19"/>
  <c r="B618" i="19"/>
  <c r="C618" i="19"/>
  <c r="D618" i="19"/>
  <c r="B619" i="19"/>
  <c r="C619" i="19"/>
  <c r="D619" i="19"/>
  <c r="B620" i="19"/>
  <c r="C620" i="19"/>
  <c r="D620" i="19"/>
  <c r="B621" i="19"/>
  <c r="C621" i="19"/>
  <c r="D621" i="19"/>
  <c r="B622" i="19"/>
  <c r="C622" i="19"/>
  <c r="D622" i="19"/>
  <c r="B623" i="19"/>
  <c r="C623" i="19"/>
  <c r="D623" i="19"/>
  <c r="B624" i="19"/>
  <c r="C624" i="19"/>
  <c r="D624" i="19"/>
  <c r="B625" i="19"/>
  <c r="C625" i="19"/>
  <c r="D625" i="19"/>
  <c r="B626" i="19"/>
  <c r="C626" i="19"/>
  <c r="D626" i="19"/>
  <c r="B627" i="19"/>
  <c r="C627" i="19"/>
  <c r="D627" i="19"/>
  <c r="B628" i="19"/>
  <c r="C628" i="19"/>
  <c r="D628" i="19"/>
  <c r="B629" i="19"/>
  <c r="C629" i="19"/>
  <c r="D629" i="19"/>
  <c r="B630" i="19"/>
  <c r="C630" i="19"/>
  <c r="D630" i="19"/>
  <c r="B631" i="19"/>
  <c r="C631" i="19"/>
  <c r="D631" i="19"/>
  <c r="B632" i="19"/>
  <c r="C632" i="19"/>
  <c r="D632" i="19"/>
  <c r="B633" i="19"/>
  <c r="C633" i="19"/>
  <c r="D633" i="19"/>
  <c r="B634" i="19"/>
  <c r="C634" i="19"/>
  <c r="D634" i="19"/>
  <c r="B635" i="19"/>
  <c r="C635" i="19"/>
  <c r="D635" i="19"/>
  <c r="B636" i="19"/>
  <c r="C636" i="19"/>
  <c r="D636" i="19"/>
  <c r="B637" i="19"/>
  <c r="C637" i="19"/>
  <c r="D637" i="19"/>
  <c r="B638" i="19"/>
  <c r="C638" i="19"/>
  <c r="D638" i="19"/>
  <c r="B639" i="19"/>
  <c r="C639" i="19"/>
  <c r="D639" i="19"/>
  <c r="B640" i="19"/>
  <c r="C640" i="19"/>
  <c r="D640" i="19"/>
  <c r="B641" i="19"/>
  <c r="C641" i="19"/>
  <c r="D641" i="19"/>
  <c r="B642" i="19"/>
  <c r="C642" i="19"/>
  <c r="D642" i="19"/>
  <c r="B643" i="19"/>
  <c r="C643" i="19"/>
  <c r="D643" i="19"/>
  <c r="B644" i="19"/>
  <c r="C644" i="19"/>
  <c r="D644" i="19"/>
  <c r="B645" i="19"/>
  <c r="C645" i="19"/>
  <c r="D645" i="19"/>
  <c r="B646" i="19"/>
  <c r="C646" i="19"/>
  <c r="D646" i="19"/>
  <c r="B647" i="19"/>
  <c r="C647" i="19"/>
  <c r="D647" i="19"/>
  <c r="B648" i="19"/>
  <c r="C648" i="19"/>
  <c r="D648" i="19"/>
  <c r="B649" i="19"/>
  <c r="C649" i="19"/>
  <c r="D649" i="19"/>
  <c r="B650" i="19"/>
  <c r="C650" i="19"/>
  <c r="D650" i="19"/>
  <c r="B651" i="19"/>
  <c r="C651" i="19"/>
  <c r="D651" i="19"/>
  <c r="B652" i="19"/>
  <c r="C652" i="19"/>
  <c r="D652" i="19"/>
  <c r="B653" i="19"/>
  <c r="C653" i="19"/>
  <c r="D653" i="19"/>
  <c r="B654" i="19"/>
  <c r="C654" i="19"/>
  <c r="D654" i="19"/>
  <c r="B655" i="19"/>
  <c r="C655" i="19"/>
  <c r="D655" i="19"/>
  <c r="B656" i="19"/>
  <c r="C656" i="19"/>
  <c r="D656" i="19"/>
  <c r="B657" i="19"/>
  <c r="C657" i="19"/>
  <c r="D657" i="19"/>
  <c r="B658" i="19"/>
  <c r="C658" i="19"/>
  <c r="D658" i="19"/>
  <c r="B659" i="19"/>
  <c r="C659" i="19"/>
  <c r="D659" i="19"/>
  <c r="B660" i="19"/>
  <c r="C660" i="19"/>
  <c r="D660" i="19"/>
  <c r="B661" i="19"/>
  <c r="C661" i="19"/>
  <c r="D661" i="19"/>
  <c r="B662" i="19"/>
  <c r="C662" i="19"/>
  <c r="D662" i="19"/>
  <c r="B663" i="19"/>
  <c r="C663" i="19"/>
  <c r="D663" i="19"/>
  <c r="B664" i="19"/>
  <c r="C664" i="19"/>
  <c r="D664" i="19"/>
  <c r="B665" i="19"/>
  <c r="C665" i="19"/>
  <c r="D665" i="19"/>
  <c r="B666" i="19"/>
  <c r="C666" i="19"/>
  <c r="D666" i="19"/>
  <c r="B667" i="19"/>
  <c r="C667" i="19"/>
  <c r="D667" i="19"/>
  <c r="B668" i="19"/>
  <c r="C668" i="19"/>
  <c r="D668" i="19"/>
  <c r="B669" i="19"/>
  <c r="C669" i="19"/>
  <c r="D669" i="19"/>
  <c r="B670" i="19"/>
  <c r="C670" i="19"/>
  <c r="D670" i="19"/>
  <c r="B671" i="19"/>
  <c r="C671" i="19"/>
  <c r="D671" i="19"/>
  <c r="B672" i="19"/>
  <c r="C672" i="19"/>
  <c r="D672" i="19"/>
  <c r="B673" i="19"/>
  <c r="C673" i="19"/>
  <c r="D673" i="19"/>
  <c r="B674" i="19"/>
  <c r="C674" i="19"/>
  <c r="D674" i="19"/>
  <c r="B675" i="19"/>
  <c r="C675" i="19"/>
  <c r="D675" i="19"/>
  <c r="B676" i="19"/>
  <c r="C676" i="19"/>
  <c r="D676" i="19"/>
  <c r="B677" i="19"/>
  <c r="C677" i="19"/>
  <c r="D677" i="19"/>
  <c r="B678" i="19"/>
  <c r="C678" i="19"/>
  <c r="D678" i="19"/>
  <c r="B679" i="19"/>
  <c r="C679" i="19"/>
  <c r="D679" i="19"/>
  <c r="B680" i="19"/>
  <c r="C680" i="19"/>
  <c r="D680" i="19"/>
  <c r="B681" i="19"/>
  <c r="C681" i="19"/>
  <c r="D681" i="19"/>
  <c r="B682" i="19"/>
  <c r="C682" i="19"/>
  <c r="D682" i="19"/>
  <c r="B683" i="19"/>
  <c r="C683" i="19"/>
  <c r="D683" i="19"/>
  <c r="B684" i="19"/>
  <c r="C684" i="19"/>
  <c r="D684" i="19"/>
  <c r="B685" i="19"/>
  <c r="C685" i="19"/>
  <c r="D685" i="19"/>
  <c r="B686" i="19"/>
  <c r="C686" i="19"/>
  <c r="D686" i="19"/>
  <c r="B687" i="19"/>
  <c r="C687" i="19"/>
  <c r="D687" i="19"/>
  <c r="B688" i="19"/>
  <c r="C688" i="19"/>
  <c r="D688" i="19"/>
  <c r="B689" i="19"/>
  <c r="C689" i="19"/>
  <c r="D689" i="19"/>
  <c r="B690" i="19"/>
  <c r="C690" i="19"/>
  <c r="D690" i="19"/>
  <c r="B691" i="19"/>
  <c r="C691" i="19"/>
  <c r="D691" i="19"/>
  <c r="B692" i="19"/>
  <c r="C692" i="19"/>
  <c r="D692" i="19"/>
  <c r="B693" i="19"/>
  <c r="C693" i="19"/>
  <c r="D693" i="19"/>
  <c r="B694" i="19"/>
  <c r="C694" i="19"/>
  <c r="D694" i="19"/>
  <c r="B695" i="19"/>
  <c r="C695" i="19"/>
  <c r="D695" i="19"/>
  <c r="B696" i="19"/>
  <c r="C696" i="19"/>
  <c r="D696" i="19"/>
  <c r="B697" i="19"/>
  <c r="C697" i="19"/>
  <c r="D697" i="19"/>
  <c r="B698" i="19"/>
  <c r="C698" i="19"/>
  <c r="D698" i="19"/>
  <c r="B699" i="19"/>
  <c r="C699" i="19"/>
  <c r="D699" i="19"/>
  <c r="B700" i="19"/>
  <c r="C700" i="19"/>
  <c r="D700" i="19"/>
  <c r="B701" i="19"/>
  <c r="C701" i="19"/>
  <c r="D701" i="19"/>
  <c r="B702" i="19"/>
  <c r="C702" i="19"/>
  <c r="D702" i="19"/>
  <c r="B703" i="19"/>
  <c r="C703" i="19"/>
  <c r="D703" i="19"/>
  <c r="B704" i="19"/>
  <c r="C704" i="19"/>
  <c r="D704" i="19"/>
  <c r="B705" i="19"/>
  <c r="C705" i="19"/>
  <c r="D705" i="19"/>
  <c r="B706" i="19"/>
  <c r="C706" i="19"/>
  <c r="D706" i="19"/>
  <c r="B707" i="19"/>
  <c r="C707" i="19"/>
  <c r="D707" i="19"/>
  <c r="B708" i="19"/>
  <c r="C708" i="19"/>
  <c r="D708" i="19"/>
  <c r="B709" i="19"/>
  <c r="C709" i="19"/>
  <c r="D709" i="19"/>
  <c r="B710" i="19"/>
  <c r="C710" i="19"/>
  <c r="D710" i="19"/>
  <c r="B711" i="19"/>
  <c r="C711" i="19"/>
  <c r="D711" i="19"/>
  <c r="B712" i="19"/>
  <c r="C712" i="19"/>
  <c r="D712" i="19"/>
  <c r="B713" i="19"/>
  <c r="C713" i="19"/>
  <c r="D713" i="19"/>
  <c r="B714" i="19"/>
  <c r="C714" i="19"/>
  <c r="D714" i="19"/>
  <c r="B715" i="19"/>
  <c r="C715" i="19"/>
  <c r="D715" i="19"/>
  <c r="B716" i="19"/>
  <c r="C716" i="19"/>
  <c r="D716" i="19"/>
  <c r="B717" i="19"/>
  <c r="C717" i="19"/>
  <c r="D717" i="19"/>
  <c r="B718" i="19"/>
  <c r="C718" i="19"/>
  <c r="D718" i="19"/>
  <c r="B719" i="19"/>
  <c r="C719" i="19"/>
  <c r="D719" i="19"/>
  <c r="B720" i="19"/>
  <c r="C720" i="19"/>
  <c r="D720" i="19"/>
  <c r="B721" i="19"/>
  <c r="C721" i="19"/>
  <c r="D721" i="19"/>
  <c r="B722" i="19"/>
  <c r="C722" i="19"/>
  <c r="D722" i="19"/>
  <c r="B723" i="19"/>
  <c r="C723" i="19"/>
  <c r="D723" i="19"/>
  <c r="B724" i="19"/>
  <c r="C724" i="19"/>
  <c r="D724" i="19"/>
  <c r="B725" i="19"/>
  <c r="C725" i="19"/>
  <c r="D725" i="19"/>
  <c r="B726" i="19"/>
  <c r="C726" i="19"/>
  <c r="D726" i="19"/>
  <c r="B727" i="19"/>
  <c r="C727" i="19"/>
  <c r="D727" i="19"/>
  <c r="B728" i="19"/>
  <c r="C728" i="19"/>
  <c r="D728" i="19"/>
  <c r="B729" i="19"/>
  <c r="C729" i="19"/>
  <c r="D729" i="19"/>
  <c r="B730" i="19"/>
  <c r="C730" i="19"/>
  <c r="D730" i="19"/>
  <c r="B731" i="19"/>
  <c r="C731" i="19"/>
  <c r="D731" i="19"/>
  <c r="B732" i="19"/>
  <c r="C732" i="19"/>
  <c r="D732" i="19"/>
  <c r="B733" i="19"/>
  <c r="C733" i="19"/>
  <c r="D733" i="19"/>
  <c r="B734" i="19"/>
  <c r="C734" i="19"/>
  <c r="D734" i="19"/>
  <c r="B735" i="19"/>
  <c r="C735" i="19"/>
  <c r="D735" i="19"/>
  <c r="B736" i="19"/>
  <c r="C736" i="19"/>
  <c r="D736" i="19"/>
  <c r="B737" i="19"/>
  <c r="C737" i="19"/>
  <c r="D737" i="19"/>
  <c r="B738" i="19"/>
  <c r="C738" i="19"/>
  <c r="D738" i="19"/>
  <c r="B739" i="19"/>
  <c r="C739" i="19"/>
  <c r="D739" i="19"/>
  <c r="B740" i="19"/>
  <c r="C740" i="19"/>
  <c r="D740" i="19"/>
  <c r="B741" i="19"/>
  <c r="C741" i="19"/>
  <c r="D741" i="19"/>
  <c r="B742" i="19"/>
  <c r="C742" i="19"/>
  <c r="D742" i="19"/>
  <c r="B743" i="19"/>
  <c r="C743" i="19"/>
  <c r="D743" i="19"/>
  <c r="B744" i="19"/>
  <c r="C744" i="19"/>
  <c r="D744" i="19"/>
  <c r="B745" i="19"/>
  <c r="C745" i="19"/>
  <c r="D745" i="19"/>
  <c r="B746" i="19"/>
  <c r="C746" i="19"/>
  <c r="D746" i="19"/>
  <c r="B747" i="19"/>
  <c r="C747" i="19"/>
  <c r="D747" i="19"/>
  <c r="B748" i="19"/>
  <c r="C748" i="19"/>
  <c r="D748" i="19"/>
  <c r="B749" i="19"/>
  <c r="C749" i="19"/>
  <c r="D749" i="19"/>
  <c r="B750" i="19"/>
  <c r="C750" i="19"/>
  <c r="D750" i="19"/>
  <c r="B751" i="19"/>
  <c r="C751" i="19"/>
  <c r="D751" i="19"/>
  <c r="B752" i="19"/>
  <c r="C752" i="19"/>
  <c r="D752" i="19"/>
  <c r="B753" i="19"/>
  <c r="C753" i="19"/>
  <c r="D753" i="19"/>
  <c r="B754" i="19"/>
  <c r="C754" i="19"/>
  <c r="D754" i="19"/>
  <c r="B755" i="19"/>
  <c r="C755" i="19"/>
  <c r="D755" i="19"/>
  <c r="B756" i="19"/>
  <c r="C756" i="19"/>
  <c r="D756" i="19"/>
  <c r="B757" i="19"/>
  <c r="C757" i="19"/>
  <c r="D757" i="19"/>
  <c r="B758" i="19"/>
  <c r="C758" i="19"/>
  <c r="D758" i="19"/>
  <c r="B759" i="19"/>
  <c r="C759" i="19"/>
  <c r="D759" i="19"/>
  <c r="B760" i="19"/>
  <c r="C760" i="19"/>
  <c r="D760" i="19"/>
  <c r="B761" i="19"/>
  <c r="C761" i="19"/>
  <c r="D761" i="19"/>
  <c r="B762" i="19"/>
  <c r="C762" i="19"/>
  <c r="D762" i="19"/>
  <c r="B763" i="19"/>
  <c r="C763" i="19"/>
  <c r="D763" i="19"/>
  <c r="B764" i="19"/>
  <c r="C764" i="19"/>
  <c r="D764" i="19"/>
  <c r="B765" i="19"/>
  <c r="C765" i="19"/>
  <c r="D765" i="19"/>
  <c r="B766" i="19"/>
  <c r="C766" i="19"/>
  <c r="D766" i="19"/>
  <c r="B767" i="19"/>
  <c r="C767" i="19"/>
  <c r="D767" i="19"/>
  <c r="B768" i="19"/>
  <c r="C768" i="19"/>
  <c r="D768" i="19"/>
  <c r="B769" i="19"/>
  <c r="C769" i="19"/>
  <c r="D769" i="19"/>
  <c r="B770" i="19"/>
  <c r="C770" i="19"/>
  <c r="D770" i="19"/>
  <c r="B771" i="19"/>
  <c r="C771" i="19"/>
  <c r="D771" i="19"/>
  <c r="B772" i="19"/>
  <c r="C772" i="19"/>
  <c r="D772" i="19"/>
  <c r="B773" i="19"/>
  <c r="C773" i="19"/>
  <c r="D773" i="19"/>
  <c r="B774" i="19"/>
  <c r="C774" i="19"/>
  <c r="D774" i="19"/>
  <c r="B775" i="19"/>
  <c r="C775" i="19"/>
  <c r="D775" i="19"/>
  <c r="B776" i="19"/>
  <c r="C776" i="19"/>
  <c r="D776" i="19"/>
  <c r="B777" i="19"/>
  <c r="C777" i="19"/>
  <c r="D777" i="19"/>
  <c r="B778" i="19"/>
  <c r="C778" i="19"/>
  <c r="D778" i="19"/>
  <c r="B779" i="19"/>
  <c r="C779" i="19"/>
  <c r="D779" i="19"/>
  <c r="B780" i="19"/>
  <c r="C780" i="19"/>
  <c r="D780" i="19"/>
  <c r="B781" i="19"/>
  <c r="C781" i="19"/>
  <c r="D781" i="19"/>
  <c r="B782" i="19"/>
  <c r="C782" i="19"/>
  <c r="D782" i="19"/>
  <c r="B783" i="19"/>
  <c r="C783" i="19"/>
  <c r="D783" i="19"/>
  <c r="B784" i="19"/>
  <c r="C784" i="19"/>
  <c r="D784" i="19"/>
  <c r="B785" i="19"/>
  <c r="C785" i="19"/>
  <c r="D785" i="19"/>
  <c r="B786" i="19"/>
  <c r="C786" i="19"/>
  <c r="D786" i="19"/>
  <c r="B787" i="19"/>
  <c r="C787" i="19"/>
  <c r="D787" i="19"/>
  <c r="B788" i="19"/>
  <c r="C788" i="19"/>
  <c r="D788" i="19"/>
  <c r="B789" i="19"/>
  <c r="C789" i="19"/>
  <c r="D789" i="19"/>
  <c r="B790" i="19"/>
  <c r="C790" i="19"/>
  <c r="D790" i="19"/>
  <c r="B791" i="19"/>
  <c r="C791" i="19"/>
  <c r="D791" i="19"/>
  <c r="B792" i="19"/>
  <c r="C792" i="19"/>
  <c r="D792" i="19"/>
  <c r="B793" i="19"/>
  <c r="C793" i="19"/>
  <c r="D793" i="19"/>
  <c r="B794" i="19"/>
  <c r="C794" i="19"/>
  <c r="D794" i="19"/>
  <c r="B795" i="19"/>
  <c r="C795" i="19"/>
  <c r="D795" i="19"/>
  <c r="B796" i="19"/>
  <c r="C796" i="19"/>
  <c r="D796" i="19"/>
  <c r="B797" i="19"/>
  <c r="C797" i="19"/>
  <c r="D797" i="19"/>
  <c r="B798" i="19"/>
  <c r="C798" i="19"/>
  <c r="D798" i="19"/>
  <c r="B799" i="19"/>
  <c r="C799" i="19"/>
  <c r="D799" i="19"/>
  <c r="B800" i="19"/>
  <c r="C800" i="19"/>
  <c r="D800" i="19"/>
  <c r="B801" i="19"/>
  <c r="C801" i="19"/>
  <c r="D801" i="19"/>
  <c r="B802" i="19"/>
  <c r="C802" i="19"/>
  <c r="D802" i="19"/>
  <c r="B803" i="19"/>
  <c r="C803" i="19"/>
  <c r="D803" i="19"/>
  <c r="B804" i="19"/>
  <c r="C804" i="19"/>
  <c r="D804" i="19"/>
  <c r="B805" i="19"/>
  <c r="C805" i="19"/>
  <c r="D805" i="19"/>
  <c r="B806" i="19"/>
  <c r="C806" i="19"/>
  <c r="D806" i="19"/>
  <c r="B807" i="19"/>
  <c r="C807" i="19"/>
  <c r="D807" i="19"/>
  <c r="B808" i="19"/>
  <c r="C808" i="19"/>
  <c r="D808" i="19"/>
  <c r="B809" i="19"/>
  <c r="C809" i="19"/>
  <c r="D809" i="19"/>
  <c r="B810" i="19"/>
  <c r="C810" i="19"/>
  <c r="D810" i="19"/>
  <c r="B811" i="19"/>
  <c r="C811" i="19"/>
  <c r="D811" i="19"/>
  <c r="B812" i="19"/>
  <c r="C812" i="19"/>
  <c r="D812" i="19"/>
  <c r="B813" i="19"/>
  <c r="C813" i="19"/>
  <c r="D813" i="19"/>
  <c r="B814" i="19"/>
  <c r="C814" i="19"/>
  <c r="D814" i="19"/>
  <c r="B815" i="19"/>
  <c r="C815" i="19"/>
  <c r="D815" i="19"/>
  <c r="B816" i="19"/>
  <c r="C816" i="19"/>
  <c r="D816" i="19"/>
  <c r="B817" i="19"/>
  <c r="C817" i="19"/>
  <c r="D817" i="19"/>
  <c r="B818" i="19"/>
  <c r="C818" i="19"/>
  <c r="D818" i="19"/>
  <c r="B819" i="19"/>
  <c r="C819" i="19"/>
  <c r="D819" i="19"/>
  <c r="B820" i="19"/>
  <c r="C820" i="19"/>
  <c r="D820" i="19"/>
  <c r="B821" i="19"/>
  <c r="C821" i="19"/>
  <c r="D821" i="19"/>
  <c r="B822" i="19"/>
  <c r="C822" i="19"/>
  <c r="D822" i="19"/>
  <c r="B823" i="19"/>
  <c r="C823" i="19"/>
  <c r="D823" i="19"/>
  <c r="B824" i="19"/>
  <c r="C824" i="19"/>
  <c r="D824" i="19"/>
  <c r="B825" i="19"/>
  <c r="C825" i="19"/>
  <c r="D825" i="19"/>
  <c r="B826" i="19"/>
  <c r="C826" i="19"/>
  <c r="D826" i="19"/>
  <c r="B827" i="19"/>
  <c r="C827" i="19"/>
  <c r="D827" i="19"/>
  <c r="B828" i="19"/>
  <c r="C828" i="19"/>
  <c r="D828" i="19"/>
  <c r="B829" i="19"/>
  <c r="C829" i="19"/>
  <c r="D829" i="19"/>
  <c r="B830" i="19"/>
  <c r="C830" i="19"/>
  <c r="D830" i="19"/>
  <c r="B831" i="19"/>
  <c r="C831" i="19"/>
  <c r="D831" i="19"/>
  <c r="B832" i="19"/>
  <c r="C832" i="19"/>
  <c r="D832" i="19"/>
  <c r="B833" i="19"/>
  <c r="C833" i="19"/>
  <c r="D833" i="19"/>
  <c r="B834" i="19"/>
  <c r="C834" i="19"/>
  <c r="D834" i="19"/>
  <c r="B835" i="19"/>
  <c r="C835" i="19"/>
  <c r="D835" i="19"/>
  <c r="B836" i="19"/>
  <c r="C836" i="19"/>
  <c r="D836" i="19"/>
  <c r="B837" i="19"/>
  <c r="C837" i="19"/>
  <c r="D837" i="19"/>
  <c r="B838" i="19"/>
  <c r="C838" i="19"/>
  <c r="D838" i="19"/>
  <c r="B839" i="19"/>
  <c r="C839" i="19"/>
  <c r="D839" i="19"/>
  <c r="B840" i="19"/>
  <c r="C840" i="19"/>
  <c r="D840" i="19"/>
  <c r="B841" i="19"/>
  <c r="C841" i="19"/>
  <c r="D841" i="19"/>
  <c r="B842" i="19"/>
  <c r="C842" i="19"/>
  <c r="D842" i="19"/>
  <c r="B843" i="19"/>
  <c r="C843" i="19"/>
  <c r="D843" i="19"/>
  <c r="B844" i="19"/>
  <c r="C844" i="19"/>
  <c r="D844" i="19"/>
  <c r="B845" i="19"/>
  <c r="C845" i="19"/>
  <c r="D845" i="19"/>
  <c r="B846" i="19"/>
  <c r="C846" i="19"/>
  <c r="D846" i="19"/>
  <c r="B847" i="19"/>
  <c r="C847" i="19"/>
  <c r="D847" i="19"/>
  <c r="B848" i="19"/>
  <c r="C848" i="19"/>
  <c r="D848" i="19"/>
  <c r="B849" i="19"/>
  <c r="C849" i="19"/>
  <c r="D849" i="19"/>
  <c r="B850" i="19"/>
  <c r="C850" i="19"/>
  <c r="D850" i="19"/>
  <c r="B851" i="19"/>
  <c r="C851" i="19"/>
  <c r="D851" i="19"/>
  <c r="B852" i="19"/>
  <c r="C852" i="19"/>
  <c r="D852" i="19"/>
  <c r="B853" i="19"/>
  <c r="C853" i="19"/>
  <c r="D853" i="19"/>
  <c r="B854" i="19"/>
  <c r="C854" i="19"/>
  <c r="D854" i="19"/>
  <c r="B855" i="19"/>
  <c r="C855" i="19"/>
  <c r="D855" i="19"/>
  <c r="B856" i="19"/>
  <c r="C856" i="19"/>
  <c r="D856" i="19"/>
  <c r="B857" i="19"/>
  <c r="C857" i="19"/>
  <c r="D857" i="19"/>
  <c r="B858" i="19"/>
  <c r="C858" i="19"/>
  <c r="D858" i="19"/>
  <c r="B859" i="19"/>
  <c r="C859" i="19"/>
  <c r="D859" i="19"/>
  <c r="B860" i="19"/>
  <c r="C860" i="19"/>
  <c r="D860" i="19"/>
  <c r="B861" i="19"/>
  <c r="C861" i="19"/>
  <c r="D861" i="19"/>
  <c r="B862" i="19"/>
  <c r="C862" i="19"/>
  <c r="D862" i="19"/>
  <c r="B863" i="19"/>
  <c r="C863" i="19"/>
  <c r="D863" i="19"/>
  <c r="B864" i="19"/>
  <c r="C864" i="19"/>
  <c r="D864" i="19"/>
  <c r="B865" i="19"/>
  <c r="C865" i="19"/>
  <c r="D865" i="19"/>
  <c r="B866" i="19"/>
  <c r="C866" i="19"/>
  <c r="D866" i="19"/>
  <c r="B867" i="19"/>
  <c r="C867" i="19"/>
  <c r="D867" i="19"/>
  <c r="B868" i="19"/>
  <c r="C868" i="19"/>
  <c r="D868" i="19"/>
  <c r="B869" i="19"/>
  <c r="C869" i="19"/>
  <c r="D869" i="19"/>
  <c r="B870" i="19"/>
  <c r="C870" i="19"/>
  <c r="D870" i="19"/>
  <c r="B871" i="19"/>
  <c r="C871" i="19"/>
  <c r="D871" i="19"/>
  <c r="B872" i="19"/>
  <c r="C872" i="19"/>
  <c r="D872" i="19"/>
  <c r="B873" i="19"/>
  <c r="C873" i="19"/>
  <c r="D873" i="19"/>
  <c r="B874" i="19"/>
  <c r="C874" i="19"/>
  <c r="D874" i="19"/>
  <c r="B875" i="19"/>
  <c r="C875" i="19"/>
  <c r="D875" i="19"/>
  <c r="B876" i="19"/>
  <c r="C876" i="19"/>
  <c r="D876" i="19"/>
  <c r="B877" i="19"/>
  <c r="C877" i="19"/>
  <c r="D877" i="19"/>
  <c r="B878" i="19"/>
  <c r="C878" i="19"/>
  <c r="D878" i="19"/>
  <c r="B879" i="19"/>
  <c r="C879" i="19"/>
  <c r="D879" i="19"/>
  <c r="B880" i="19"/>
  <c r="C880" i="19"/>
  <c r="D880" i="19"/>
  <c r="B881" i="19"/>
  <c r="C881" i="19"/>
  <c r="D881" i="19"/>
  <c r="B882" i="19"/>
  <c r="C882" i="19"/>
  <c r="D882" i="19"/>
  <c r="B883" i="19"/>
  <c r="C883" i="19"/>
  <c r="D883" i="19"/>
  <c r="B884" i="19"/>
  <c r="C884" i="19"/>
  <c r="D884" i="19"/>
  <c r="B885" i="19"/>
  <c r="C885" i="19"/>
  <c r="D885" i="19"/>
  <c r="B886" i="19"/>
  <c r="C886" i="19"/>
  <c r="D886" i="19"/>
  <c r="B887" i="19"/>
  <c r="C887" i="19"/>
  <c r="D887" i="19"/>
  <c r="B888" i="19"/>
  <c r="C888" i="19"/>
  <c r="D888" i="19"/>
  <c r="B889" i="19"/>
  <c r="C889" i="19"/>
  <c r="D889" i="19"/>
  <c r="B890" i="19"/>
  <c r="C890" i="19"/>
  <c r="D890" i="19"/>
  <c r="B891" i="19"/>
  <c r="C891" i="19"/>
  <c r="D891" i="19"/>
  <c r="B892" i="19"/>
  <c r="C892" i="19"/>
  <c r="D892" i="19"/>
  <c r="B893" i="19"/>
  <c r="C893" i="19"/>
  <c r="D893" i="19"/>
  <c r="B894" i="19"/>
  <c r="C894" i="19"/>
  <c r="D894" i="19"/>
  <c r="B895" i="19"/>
  <c r="C895" i="19"/>
  <c r="D895" i="19"/>
  <c r="B896" i="19"/>
  <c r="C896" i="19"/>
  <c r="D896" i="19"/>
  <c r="B897" i="19"/>
  <c r="C897" i="19"/>
  <c r="D897" i="19"/>
  <c r="B898" i="19"/>
  <c r="C898" i="19"/>
  <c r="D898" i="19"/>
  <c r="B899" i="19"/>
  <c r="C899" i="19"/>
  <c r="D899" i="19"/>
  <c r="B900" i="19"/>
  <c r="C900" i="19"/>
  <c r="D900" i="19"/>
  <c r="B901" i="19"/>
  <c r="C901" i="19"/>
  <c r="D901" i="19"/>
  <c r="B902" i="19"/>
  <c r="C902" i="19"/>
  <c r="D902" i="19"/>
  <c r="B903" i="19"/>
  <c r="C903" i="19"/>
  <c r="D903" i="19"/>
  <c r="B904" i="19"/>
  <c r="C904" i="19"/>
  <c r="D904" i="19"/>
  <c r="B905" i="19"/>
  <c r="C905" i="19"/>
  <c r="D905" i="19"/>
  <c r="B906" i="19"/>
  <c r="C906" i="19"/>
  <c r="D906" i="19"/>
  <c r="B907" i="19"/>
  <c r="C907" i="19"/>
  <c r="D907" i="19"/>
  <c r="B908" i="19"/>
  <c r="C908" i="19"/>
  <c r="D908" i="19"/>
  <c r="B909" i="19"/>
  <c r="C909" i="19"/>
  <c r="D909" i="19"/>
  <c r="B910" i="19"/>
  <c r="C910" i="19"/>
  <c r="D910" i="19"/>
  <c r="B911" i="19"/>
  <c r="C911" i="19"/>
  <c r="D911" i="19"/>
  <c r="B912" i="19"/>
  <c r="C912" i="19"/>
  <c r="D912" i="19"/>
  <c r="B913" i="19"/>
  <c r="C913" i="19"/>
  <c r="D913" i="19"/>
  <c r="B914" i="19"/>
  <c r="C914" i="19"/>
  <c r="D914" i="19"/>
  <c r="B915" i="19"/>
  <c r="C915" i="19"/>
  <c r="D915" i="19"/>
  <c r="B916" i="19"/>
  <c r="C916" i="19"/>
  <c r="D916" i="19"/>
  <c r="B917" i="19"/>
  <c r="C917" i="19"/>
  <c r="D917" i="19"/>
  <c r="B918" i="19"/>
  <c r="C918" i="19"/>
  <c r="D918" i="19"/>
  <c r="B919" i="19"/>
  <c r="C919" i="19"/>
  <c r="D919" i="19"/>
  <c r="B920" i="19"/>
  <c r="C920" i="19"/>
  <c r="D920" i="19"/>
  <c r="B921" i="19"/>
  <c r="C921" i="19"/>
  <c r="D921" i="19"/>
  <c r="B922" i="19"/>
  <c r="C922" i="19"/>
  <c r="D922" i="19"/>
  <c r="B923" i="19"/>
  <c r="C923" i="19"/>
  <c r="D923" i="19"/>
  <c r="B924" i="19"/>
  <c r="C924" i="19"/>
  <c r="D924" i="19"/>
  <c r="B925" i="19"/>
  <c r="C925" i="19"/>
  <c r="D925" i="19"/>
  <c r="B926" i="19"/>
  <c r="C926" i="19"/>
  <c r="D926" i="19"/>
  <c r="B927" i="19"/>
  <c r="C927" i="19"/>
  <c r="D927" i="19"/>
  <c r="B928" i="19"/>
  <c r="C928" i="19"/>
  <c r="D928" i="19"/>
  <c r="B929" i="19"/>
  <c r="C929" i="19"/>
  <c r="D929" i="19"/>
  <c r="B930" i="19"/>
  <c r="C930" i="19"/>
  <c r="D930" i="19"/>
  <c r="B931" i="19"/>
  <c r="C931" i="19"/>
  <c r="D931" i="19"/>
  <c r="B932" i="19"/>
  <c r="C932" i="19"/>
  <c r="D932" i="19"/>
  <c r="B933" i="19"/>
  <c r="C933" i="19"/>
  <c r="D933" i="19"/>
  <c r="B934" i="19"/>
  <c r="C934" i="19"/>
  <c r="D934" i="19"/>
  <c r="B935" i="19"/>
  <c r="C935" i="19"/>
  <c r="D935" i="19"/>
  <c r="B936" i="19"/>
  <c r="C936" i="19"/>
  <c r="D936" i="19"/>
  <c r="B937" i="19"/>
  <c r="C937" i="19"/>
  <c r="D937" i="19"/>
  <c r="B938" i="19"/>
  <c r="C938" i="19"/>
  <c r="D938" i="19"/>
  <c r="B939" i="19"/>
  <c r="C939" i="19"/>
  <c r="D939" i="19"/>
  <c r="B940" i="19"/>
  <c r="C940" i="19"/>
  <c r="D940" i="19"/>
  <c r="B941" i="19"/>
  <c r="C941" i="19"/>
  <c r="D941" i="19"/>
  <c r="B942" i="19"/>
  <c r="C942" i="19"/>
  <c r="D942" i="19"/>
  <c r="B943" i="19"/>
  <c r="C943" i="19"/>
  <c r="D943" i="19"/>
  <c r="B944" i="19"/>
  <c r="C944" i="19"/>
  <c r="D944" i="19"/>
  <c r="B945" i="19"/>
  <c r="C945" i="19"/>
  <c r="D945" i="19"/>
  <c r="B946" i="19"/>
  <c r="C946" i="19"/>
  <c r="D946" i="19"/>
  <c r="B947" i="19"/>
  <c r="C947" i="19"/>
  <c r="D947" i="19"/>
  <c r="B948" i="19"/>
  <c r="C948" i="19"/>
  <c r="D948" i="19"/>
  <c r="B949" i="19"/>
  <c r="C949" i="19"/>
  <c r="D949" i="19"/>
  <c r="B950" i="19"/>
  <c r="C950" i="19"/>
  <c r="D950" i="19"/>
  <c r="B951" i="19"/>
  <c r="C951" i="19"/>
  <c r="D951" i="19"/>
  <c r="B952" i="19"/>
  <c r="C952" i="19"/>
  <c r="D952" i="19"/>
  <c r="B953" i="19"/>
  <c r="C953" i="19"/>
  <c r="D953" i="19"/>
  <c r="B954" i="19"/>
  <c r="C954" i="19"/>
  <c r="D954" i="19"/>
  <c r="B955" i="19"/>
  <c r="C955" i="19"/>
  <c r="D955" i="19"/>
  <c r="B956" i="19"/>
  <c r="C956" i="19"/>
  <c r="D956" i="19"/>
  <c r="B957" i="19"/>
  <c r="C957" i="19"/>
  <c r="D957" i="19"/>
  <c r="B958" i="19"/>
  <c r="C958" i="19"/>
  <c r="D958" i="19"/>
  <c r="B959" i="19"/>
  <c r="C959" i="19"/>
  <c r="D959" i="19"/>
  <c r="B960" i="19"/>
  <c r="C960" i="19"/>
  <c r="D960" i="19"/>
  <c r="B961" i="19"/>
  <c r="C961" i="19"/>
  <c r="D961" i="19"/>
  <c r="B962" i="19"/>
  <c r="C962" i="19"/>
  <c r="D962" i="19"/>
  <c r="B963" i="19"/>
  <c r="C963" i="19"/>
  <c r="D963" i="19"/>
  <c r="B964" i="19"/>
  <c r="C964" i="19"/>
  <c r="D964" i="19"/>
  <c r="B965" i="19"/>
  <c r="C965" i="19"/>
  <c r="D965" i="19"/>
  <c r="B966" i="19"/>
  <c r="C966" i="19"/>
  <c r="D966" i="19"/>
  <c r="B967" i="19"/>
  <c r="C967" i="19"/>
  <c r="D967" i="19"/>
  <c r="B968" i="19"/>
  <c r="C968" i="19"/>
  <c r="D968" i="19"/>
  <c r="B969" i="19"/>
  <c r="C969" i="19"/>
  <c r="D969" i="19"/>
  <c r="B970" i="19"/>
  <c r="C970" i="19"/>
  <c r="D970" i="19"/>
  <c r="B971" i="19"/>
  <c r="C971" i="19"/>
  <c r="D971" i="19"/>
  <c r="B972" i="19"/>
  <c r="C972" i="19"/>
  <c r="D972" i="19"/>
  <c r="B973" i="19"/>
  <c r="C973" i="19"/>
  <c r="D973" i="19"/>
  <c r="B974" i="19"/>
  <c r="C974" i="19"/>
  <c r="D974" i="19"/>
  <c r="B975" i="19"/>
  <c r="C975" i="19"/>
  <c r="D975" i="19"/>
  <c r="B976" i="19"/>
  <c r="C976" i="19"/>
  <c r="D976" i="19"/>
  <c r="B977" i="19"/>
  <c r="C977" i="19"/>
  <c r="D977" i="19"/>
  <c r="B978" i="19"/>
  <c r="C978" i="19"/>
  <c r="D978" i="19"/>
  <c r="B979" i="19"/>
  <c r="C979" i="19"/>
  <c r="D979" i="19"/>
  <c r="B980" i="19"/>
  <c r="C980" i="19"/>
  <c r="D980" i="19"/>
  <c r="B981" i="19"/>
  <c r="C981" i="19"/>
  <c r="D981" i="19"/>
  <c r="B982" i="19"/>
  <c r="C982" i="19"/>
  <c r="D982" i="19"/>
  <c r="B983" i="19"/>
  <c r="C983" i="19"/>
  <c r="D983" i="19"/>
  <c r="B984" i="19"/>
  <c r="C984" i="19"/>
  <c r="D984" i="19"/>
  <c r="B985" i="19"/>
  <c r="C985" i="19"/>
  <c r="D985" i="19"/>
  <c r="B986" i="19"/>
  <c r="C986" i="19"/>
  <c r="D986" i="19"/>
  <c r="B987" i="19"/>
  <c r="C987" i="19"/>
  <c r="D987" i="19"/>
  <c r="B988" i="19"/>
  <c r="C988" i="19"/>
  <c r="D988" i="19"/>
  <c r="B989" i="19"/>
  <c r="C989" i="19"/>
  <c r="D989" i="19"/>
  <c r="B990" i="19"/>
  <c r="C990" i="19"/>
  <c r="D990" i="19"/>
  <c r="B991" i="19"/>
  <c r="C991" i="19"/>
  <c r="D991" i="19"/>
  <c r="B992" i="19"/>
  <c r="C992" i="19"/>
  <c r="D992" i="19"/>
  <c r="B993" i="19"/>
  <c r="C993" i="19"/>
  <c r="D993" i="19"/>
  <c r="B994" i="19"/>
  <c r="C994" i="19"/>
  <c r="D994" i="19"/>
  <c r="B995" i="19"/>
  <c r="C995" i="19"/>
  <c r="D995" i="19"/>
  <c r="B996" i="19"/>
  <c r="C996" i="19"/>
  <c r="D996" i="19"/>
  <c r="B997" i="19"/>
  <c r="C997" i="19"/>
  <c r="D997" i="19"/>
  <c r="B998" i="19"/>
  <c r="C998" i="19"/>
  <c r="D998" i="19"/>
  <c r="B999" i="19"/>
  <c r="C999" i="19"/>
  <c r="D999" i="19"/>
  <c r="B1000" i="19"/>
  <c r="C1000" i="19"/>
  <c r="D1000" i="19"/>
  <c r="B1001" i="19"/>
  <c r="C1001" i="19"/>
  <c r="D1001" i="19"/>
  <c r="B1002" i="19"/>
  <c r="C1002" i="19"/>
  <c r="D1002" i="19"/>
  <c r="B1003" i="19"/>
  <c r="C1003" i="19"/>
  <c r="D1003" i="19"/>
  <c r="B1004" i="19"/>
  <c r="C1004" i="19"/>
  <c r="D1004" i="19"/>
  <c r="B1005" i="19"/>
  <c r="C1005" i="19"/>
  <c r="D1005" i="19"/>
  <c r="B1006" i="19"/>
  <c r="C1006" i="19"/>
  <c r="D1006" i="19"/>
  <c r="B1007" i="19"/>
  <c r="C1007" i="19"/>
  <c r="D1007" i="19"/>
  <c r="B1008" i="19"/>
  <c r="C1008" i="19"/>
  <c r="D1008" i="19"/>
  <c r="B1009" i="19"/>
  <c r="C1009" i="19"/>
  <c r="D1009" i="19"/>
  <c r="B1010" i="19"/>
  <c r="C1010" i="19"/>
  <c r="D1010" i="19"/>
  <c r="B1011" i="19"/>
  <c r="C1011" i="19"/>
  <c r="D1011" i="19"/>
  <c r="B1012" i="19"/>
  <c r="C1012" i="19"/>
  <c r="D1012" i="19"/>
  <c r="B1013" i="19"/>
  <c r="C1013" i="19"/>
  <c r="D1013" i="19"/>
  <c r="B1014" i="19"/>
  <c r="C1014" i="19"/>
  <c r="D1014" i="19"/>
  <c r="B1015" i="19"/>
  <c r="C1015" i="19"/>
  <c r="D1015" i="19"/>
  <c r="B1016" i="19"/>
  <c r="C1016" i="19"/>
  <c r="D1016" i="19"/>
  <c r="B1017" i="19"/>
  <c r="C1017" i="19"/>
  <c r="D1017" i="19"/>
  <c r="B1018" i="19"/>
  <c r="C1018" i="19"/>
  <c r="D1018" i="19"/>
  <c r="B1019" i="19"/>
  <c r="C1019" i="19"/>
  <c r="D1019" i="19"/>
  <c r="B1020" i="19"/>
  <c r="C1020" i="19"/>
  <c r="D1020" i="19"/>
  <c r="B1021" i="19"/>
  <c r="C1021" i="19"/>
  <c r="D1021" i="19"/>
  <c r="B1022" i="19"/>
  <c r="C1022" i="19"/>
  <c r="D1022" i="19"/>
  <c r="B1023" i="19"/>
  <c r="C1023" i="19"/>
  <c r="D1023" i="19"/>
  <c r="B1024" i="19"/>
  <c r="C1024" i="19"/>
  <c r="D1024" i="19"/>
  <c r="B1025" i="19"/>
  <c r="C1025" i="19"/>
  <c r="D1025" i="19"/>
  <c r="B1026" i="19"/>
  <c r="C1026" i="19"/>
  <c r="D1026" i="19"/>
  <c r="B1027" i="19"/>
  <c r="C1027" i="19"/>
  <c r="D1027" i="19"/>
  <c r="B1028" i="19"/>
  <c r="C1028" i="19"/>
  <c r="D1028" i="19"/>
  <c r="B1029" i="19"/>
  <c r="C1029" i="19"/>
  <c r="D1029" i="19"/>
  <c r="B1030" i="19"/>
  <c r="C1030" i="19"/>
  <c r="D1030" i="19"/>
  <c r="B1031" i="19"/>
  <c r="C1031" i="19"/>
  <c r="D1031" i="19"/>
  <c r="B1032" i="19"/>
  <c r="C1032" i="19"/>
  <c r="D1032" i="19"/>
  <c r="B1033" i="19"/>
  <c r="C1033" i="19"/>
  <c r="D1033" i="19"/>
  <c r="B1034" i="19"/>
  <c r="C1034" i="19"/>
  <c r="D1034" i="19"/>
  <c r="B1035" i="19"/>
  <c r="C1035" i="19"/>
  <c r="D1035" i="19"/>
  <c r="B1036" i="19"/>
  <c r="C1036" i="19"/>
  <c r="D1036" i="19"/>
  <c r="B1037" i="19"/>
  <c r="C1037" i="19"/>
  <c r="D1037" i="19"/>
  <c r="B1038" i="19"/>
  <c r="C1038" i="19"/>
  <c r="D1038" i="19"/>
  <c r="B1039" i="19"/>
  <c r="C1039" i="19"/>
  <c r="D1039" i="19"/>
  <c r="B1040" i="19"/>
  <c r="C1040" i="19"/>
  <c r="D1040" i="19"/>
  <c r="B1041" i="19"/>
  <c r="C1041" i="19"/>
  <c r="D1041" i="19"/>
  <c r="B1042" i="19"/>
  <c r="C1042" i="19"/>
  <c r="D1042" i="19"/>
  <c r="B1043" i="19"/>
  <c r="C1043" i="19"/>
  <c r="D1043" i="19"/>
  <c r="B1044" i="19"/>
  <c r="C1044" i="19"/>
  <c r="D1044" i="19"/>
  <c r="B1045" i="19"/>
  <c r="C1045" i="19"/>
  <c r="D1045" i="19"/>
  <c r="B1046" i="19"/>
  <c r="C1046" i="19"/>
  <c r="D1046" i="19"/>
  <c r="B1047" i="19"/>
  <c r="C1047" i="19"/>
  <c r="D1047" i="19"/>
  <c r="B1048" i="19"/>
  <c r="C1048" i="19"/>
  <c r="D1048" i="19"/>
  <c r="B1049" i="19"/>
  <c r="C1049" i="19"/>
  <c r="D1049" i="19"/>
  <c r="B1050" i="19"/>
  <c r="C1050" i="19"/>
  <c r="D1050" i="19"/>
  <c r="B1051" i="19"/>
  <c r="C1051" i="19"/>
  <c r="D1051" i="19"/>
  <c r="B1052" i="19"/>
  <c r="C1052" i="19"/>
  <c r="D1052" i="19"/>
  <c r="B1053" i="19"/>
  <c r="C1053" i="19"/>
  <c r="D1053" i="19"/>
  <c r="B1054" i="19"/>
  <c r="C1054" i="19"/>
  <c r="D1054" i="19"/>
  <c r="B1055" i="19"/>
  <c r="C1055" i="19"/>
  <c r="D1055" i="19"/>
  <c r="B1056" i="19"/>
  <c r="C1056" i="19"/>
  <c r="D1056" i="19"/>
  <c r="B1057" i="19"/>
  <c r="C1057" i="19"/>
  <c r="D1057" i="19"/>
  <c r="B1058" i="19"/>
  <c r="C1058" i="19"/>
  <c r="D1058" i="19"/>
  <c r="B1059" i="19"/>
  <c r="C1059" i="19"/>
  <c r="D1059" i="19"/>
  <c r="B1060" i="19"/>
  <c r="C1060" i="19"/>
  <c r="D1060" i="19"/>
  <c r="B1061" i="19"/>
  <c r="C1061" i="19"/>
  <c r="D1061" i="19"/>
  <c r="B1062" i="19"/>
  <c r="C1062" i="19"/>
  <c r="D1062" i="19"/>
  <c r="B1063" i="19"/>
  <c r="C1063" i="19"/>
  <c r="D1063" i="19"/>
  <c r="B1064" i="19"/>
  <c r="C1064" i="19"/>
  <c r="D1064" i="19"/>
  <c r="B1065" i="19"/>
  <c r="C1065" i="19"/>
  <c r="D1065" i="19"/>
  <c r="B1066" i="19"/>
  <c r="C1066" i="19"/>
  <c r="D1066" i="19"/>
  <c r="B1067" i="19"/>
  <c r="C1067" i="19"/>
  <c r="D1067" i="19"/>
  <c r="B1068" i="19"/>
  <c r="C1068" i="19"/>
  <c r="D1068" i="19"/>
  <c r="B1069" i="19"/>
  <c r="C1069" i="19"/>
  <c r="D1069" i="19"/>
  <c r="B1070" i="19"/>
  <c r="C1070" i="19"/>
  <c r="D1070" i="19"/>
  <c r="B1071" i="19"/>
  <c r="C1071" i="19"/>
  <c r="D1071" i="19"/>
  <c r="B1072" i="19"/>
  <c r="C1072" i="19"/>
  <c r="D1072" i="19"/>
  <c r="B1073" i="19"/>
  <c r="C1073" i="19"/>
  <c r="D1073" i="19"/>
  <c r="B1074" i="19"/>
  <c r="C1074" i="19"/>
  <c r="D1074" i="19"/>
  <c r="B1075" i="19"/>
  <c r="C1075" i="19"/>
  <c r="D1075" i="19"/>
  <c r="B1076" i="19"/>
  <c r="C1076" i="19"/>
  <c r="D1076" i="19"/>
  <c r="B1077" i="19"/>
  <c r="C1077" i="19"/>
  <c r="D1077" i="19"/>
  <c r="B1078" i="19"/>
  <c r="C1078" i="19"/>
  <c r="D1078" i="19"/>
  <c r="B1079" i="19"/>
  <c r="C1079" i="19"/>
  <c r="D1079" i="19"/>
  <c r="B1080" i="19"/>
  <c r="C1080" i="19"/>
  <c r="D1080" i="19"/>
  <c r="B1081" i="19"/>
  <c r="C1081" i="19"/>
  <c r="D1081" i="19"/>
  <c r="B1082" i="19"/>
  <c r="C1082" i="19"/>
  <c r="D1082" i="19"/>
  <c r="B1083" i="19"/>
  <c r="C1083" i="19"/>
  <c r="D1083" i="19"/>
  <c r="B1084" i="19"/>
  <c r="C1084" i="19"/>
  <c r="D1084" i="19"/>
  <c r="B1085" i="19"/>
  <c r="C1085" i="19"/>
  <c r="D1085" i="19"/>
  <c r="B1086" i="19"/>
  <c r="C1086" i="19"/>
  <c r="D1086" i="19"/>
  <c r="B1087" i="19"/>
  <c r="C1087" i="19"/>
  <c r="D1087" i="19"/>
  <c r="B1088" i="19"/>
  <c r="C1088" i="19"/>
  <c r="D1088" i="19"/>
  <c r="B1089" i="19"/>
  <c r="C1089" i="19"/>
  <c r="D1089" i="19"/>
  <c r="B1090" i="19"/>
  <c r="C1090" i="19"/>
  <c r="D1090" i="19"/>
  <c r="B1091" i="19"/>
  <c r="C1091" i="19"/>
  <c r="D1091" i="19"/>
  <c r="B1092" i="19"/>
  <c r="C1092" i="19"/>
  <c r="D1092" i="19"/>
  <c r="B1093" i="19"/>
  <c r="C1093" i="19"/>
  <c r="D1093" i="19"/>
  <c r="B1094" i="19"/>
  <c r="C1094" i="19"/>
  <c r="D1094" i="19"/>
  <c r="B1095" i="19"/>
  <c r="C1095" i="19"/>
  <c r="D1095" i="19"/>
  <c r="B1096" i="19"/>
  <c r="C1096" i="19"/>
  <c r="D1096" i="19"/>
  <c r="B1097" i="19"/>
  <c r="C1097" i="19"/>
  <c r="D1097" i="19"/>
  <c r="B1098" i="19"/>
  <c r="C1098" i="19"/>
  <c r="D1098" i="19"/>
  <c r="B1099" i="19"/>
  <c r="C1099" i="19"/>
  <c r="D1099" i="19"/>
  <c r="B1100" i="19"/>
  <c r="C1100" i="19"/>
  <c r="D1100" i="19"/>
  <c r="B1101" i="19"/>
  <c r="C1101" i="19"/>
  <c r="D1101" i="19"/>
  <c r="B1102" i="19"/>
  <c r="C1102" i="19"/>
  <c r="D1102" i="19"/>
  <c r="B1103" i="19"/>
  <c r="C1103" i="19"/>
  <c r="D1103" i="19"/>
  <c r="B1104" i="19"/>
  <c r="C1104" i="19"/>
  <c r="D1104" i="19"/>
  <c r="B1105" i="19"/>
  <c r="C1105" i="19"/>
  <c r="D1105" i="19"/>
  <c r="B1106" i="19"/>
  <c r="C1106" i="19"/>
  <c r="D1106" i="19"/>
  <c r="B1107" i="19"/>
  <c r="C1107" i="19"/>
  <c r="D1107" i="19"/>
  <c r="B1108" i="19"/>
  <c r="C1108" i="19"/>
  <c r="D1108" i="19"/>
  <c r="B1109" i="19"/>
  <c r="C1109" i="19"/>
  <c r="D1109" i="19"/>
  <c r="B1110" i="19"/>
  <c r="C1110" i="19"/>
  <c r="D1110" i="19"/>
  <c r="B1111" i="19"/>
  <c r="C1111" i="19"/>
  <c r="D1111" i="19"/>
  <c r="B1112" i="19"/>
  <c r="C1112" i="19"/>
  <c r="D1112" i="19"/>
  <c r="B1113" i="19"/>
  <c r="C1113" i="19"/>
  <c r="D1113" i="19"/>
  <c r="B1114" i="19"/>
  <c r="C1114" i="19"/>
  <c r="D1114" i="19"/>
  <c r="B1115" i="19"/>
  <c r="C1115" i="19"/>
  <c r="D1115" i="19"/>
  <c r="B1116" i="19"/>
  <c r="C1116" i="19"/>
  <c r="D1116" i="19"/>
  <c r="B1117" i="19"/>
  <c r="C1117" i="19"/>
  <c r="D1117" i="19"/>
  <c r="B1118" i="19"/>
  <c r="C1118" i="19"/>
  <c r="D1118" i="19"/>
  <c r="B1119" i="19"/>
  <c r="C1119" i="19"/>
  <c r="D1119" i="19"/>
  <c r="B1120" i="19"/>
  <c r="C1120" i="19"/>
  <c r="D1120" i="19"/>
  <c r="B1121" i="19"/>
  <c r="C1121" i="19"/>
  <c r="D1121" i="19"/>
  <c r="B1122" i="19"/>
  <c r="C1122" i="19"/>
  <c r="D1122" i="19"/>
  <c r="B1123" i="19"/>
  <c r="C1123" i="19"/>
  <c r="D1123" i="19"/>
  <c r="B1124" i="19"/>
  <c r="C1124" i="19"/>
  <c r="D1124" i="19"/>
  <c r="B1125" i="19"/>
  <c r="C1125" i="19"/>
  <c r="D1125" i="19"/>
  <c r="B1126" i="19"/>
  <c r="C1126" i="19"/>
  <c r="D1126" i="19"/>
  <c r="B1127" i="19"/>
  <c r="C1127" i="19"/>
  <c r="D1127" i="19"/>
  <c r="B1128" i="19"/>
  <c r="C1128" i="19"/>
  <c r="D1128" i="19"/>
  <c r="B1129" i="19"/>
  <c r="C1129" i="19"/>
  <c r="D1129" i="19"/>
  <c r="B1130" i="19"/>
  <c r="C1130" i="19"/>
  <c r="D1130" i="19"/>
  <c r="B1131" i="19"/>
  <c r="C1131" i="19"/>
  <c r="D1131" i="19"/>
  <c r="B1132" i="19"/>
  <c r="C1132" i="19"/>
  <c r="D1132" i="19"/>
  <c r="B1133" i="19"/>
  <c r="C1133" i="19"/>
  <c r="D1133" i="19"/>
  <c r="B1134" i="19"/>
  <c r="C1134" i="19"/>
  <c r="D1134" i="19"/>
  <c r="B1135" i="19"/>
  <c r="C1135" i="19"/>
  <c r="D1135" i="19"/>
  <c r="B1136" i="19"/>
  <c r="C1136" i="19"/>
  <c r="D1136" i="19"/>
  <c r="B1137" i="19"/>
  <c r="C1137" i="19"/>
  <c r="D1137" i="19"/>
  <c r="B1138" i="19"/>
  <c r="C1138" i="19"/>
  <c r="D1138" i="19"/>
  <c r="B1139" i="19"/>
  <c r="C1139" i="19"/>
  <c r="D1139" i="19"/>
  <c r="B1140" i="19"/>
  <c r="C1140" i="19"/>
  <c r="D1140" i="19"/>
  <c r="B1141" i="19"/>
  <c r="C1141" i="19"/>
  <c r="D1141" i="19"/>
  <c r="B1142" i="19"/>
  <c r="C1142" i="19"/>
  <c r="D1142" i="19"/>
  <c r="B1143" i="19"/>
  <c r="C1143" i="19"/>
  <c r="D1143" i="19"/>
  <c r="B1144" i="19"/>
  <c r="C1144" i="19"/>
  <c r="D1144" i="19"/>
  <c r="B1145" i="19"/>
  <c r="C1145" i="19"/>
  <c r="D1145" i="19"/>
  <c r="B1146" i="19"/>
  <c r="C1146" i="19"/>
  <c r="D1146" i="19"/>
  <c r="B1147" i="19"/>
  <c r="C1147" i="19"/>
  <c r="D1147" i="19"/>
  <c r="B1148" i="19"/>
  <c r="C1148" i="19"/>
  <c r="D1148" i="19"/>
  <c r="B1149" i="19"/>
  <c r="C1149" i="19"/>
  <c r="D1149" i="19"/>
  <c r="B1150" i="19"/>
  <c r="C1150" i="19"/>
  <c r="D1150" i="19"/>
  <c r="B1151" i="19"/>
  <c r="C1151" i="19"/>
  <c r="D1151" i="19"/>
  <c r="B1152" i="19"/>
  <c r="C1152" i="19"/>
  <c r="D1152" i="19"/>
  <c r="B1153" i="19"/>
  <c r="C1153" i="19"/>
  <c r="D1153" i="19"/>
  <c r="B1154" i="19"/>
  <c r="C1154" i="19"/>
  <c r="D1154" i="19"/>
  <c r="B1155" i="19"/>
  <c r="C1155" i="19"/>
  <c r="D1155" i="19"/>
  <c r="B1156" i="19"/>
  <c r="C1156" i="19"/>
  <c r="D1156" i="19"/>
  <c r="B1157" i="19"/>
  <c r="C1157" i="19"/>
  <c r="D1157" i="19"/>
  <c r="B1158" i="19"/>
  <c r="C1158" i="19"/>
  <c r="D1158" i="19"/>
  <c r="B1159" i="19"/>
  <c r="C1159" i="19"/>
  <c r="D1159" i="19"/>
  <c r="B1160" i="19"/>
  <c r="C1160" i="19"/>
  <c r="D1160" i="19"/>
  <c r="B1161" i="19"/>
  <c r="C1161" i="19"/>
  <c r="D1161" i="19"/>
  <c r="B1162" i="19"/>
  <c r="C1162" i="19"/>
  <c r="D1162" i="19"/>
  <c r="B1163" i="19"/>
  <c r="C1163" i="19"/>
  <c r="D1163" i="19"/>
  <c r="B1164" i="19"/>
  <c r="C1164" i="19"/>
  <c r="D1164" i="19"/>
  <c r="B1165" i="19"/>
  <c r="C1165" i="19"/>
  <c r="D1165" i="19"/>
  <c r="B1166" i="19"/>
  <c r="C1166" i="19"/>
  <c r="D1166" i="19"/>
  <c r="B1167" i="19"/>
  <c r="C1167" i="19"/>
  <c r="D1167" i="19"/>
  <c r="B1168" i="19"/>
  <c r="C1168" i="19"/>
  <c r="D1168" i="19"/>
  <c r="B1169" i="19"/>
  <c r="C1169" i="19"/>
  <c r="D1169" i="19"/>
  <c r="B1170" i="19"/>
  <c r="C1170" i="19"/>
  <c r="D1170" i="19"/>
  <c r="B1171" i="19"/>
  <c r="C1171" i="19"/>
  <c r="D1171" i="19"/>
  <c r="B1172" i="19"/>
  <c r="C1172" i="19"/>
  <c r="D1172" i="19"/>
  <c r="B1173" i="19"/>
  <c r="C1173" i="19"/>
  <c r="D1173" i="19"/>
  <c r="B1174" i="19"/>
  <c r="C1174" i="19"/>
  <c r="D1174" i="19"/>
  <c r="B1175" i="19"/>
  <c r="C1175" i="19"/>
  <c r="D1175" i="19"/>
  <c r="B1176" i="19"/>
  <c r="C1176" i="19"/>
  <c r="D1176" i="19"/>
  <c r="B1177" i="19"/>
  <c r="C1177" i="19"/>
  <c r="D1177" i="19"/>
  <c r="B1178" i="19"/>
  <c r="C1178" i="19"/>
  <c r="D1178" i="19"/>
  <c r="B1179" i="19"/>
  <c r="C1179" i="19"/>
  <c r="D1179" i="19"/>
  <c r="B1180" i="19"/>
  <c r="C1180" i="19"/>
  <c r="D1180" i="19"/>
  <c r="B1181" i="19"/>
  <c r="C1181" i="19"/>
  <c r="D1181" i="19"/>
  <c r="B1182" i="19"/>
  <c r="C1182" i="19"/>
  <c r="D1182" i="19"/>
  <c r="B1183" i="19"/>
  <c r="C1183" i="19"/>
  <c r="D1183" i="19"/>
  <c r="B1184" i="19"/>
  <c r="C1184" i="19"/>
  <c r="D1184" i="19"/>
  <c r="B1185" i="19"/>
  <c r="C1185" i="19"/>
  <c r="D1185" i="19"/>
  <c r="B1186" i="19"/>
  <c r="C1186" i="19"/>
  <c r="D1186" i="19"/>
  <c r="B1187" i="19"/>
  <c r="C1187" i="19"/>
  <c r="D1187" i="19"/>
  <c r="B1188" i="19"/>
  <c r="C1188" i="19"/>
  <c r="D1188" i="19"/>
  <c r="B1189" i="19"/>
  <c r="C1189" i="19"/>
  <c r="D1189" i="19"/>
  <c r="B1190" i="19"/>
  <c r="C1190" i="19"/>
  <c r="D1190" i="19"/>
  <c r="B1191" i="19"/>
  <c r="C1191" i="19"/>
  <c r="D1191" i="19"/>
  <c r="B1192" i="19"/>
  <c r="C1192" i="19"/>
  <c r="D1192" i="19"/>
  <c r="B1193" i="19"/>
  <c r="C1193" i="19"/>
  <c r="D1193" i="19"/>
  <c r="B1194" i="19"/>
  <c r="C1194" i="19"/>
  <c r="D1194" i="19"/>
  <c r="B1195" i="19"/>
  <c r="C1195" i="19"/>
  <c r="D1195" i="19"/>
  <c r="B1196" i="19"/>
  <c r="C1196" i="19"/>
  <c r="D1196" i="19"/>
  <c r="B1197" i="19"/>
  <c r="C1197" i="19"/>
  <c r="D1197" i="19"/>
  <c r="B1198" i="19"/>
  <c r="C1198" i="19"/>
  <c r="D1198" i="19"/>
  <c r="B1199" i="19"/>
  <c r="C1199" i="19"/>
  <c r="D1199" i="19"/>
  <c r="B1200" i="19"/>
  <c r="C1200" i="19"/>
  <c r="D1200" i="19"/>
  <c r="B1201" i="19"/>
  <c r="C1201" i="19"/>
  <c r="D1201" i="19"/>
  <c r="B1202" i="19"/>
  <c r="C1202" i="19"/>
  <c r="D1202" i="19"/>
  <c r="B1203" i="19"/>
  <c r="C1203" i="19"/>
  <c r="D1203" i="19"/>
  <c r="B1204" i="19"/>
  <c r="C1204" i="19"/>
  <c r="D1204" i="19"/>
  <c r="B1205" i="19"/>
  <c r="C1205" i="19"/>
  <c r="D1205" i="19"/>
  <c r="B1206" i="19"/>
  <c r="C1206" i="19"/>
  <c r="D1206" i="19"/>
  <c r="B1207" i="19"/>
  <c r="C1207" i="19"/>
  <c r="D1207" i="19"/>
  <c r="B1208" i="19"/>
  <c r="C1208" i="19"/>
  <c r="D1208" i="19"/>
  <c r="B1209" i="19"/>
  <c r="C1209" i="19"/>
  <c r="D1209" i="19"/>
  <c r="B1210" i="19"/>
  <c r="C1210" i="19"/>
  <c r="D1210" i="19"/>
  <c r="B1211" i="19"/>
  <c r="C1211" i="19"/>
  <c r="D1211" i="19"/>
  <c r="B1212" i="19"/>
  <c r="C1212" i="19"/>
  <c r="D1212" i="19"/>
  <c r="B1213" i="19"/>
  <c r="C1213" i="19"/>
  <c r="D1213" i="19"/>
  <c r="B1214" i="19"/>
  <c r="C1214" i="19"/>
  <c r="D1214" i="19"/>
  <c r="B1215" i="19"/>
  <c r="C1215" i="19"/>
  <c r="D1215" i="19"/>
  <c r="B1216" i="19"/>
  <c r="C1216" i="19"/>
  <c r="D1216" i="19"/>
  <c r="B1217" i="19"/>
  <c r="C1217" i="19"/>
  <c r="D1217" i="19"/>
  <c r="B1218" i="19"/>
  <c r="C1218" i="19"/>
  <c r="D1218" i="19"/>
  <c r="B1219" i="19"/>
  <c r="C1219" i="19"/>
  <c r="D1219" i="19"/>
  <c r="B1220" i="19"/>
  <c r="C1220" i="19"/>
  <c r="D1220" i="19"/>
  <c r="B1221" i="19"/>
  <c r="C1221" i="19"/>
  <c r="D1221" i="19"/>
  <c r="B1222" i="19"/>
  <c r="C1222" i="19"/>
  <c r="D1222" i="19"/>
  <c r="B1223" i="19"/>
  <c r="C1223" i="19"/>
  <c r="D1223" i="19"/>
  <c r="B1224" i="19"/>
  <c r="C1224" i="19"/>
  <c r="D1224" i="19"/>
  <c r="B1225" i="19"/>
  <c r="C1225" i="19"/>
  <c r="D1225" i="19"/>
  <c r="B1226" i="19"/>
  <c r="C1226" i="19"/>
  <c r="D1226" i="19"/>
  <c r="B1227" i="19"/>
  <c r="C1227" i="19"/>
  <c r="D1227" i="19"/>
  <c r="B1228" i="19"/>
  <c r="C1228" i="19"/>
  <c r="D1228" i="19"/>
  <c r="B1229" i="19"/>
  <c r="C1229" i="19"/>
  <c r="D1229" i="19"/>
  <c r="B1230" i="19"/>
  <c r="C1230" i="19"/>
  <c r="D1230" i="19"/>
  <c r="B1231" i="19"/>
  <c r="C1231" i="19"/>
  <c r="D1231" i="19"/>
  <c r="B1232" i="19"/>
  <c r="C1232" i="19"/>
  <c r="D1232" i="19"/>
  <c r="B1233" i="19"/>
  <c r="C1233" i="19"/>
  <c r="D1233" i="19"/>
  <c r="B1234" i="19"/>
  <c r="C1234" i="19"/>
  <c r="D1234" i="19"/>
  <c r="B1235" i="19"/>
  <c r="C1235" i="19"/>
  <c r="D1235" i="19"/>
  <c r="B1236" i="19"/>
  <c r="C1236" i="19"/>
  <c r="D1236" i="19"/>
  <c r="B1237" i="19"/>
  <c r="C1237" i="19"/>
  <c r="D1237" i="19"/>
  <c r="B1238" i="19"/>
  <c r="C1238" i="19"/>
  <c r="D1238" i="19"/>
  <c r="B1239" i="19"/>
  <c r="C1239" i="19"/>
  <c r="D1239" i="19"/>
  <c r="B1240" i="19"/>
  <c r="C1240" i="19"/>
  <c r="D1240" i="19"/>
  <c r="B1241" i="19"/>
  <c r="C1241" i="19"/>
  <c r="D1241" i="19"/>
  <c r="B1242" i="19"/>
  <c r="C1242" i="19"/>
  <c r="D1242" i="19"/>
  <c r="B1243" i="19"/>
  <c r="C1243" i="19"/>
  <c r="D1243" i="19"/>
  <c r="B1244" i="19"/>
  <c r="C1244" i="19"/>
  <c r="D1244" i="19"/>
  <c r="B1245" i="19"/>
  <c r="C1245" i="19"/>
  <c r="D1245" i="19"/>
  <c r="B1246" i="19"/>
  <c r="C1246" i="19"/>
  <c r="D1246" i="19"/>
  <c r="B1247" i="19"/>
  <c r="C1247" i="19"/>
  <c r="D1247" i="19"/>
  <c r="B1248" i="19"/>
  <c r="C1248" i="19"/>
  <c r="D1248" i="19"/>
  <c r="B1249" i="19"/>
  <c r="C1249" i="19"/>
  <c r="D1249" i="19"/>
  <c r="B1250" i="19"/>
  <c r="C1250" i="19"/>
  <c r="D1250" i="19"/>
  <c r="B1251" i="19"/>
  <c r="C1251" i="19"/>
  <c r="D1251" i="19"/>
  <c r="B1252" i="19"/>
  <c r="C1252" i="19"/>
  <c r="D1252" i="19"/>
  <c r="B1253" i="19"/>
  <c r="C1253" i="19"/>
  <c r="D1253" i="19"/>
  <c r="B1254" i="19"/>
  <c r="C1254" i="19"/>
  <c r="D1254" i="19"/>
  <c r="B1255" i="19"/>
  <c r="C1255" i="19"/>
  <c r="D1255" i="19"/>
  <c r="B1256" i="19"/>
  <c r="C1256" i="19"/>
  <c r="D1256" i="19"/>
  <c r="B1257" i="19"/>
  <c r="C1257" i="19"/>
  <c r="D1257" i="19"/>
  <c r="B1258" i="19"/>
  <c r="C1258" i="19"/>
  <c r="D1258" i="19"/>
  <c r="B1259" i="19"/>
  <c r="C1259" i="19"/>
  <c r="D1259" i="19"/>
  <c r="B1260" i="19"/>
  <c r="C1260" i="19"/>
  <c r="D1260" i="19"/>
  <c r="B1261" i="19"/>
  <c r="C1261" i="19"/>
  <c r="D1261" i="19"/>
  <c r="B1262" i="19"/>
  <c r="C1262" i="19"/>
  <c r="D1262" i="19"/>
  <c r="B1263" i="19"/>
  <c r="C1263" i="19"/>
  <c r="D1263" i="19"/>
  <c r="B1264" i="19"/>
  <c r="C1264" i="19"/>
  <c r="D1264" i="19"/>
  <c r="B1265" i="19"/>
  <c r="C1265" i="19"/>
  <c r="D1265" i="19"/>
  <c r="B1266" i="19"/>
  <c r="C1266" i="19"/>
  <c r="D1266" i="19"/>
  <c r="B1267" i="19"/>
  <c r="C1267" i="19"/>
  <c r="D1267" i="19"/>
  <c r="B1268" i="19"/>
  <c r="C1268" i="19"/>
  <c r="D1268" i="19"/>
  <c r="B1269" i="19"/>
  <c r="C1269" i="19"/>
  <c r="D1269" i="19"/>
  <c r="B1270" i="19"/>
  <c r="C1270" i="19"/>
  <c r="D1270" i="19"/>
  <c r="B1271" i="19"/>
  <c r="C1271" i="19"/>
  <c r="D1271" i="19"/>
  <c r="B1272" i="19"/>
  <c r="C1272" i="19"/>
  <c r="D1272" i="19"/>
  <c r="B1273" i="19"/>
  <c r="C1273" i="19"/>
  <c r="D1273" i="19"/>
  <c r="B1274" i="19"/>
  <c r="C1274" i="19"/>
  <c r="D1274" i="19"/>
  <c r="B1275" i="19"/>
  <c r="C1275" i="19"/>
  <c r="D1275" i="19"/>
  <c r="B1276" i="19"/>
  <c r="C1276" i="19"/>
  <c r="D1276" i="19"/>
  <c r="B1277" i="19"/>
  <c r="C1277" i="19"/>
  <c r="D1277" i="19"/>
  <c r="B1278" i="19"/>
  <c r="C1278" i="19"/>
  <c r="D1278" i="19"/>
  <c r="B1279" i="19"/>
  <c r="C1279" i="19"/>
  <c r="D1279" i="19"/>
  <c r="B1280" i="19"/>
  <c r="C1280" i="19"/>
  <c r="D1280" i="19"/>
  <c r="B1281" i="19"/>
  <c r="C1281" i="19"/>
  <c r="D1281" i="19"/>
  <c r="B1282" i="19"/>
  <c r="C1282" i="19"/>
  <c r="D1282" i="19"/>
  <c r="B1283" i="19"/>
  <c r="C1283" i="19"/>
  <c r="D1283" i="19"/>
  <c r="B1284" i="19"/>
  <c r="C1284" i="19"/>
  <c r="D1284" i="19"/>
  <c r="B1285" i="19"/>
  <c r="C1285" i="19"/>
  <c r="D1285" i="19"/>
  <c r="B1286" i="19"/>
  <c r="C1286" i="19"/>
  <c r="D1286" i="19"/>
  <c r="B1287" i="19"/>
  <c r="C1287" i="19"/>
  <c r="D1287" i="19"/>
  <c r="B1288" i="19"/>
  <c r="C1288" i="19"/>
  <c r="D1288" i="19"/>
  <c r="B1289" i="19"/>
  <c r="C1289" i="19"/>
  <c r="D1289" i="19"/>
  <c r="B1290" i="19"/>
  <c r="C1290" i="19"/>
  <c r="D1290" i="19"/>
  <c r="B1291" i="19"/>
  <c r="C1291" i="19"/>
  <c r="D1291" i="19"/>
  <c r="B1292" i="19"/>
  <c r="C1292" i="19"/>
  <c r="D1292" i="19"/>
  <c r="B1293" i="19"/>
  <c r="C1293" i="19"/>
  <c r="D1293" i="19"/>
  <c r="B1294" i="19"/>
  <c r="C1294" i="19"/>
  <c r="D1294" i="19"/>
  <c r="B1295" i="19"/>
  <c r="C1295" i="19"/>
  <c r="D1295" i="19"/>
  <c r="B1296" i="19"/>
  <c r="C1296" i="19"/>
  <c r="D1296" i="19"/>
  <c r="B1297" i="19"/>
  <c r="C1297" i="19"/>
  <c r="D1297" i="19"/>
  <c r="B1298" i="19"/>
  <c r="C1298" i="19"/>
  <c r="D1298" i="19"/>
  <c r="B1299" i="19"/>
  <c r="C1299" i="19"/>
  <c r="D1299" i="19"/>
  <c r="B1300" i="19"/>
  <c r="C1300" i="19"/>
  <c r="D1300" i="19"/>
  <c r="B1301" i="19"/>
  <c r="C1301" i="19"/>
  <c r="D1301" i="19"/>
  <c r="B1302" i="19"/>
  <c r="C1302" i="19"/>
  <c r="D1302" i="19"/>
  <c r="B1303" i="19"/>
  <c r="C1303" i="19"/>
  <c r="D1303" i="19"/>
  <c r="B1304" i="19"/>
  <c r="C1304" i="19"/>
  <c r="D1304" i="19"/>
  <c r="B1305" i="19"/>
  <c r="C1305" i="19"/>
  <c r="D1305" i="19"/>
  <c r="B1306" i="19"/>
  <c r="C1306" i="19"/>
  <c r="D1306" i="19"/>
  <c r="B1307" i="19"/>
  <c r="C1307" i="19"/>
  <c r="D1307" i="19"/>
  <c r="B1308" i="19"/>
  <c r="C1308" i="19"/>
  <c r="D1308" i="19"/>
  <c r="B1309" i="19"/>
  <c r="C1309" i="19"/>
  <c r="D1309" i="19"/>
  <c r="B1310" i="19"/>
  <c r="C1310" i="19"/>
  <c r="D1310" i="19"/>
  <c r="B1311" i="19"/>
  <c r="C1311" i="19"/>
  <c r="D1311" i="19"/>
  <c r="B1312" i="19"/>
  <c r="C1312" i="19"/>
  <c r="D1312" i="19"/>
  <c r="B1313" i="19"/>
  <c r="C1313" i="19"/>
  <c r="D1313" i="19"/>
  <c r="B1314" i="19"/>
  <c r="C1314" i="19"/>
  <c r="D1314" i="19"/>
  <c r="B1315" i="19"/>
  <c r="C1315" i="19"/>
  <c r="D1315" i="19"/>
  <c r="B1316" i="19"/>
  <c r="C1316" i="19"/>
  <c r="D1316" i="19"/>
  <c r="B1317" i="19"/>
  <c r="C1317" i="19"/>
  <c r="D1317" i="19"/>
  <c r="B1318" i="19"/>
  <c r="C1318" i="19"/>
  <c r="D1318" i="19"/>
  <c r="B1319" i="19"/>
  <c r="C1319" i="19"/>
  <c r="D1319" i="19"/>
  <c r="B1320" i="19"/>
  <c r="C1320" i="19"/>
  <c r="D1320" i="19"/>
  <c r="B1321" i="19"/>
  <c r="C1321" i="19"/>
  <c r="D1321" i="19"/>
  <c r="B1322" i="19"/>
  <c r="C1322" i="19"/>
  <c r="D1322" i="19"/>
  <c r="B1323" i="19"/>
  <c r="C1323" i="19"/>
  <c r="D1323" i="19"/>
  <c r="B1324" i="19"/>
  <c r="C1324" i="19"/>
  <c r="D1324" i="19"/>
  <c r="B1325" i="19"/>
  <c r="C1325" i="19"/>
  <c r="D1325" i="19"/>
  <c r="B1326" i="19"/>
  <c r="C1326" i="19"/>
  <c r="D1326" i="19"/>
  <c r="B1327" i="19"/>
  <c r="C1327" i="19"/>
  <c r="D1327" i="19"/>
  <c r="B1328" i="19"/>
  <c r="C1328" i="19"/>
  <c r="D1328" i="19"/>
  <c r="B1329" i="19"/>
  <c r="C1329" i="19"/>
  <c r="D1329" i="19"/>
  <c r="B1330" i="19"/>
  <c r="C1330" i="19"/>
  <c r="D1330" i="19"/>
  <c r="B1331" i="19"/>
  <c r="C1331" i="19"/>
  <c r="D1331" i="19"/>
  <c r="B1332" i="19"/>
  <c r="C1332" i="19"/>
  <c r="D1332" i="19"/>
  <c r="B1333" i="19"/>
  <c r="C1333" i="19"/>
  <c r="D1333" i="19"/>
  <c r="B1334" i="19"/>
  <c r="C1334" i="19"/>
  <c r="D1334" i="19"/>
  <c r="B1335" i="19"/>
  <c r="C1335" i="19"/>
  <c r="D1335" i="19"/>
  <c r="B1336" i="19"/>
  <c r="C1336" i="19"/>
  <c r="D1336" i="19"/>
  <c r="B1337" i="19"/>
  <c r="C1337" i="19"/>
  <c r="D1337" i="19"/>
  <c r="B1338" i="19"/>
  <c r="C1338" i="19"/>
  <c r="D1338" i="19"/>
  <c r="B1339" i="19"/>
  <c r="C1339" i="19"/>
  <c r="D1339" i="19"/>
  <c r="B1340" i="19"/>
  <c r="C1340" i="19"/>
  <c r="D1340" i="19"/>
  <c r="B1341" i="19"/>
  <c r="C1341" i="19"/>
  <c r="D1341" i="19"/>
  <c r="B1342" i="19"/>
  <c r="C1342" i="19"/>
  <c r="D1342" i="19"/>
  <c r="B1343" i="19"/>
  <c r="C1343" i="19"/>
  <c r="D1343" i="19"/>
  <c r="B1344" i="19"/>
  <c r="C1344" i="19"/>
  <c r="D1344" i="19"/>
  <c r="B1345" i="19"/>
  <c r="C1345" i="19"/>
  <c r="D1345" i="19"/>
  <c r="B1346" i="19"/>
  <c r="C1346" i="19"/>
  <c r="D1346" i="19"/>
  <c r="B1347" i="19"/>
  <c r="C1347" i="19"/>
  <c r="D1347" i="19"/>
  <c r="B1348" i="19"/>
  <c r="C1348" i="19"/>
  <c r="D1348" i="19"/>
  <c r="B1349" i="19"/>
  <c r="C1349" i="19"/>
  <c r="D1349" i="19"/>
  <c r="B1350" i="19"/>
  <c r="C1350" i="19"/>
  <c r="D1350" i="19"/>
  <c r="B1351" i="19"/>
  <c r="C1351" i="19"/>
  <c r="D1351" i="19"/>
  <c r="B1352" i="19"/>
  <c r="C1352" i="19"/>
  <c r="D1352" i="19"/>
  <c r="B1353" i="19"/>
  <c r="C1353" i="19"/>
  <c r="D1353" i="19"/>
  <c r="B1354" i="19"/>
  <c r="C1354" i="19"/>
  <c r="D1354" i="19"/>
  <c r="B1355" i="19"/>
  <c r="C1355" i="19"/>
  <c r="D1355" i="19"/>
  <c r="B1356" i="19"/>
  <c r="C1356" i="19"/>
  <c r="D1356" i="19"/>
  <c r="B1357" i="19"/>
  <c r="C1357" i="19"/>
  <c r="D1357" i="19"/>
  <c r="B1358" i="19"/>
  <c r="C1358" i="19"/>
  <c r="D1358" i="19"/>
  <c r="B1359" i="19"/>
  <c r="C1359" i="19"/>
  <c r="D1359" i="19"/>
  <c r="B1360" i="19"/>
  <c r="C1360" i="19"/>
  <c r="D1360" i="19"/>
  <c r="B1361" i="19"/>
  <c r="C1361" i="19"/>
  <c r="D1361" i="19"/>
  <c r="B1362" i="19"/>
  <c r="C1362" i="19"/>
  <c r="D1362" i="19"/>
  <c r="B1363" i="19"/>
  <c r="C1363" i="19"/>
  <c r="D1363" i="19"/>
  <c r="B1364" i="19"/>
  <c r="C1364" i="19"/>
  <c r="D1364" i="19"/>
  <c r="B1365" i="19"/>
  <c r="C1365" i="19"/>
  <c r="D1365" i="19"/>
  <c r="B1366" i="19"/>
  <c r="C1366" i="19"/>
  <c r="D1366" i="19"/>
  <c r="B1367" i="19"/>
  <c r="C1367" i="19"/>
  <c r="D1367" i="19"/>
  <c r="B1368" i="19"/>
  <c r="C1368" i="19"/>
  <c r="D1368" i="19"/>
  <c r="B1369" i="19"/>
  <c r="C1369" i="19"/>
  <c r="D1369" i="19"/>
  <c r="B1370" i="19"/>
  <c r="C1370" i="19"/>
  <c r="D1370" i="19"/>
  <c r="B1371" i="19"/>
  <c r="C1371" i="19"/>
  <c r="D1371" i="19"/>
  <c r="B1372" i="19"/>
  <c r="C1372" i="19"/>
  <c r="D1372" i="19"/>
  <c r="B1373" i="19"/>
  <c r="C1373" i="19"/>
  <c r="D1373" i="19"/>
  <c r="B1374" i="19"/>
  <c r="C1374" i="19"/>
  <c r="D1374" i="19"/>
  <c r="B1375" i="19"/>
  <c r="C1375" i="19"/>
  <c r="D1375" i="19"/>
  <c r="B1376" i="19"/>
  <c r="C1376" i="19"/>
  <c r="D1376" i="19"/>
  <c r="B1377" i="19"/>
  <c r="C1377" i="19"/>
  <c r="D1377" i="19"/>
  <c r="B1378" i="19"/>
  <c r="C1378" i="19"/>
  <c r="D1378" i="19"/>
  <c r="B1379" i="19"/>
  <c r="C1379" i="19"/>
  <c r="D1379" i="19"/>
  <c r="B1380" i="19"/>
  <c r="C1380" i="19"/>
  <c r="D1380" i="19"/>
  <c r="B1381" i="19"/>
  <c r="C1381" i="19"/>
  <c r="D1381" i="19"/>
  <c r="B1382" i="19"/>
  <c r="C1382" i="19"/>
  <c r="D1382" i="19"/>
  <c r="B1383" i="19"/>
  <c r="C1383" i="19"/>
  <c r="D1383" i="19"/>
  <c r="B1384" i="19"/>
  <c r="C1384" i="19"/>
  <c r="D1384" i="19"/>
  <c r="B1385" i="19"/>
  <c r="C1385" i="19"/>
  <c r="D1385" i="19"/>
  <c r="B1386" i="19"/>
  <c r="C1386" i="19"/>
  <c r="D1386" i="19"/>
  <c r="B1387" i="19"/>
  <c r="C1387" i="19"/>
  <c r="D1387" i="19"/>
  <c r="B1388" i="19"/>
  <c r="C1388" i="19"/>
  <c r="D1388" i="19"/>
  <c r="B1389" i="19"/>
  <c r="C1389" i="19"/>
  <c r="D1389" i="19"/>
  <c r="B1390" i="19"/>
  <c r="C1390" i="19"/>
  <c r="D1390" i="19"/>
  <c r="B1391" i="19"/>
  <c r="C1391" i="19"/>
  <c r="D1391" i="19"/>
  <c r="B1392" i="19"/>
  <c r="C1392" i="19"/>
  <c r="D1392" i="19"/>
  <c r="B1393" i="19"/>
  <c r="C1393" i="19"/>
  <c r="D1393" i="19"/>
  <c r="B1394" i="19"/>
  <c r="C1394" i="19"/>
  <c r="D1394" i="19"/>
  <c r="B1395" i="19"/>
  <c r="C1395" i="19"/>
  <c r="D1395" i="19"/>
  <c r="B1396" i="19"/>
  <c r="C1396" i="19"/>
  <c r="D1396" i="19"/>
  <c r="B1397" i="19"/>
  <c r="C1397" i="19"/>
  <c r="D1397" i="19"/>
  <c r="B1398" i="19"/>
  <c r="C1398" i="19"/>
  <c r="D1398" i="19"/>
  <c r="B1399" i="19"/>
  <c r="C1399" i="19"/>
  <c r="D1399" i="19"/>
  <c r="B1400" i="19"/>
  <c r="C1400" i="19"/>
  <c r="D1400" i="19"/>
  <c r="B1401" i="19"/>
  <c r="C1401" i="19"/>
  <c r="D1401" i="19"/>
  <c r="B1402" i="19"/>
  <c r="C1402" i="19"/>
  <c r="D1402" i="19"/>
  <c r="B1403" i="19"/>
  <c r="C1403" i="19"/>
  <c r="D1403" i="19"/>
  <c r="B1404" i="19"/>
  <c r="C1404" i="19"/>
  <c r="D1404" i="19"/>
  <c r="B1405" i="19"/>
  <c r="C1405" i="19"/>
  <c r="D1405" i="19"/>
  <c r="B1406" i="19"/>
  <c r="C1406" i="19"/>
  <c r="D1406" i="19"/>
  <c r="B1407" i="19"/>
  <c r="C1407" i="19"/>
  <c r="D1407" i="19"/>
  <c r="B1408" i="19"/>
  <c r="C1408" i="19"/>
  <c r="D1408" i="19"/>
  <c r="B1409" i="19"/>
  <c r="C1409" i="19"/>
  <c r="D1409" i="19"/>
  <c r="B1410" i="19"/>
  <c r="C1410" i="19"/>
  <c r="D1410" i="19"/>
  <c r="B1411" i="19"/>
  <c r="C1411" i="19"/>
  <c r="D1411" i="19"/>
  <c r="B1412" i="19"/>
  <c r="C1412" i="19"/>
  <c r="D1412" i="19"/>
  <c r="B1413" i="19"/>
  <c r="C1413" i="19"/>
  <c r="D1413" i="19"/>
  <c r="B1414" i="19"/>
  <c r="C1414" i="19"/>
  <c r="D1414" i="19"/>
  <c r="B1415" i="19"/>
  <c r="C1415" i="19"/>
  <c r="D1415" i="19"/>
  <c r="B1416" i="19"/>
  <c r="C1416" i="19"/>
  <c r="D1416" i="19"/>
  <c r="B1417" i="19"/>
  <c r="C1417" i="19"/>
  <c r="D1417" i="19"/>
  <c r="B1418" i="19"/>
  <c r="C1418" i="19"/>
  <c r="D1418" i="19"/>
  <c r="B1419" i="19"/>
  <c r="C1419" i="19"/>
  <c r="D1419" i="19"/>
  <c r="B1420" i="19"/>
  <c r="C1420" i="19"/>
  <c r="D1420" i="19"/>
  <c r="B1421" i="19"/>
  <c r="C1421" i="19"/>
  <c r="D1421" i="19"/>
  <c r="B1422" i="19"/>
  <c r="C1422" i="19"/>
  <c r="D1422" i="19"/>
  <c r="B1423" i="19"/>
  <c r="C1423" i="19"/>
  <c r="D1423" i="19"/>
  <c r="B1424" i="19"/>
  <c r="C1424" i="19"/>
  <c r="D1424" i="19"/>
  <c r="B1425" i="19"/>
  <c r="C1425" i="19"/>
  <c r="D1425" i="19"/>
  <c r="B1426" i="19"/>
  <c r="C1426" i="19"/>
  <c r="D1426" i="19"/>
  <c r="B1427" i="19"/>
  <c r="C1427" i="19"/>
  <c r="D1427" i="19"/>
  <c r="B1428" i="19"/>
  <c r="C1428" i="19"/>
  <c r="D1428" i="19"/>
  <c r="B1429" i="19"/>
  <c r="C1429" i="19"/>
  <c r="D1429" i="19"/>
  <c r="B1430" i="19"/>
  <c r="C1430" i="19"/>
  <c r="D1430" i="19"/>
  <c r="B1431" i="19"/>
  <c r="C1431" i="19"/>
  <c r="D1431" i="19"/>
  <c r="B1432" i="19"/>
  <c r="C1432" i="19"/>
  <c r="D1432" i="19"/>
  <c r="B1433" i="19"/>
  <c r="C1433" i="19"/>
  <c r="D1433" i="19"/>
  <c r="B1434" i="19"/>
  <c r="C1434" i="19"/>
  <c r="D1434" i="19"/>
  <c r="B1435" i="19"/>
  <c r="C1435" i="19"/>
  <c r="D1435" i="19"/>
  <c r="B1436" i="19"/>
  <c r="C1436" i="19"/>
  <c r="D1436" i="19"/>
  <c r="B1437" i="19"/>
  <c r="C1437" i="19"/>
  <c r="D1437" i="19"/>
  <c r="B1438" i="19"/>
  <c r="C1438" i="19"/>
  <c r="D1438" i="19"/>
  <c r="B1439" i="19"/>
  <c r="C1439" i="19"/>
  <c r="D1439" i="19"/>
  <c r="B1440" i="19"/>
  <c r="C1440" i="19"/>
  <c r="D1440" i="19"/>
  <c r="B1441" i="19"/>
  <c r="C1441" i="19"/>
  <c r="D1441" i="19"/>
  <c r="B1442" i="19"/>
  <c r="C1442" i="19"/>
  <c r="D1442" i="19"/>
  <c r="B1443" i="19"/>
  <c r="C1443" i="19"/>
  <c r="D1443" i="19"/>
  <c r="B1444" i="19"/>
  <c r="C1444" i="19"/>
  <c r="D1444" i="19"/>
  <c r="B1445" i="19"/>
  <c r="C1445" i="19"/>
  <c r="D1445" i="19"/>
  <c r="B1446" i="19"/>
  <c r="C1446" i="19"/>
  <c r="D1446" i="19"/>
  <c r="B1447" i="19"/>
  <c r="C1447" i="19"/>
  <c r="D1447" i="19"/>
  <c r="B1448" i="19"/>
  <c r="C1448" i="19"/>
  <c r="D1448" i="19"/>
  <c r="B1449" i="19"/>
  <c r="C1449" i="19"/>
  <c r="D1449" i="19"/>
  <c r="B1450" i="19"/>
  <c r="C1450" i="19"/>
  <c r="D1450" i="19"/>
  <c r="B1451" i="19"/>
  <c r="C1451" i="19"/>
  <c r="D1451" i="19"/>
  <c r="B1452" i="19"/>
  <c r="C1452" i="19"/>
  <c r="D1452" i="19"/>
  <c r="B1453" i="19"/>
  <c r="C1453" i="19"/>
  <c r="D1453" i="19"/>
  <c r="B1454" i="19"/>
  <c r="C1454" i="19"/>
  <c r="D1454" i="19"/>
  <c r="B1455" i="19"/>
  <c r="C1455" i="19"/>
  <c r="D1455" i="19"/>
  <c r="B1456" i="19"/>
  <c r="C1456" i="19"/>
  <c r="D1456" i="19"/>
  <c r="B1457" i="19"/>
  <c r="C1457" i="19"/>
  <c r="D1457" i="19"/>
  <c r="B1458" i="19"/>
  <c r="C1458" i="19"/>
  <c r="D1458" i="19"/>
  <c r="B1459" i="19"/>
  <c r="C1459" i="19"/>
  <c r="D1459" i="19"/>
  <c r="B1460" i="19"/>
  <c r="C1460" i="19"/>
  <c r="D1460" i="19"/>
  <c r="B1461" i="19"/>
  <c r="C1461" i="19"/>
  <c r="D1461" i="19"/>
  <c r="B1462" i="19"/>
  <c r="C1462" i="19"/>
  <c r="D1462" i="19"/>
  <c r="B1463" i="19"/>
  <c r="C1463" i="19"/>
  <c r="D1463" i="19"/>
  <c r="B1464" i="19"/>
  <c r="C1464" i="19"/>
  <c r="D1464" i="19"/>
  <c r="B1465" i="19"/>
  <c r="C1465" i="19"/>
  <c r="D1465" i="19"/>
  <c r="B1466" i="19"/>
  <c r="C1466" i="19"/>
  <c r="D1466" i="19"/>
  <c r="B1467" i="19"/>
  <c r="C1467" i="19"/>
  <c r="D1467" i="19"/>
  <c r="B1468" i="19"/>
  <c r="C1468" i="19"/>
  <c r="D1468" i="19"/>
  <c r="B1469" i="19"/>
  <c r="C1469" i="19"/>
  <c r="D1469" i="19"/>
  <c r="B1470" i="19"/>
  <c r="C1470" i="19"/>
  <c r="D1470" i="19"/>
  <c r="B1471" i="19"/>
  <c r="C1471" i="19"/>
  <c r="D1471" i="19"/>
  <c r="B1472" i="19"/>
  <c r="C1472" i="19"/>
  <c r="D1472" i="19"/>
  <c r="B1473" i="19"/>
  <c r="C1473" i="19"/>
  <c r="D1473" i="19"/>
  <c r="B1474" i="19"/>
  <c r="C1474" i="19"/>
  <c r="D1474" i="19"/>
  <c r="B1475" i="19"/>
  <c r="C1475" i="19"/>
  <c r="D1475" i="19"/>
  <c r="B1476" i="19"/>
  <c r="C1476" i="19"/>
  <c r="D1476" i="19"/>
  <c r="B1477" i="19"/>
  <c r="C1477" i="19"/>
  <c r="D1477" i="19"/>
  <c r="B1478" i="19"/>
  <c r="C1478" i="19"/>
  <c r="D1478" i="19"/>
  <c r="B1479" i="19"/>
  <c r="C1479" i="19"/>
  <c r="D1479" i="19"/>
  <c r="B1480" i="19"/>
  <c r="C1480" i="19"/>
  <c r="D1480" i="19"/>
  <c r="B1481" i="19"/>
  <c r="C1481" i="19"/>
  <c r="D1481" i="19"/>
  <c r="B1482" i="19"/>
  <c r="C1482" i="19"/>
  <c r="D1482" i="19"/>
  <c r="B1483" i="19"/>
  <c r="C1483" i="19"/>
  <c r="D1483" i="19"/>
  <c r="B1484" i="19"/>
  <c r="C1484" i="19"/>
  <c r="D1484" i="19"/>
  <c r="B1485" i="19"/>
  <c r="C1485" i="19"/>
  <c r="D1485" i="19"/>
  <c r="B1486" i="19"/>
  <c r="C1486" i="19"/>
  <c r="D1486" i="19"/>
  <c r="B1487" i="19"/>
  <c r="C1487" i="19"/>
  <c r="D1487" i="19"/>
  <c r="B1488" i="19"/>
  <c r="C1488" i="19"/>
  <c r="D1488" i="19"/>
  <c r="B1489" i="19"/>
  <c r="C1489" i="19"/>
  <c r="D1489" i="19"/>
  <c r="B1490" i="19"/>
  <c r="C1490" i="19"/>
  <c r="D1490" i="19"/>
  <c r="B1491" i="19"/>
  <c r="C1491" i="19"/>
  <c r="D1491" i="19"/>
  <c r="B1492" i="19"/>
  <c r="C1492" i="19"/>
  <c r="D1492" i="19"/>
  <c r="B1493" i="19"/>
  <c r="C1493" i="19"/>
  <c r="D1493" i="19"/>
  <c r="B1494" i="19"/>
  <c r="C1494" i="19"/>
  <c r="D1494" i="19"/>
  <c r="B1495" i="19"/>
  <c r="C1495" i="19"/>
  <c r="D1495" i="19"/>
  <c r="B1496" i="19"/>
  <c r="C1496" i="19"/>
  <c r="D1496" i="19"/>
  <c r="B1497" i="19"/>
  <c r="C1497" i="19"/>
  <c r="D1497" i="19"/>
  <c r="B1498" i="19"/>
  <c r="C1498" i="19"/>
  <c r="D1498" i="19"/>
  <c r="B1499" i="19"/>
  <c r="C1499" i="19"/>
  <c r="D1499" i="19"/>
  <c r="B1500" i="19"/>
  <c r="C1500" i="19"/>
  <c r="D1500" i="19"/>
  <c r="B1501" i="19"/>
  <c r="C1501" i="19"/>
  <c r="D1501" i="19"/>
  <c r="B1502" i="19"/>
  <c r="C1502" i="19"/>
  <c r="D1502" i="19"/>
  <c r="B1503" i="19"/>
  <c r="C1503" i="19"/>
  <c r="D1503" i="19"/>
  <c r="B1504" i="19"/>
  <c r="C1504" i="19"/>
  <c r="D1504" i="19"/>
  <c r="B1505" i="19"/>
  <c r="C1505" i="19"/>
  <c r="D1505" i="19"/>
  <c r="B1506" i="19"/>
  <c r="C1506" i="19"/>
  <c r="D1506" i="19"/>
  <c r="B1507" i="19"/>
  <c r="C1507" i="19"/>
  <c r="D1507" i="19"/>
  <c r="B1508" i="19"/>
  <c r="C1508" i="19"/>
  <c r="D1508" i="19"/>
  <c r="B509" i="13"/>
  <c r="C509" i="13" s="1"/>
  <c r="D509" i="13"/>
  <c r="F509" i="13" s="1"/>
  <c r="E509" i="13"/>
  <c r="G509" i="13"/>
  <c r="H509" i="13"/>
  <c r="I509" i="13"/>
  <c r="L509" i="13"/>
  <c r="M509" i="13"/>
  <c r="B510" i="13"/>
  <c r="D510" i="13"/>
  <c r="F510" i="13" s="1"/>
  <c r="E510" i="13"/>
  <c r="G510" i="13"/>
  <c r="L510" i="13"/>
  <c r="B511" i="13"/>
  <c r="I511" i="13" s="1"/>
  <c r="D511" i="13"/>
  <c r="F511" i="13" s="1"/>
  <c r="E511" i="13"/>
  <c r="G511" i="13"/>
  <c r="J511" i="13"/>
  <c r="L511" i="13"/>
  <c r="B512" i="13"/>
  <c r="C512" i="13"/>
  <c r="D512" i="13"/>
  <c r="F512" i="13" s="1"/>
  <c r="E512" i="13"/>
  <c r="G512" i="13"/>
  <c r="I512" i="13"/>
  <c r="J512" i="13"/>
  <c r="K512" i="13"/>
  <c r="L512" i="13"/>
  <c r="M512" i="13"/>
  <c r="B513" i="13"/>
  <c r="J513" i="13" s="1"/>
  <c r="D513" i="13"/>
  <c r="E513" i="13"/>
  <c r="F513" i="13"/>
  <c r="G513" i="13"/>
  <c r="H513" i="13" s="1"/>
  <c r="B514" i="13"/>
  <c r="J514" i="13" s="1"/>
  <c r="C514" i="13"/>
  <c r="D514" i="13"/>
  <c r="E514" i="13"/>
  <c r="F514" i="13"/>
  <c r="G514" i="13"/>
  <c r="K514" i="13"/>
  <c r="L514" i="13"/>
  <c r="B515" i="13"/>
  <c r="I515" i="13" s="1"/>
  <c r="D515" i="13"/>
  <c r="F515" i="13" s="1"/>
  <c r="E515" i="13"/>
  <c r="G515" i="13"/>
  <c r="J515" i="13"/>
  <c r="L515" i="13"/>
  <c r="B516" i="13"/>
  <c r="D516" i="13"/>
  <c r="F516" i="13" s="1"/>
  <c r="E516" i="13"/>
  <c r="G516" i="13"/>
  <c r="L516" i="13"/>
  <c r="B517" i="13"/>
  <c r="D517" i="13"/>
  <c r="F517" i="13" s="1"/>
  <c r="E517" i="13"/>
  <c r="G517" i="13"/>
  <c r="H517" i="13"/>
  <c r="J517" i="13"/>
  <c r="B518" i="13"/>
  <c r="L518" i="13" s="1"/>
  <c r="C518" i="13"/>
  <c r="D518" i="13"/>
  <c r="F518" i="13" s="1"/>
  <c r="E518" i="13"/>
  <c r="G518" i="13"/>
  <c r="I518" i="13"/>
  <c r="J518" i="13"/>
  <c r="K518" i="13"/>
  <c r="M518" i="13"/>
  <c r="B519" i="13"/>
  <c r="I519" i="13" s="1"/>
  <c r="D519" i="13"/>
  <c r="E519" i="13"/>
  <c r="G519" i="13"/>
  <c r="J519" i="13"/>
  <c r="B520" i="13"/>
  <c r="K520" i="13" s="1"/>
  <c r="C520" i="13"/>
  <c r="D520" i="13"/>
  <c r="F520" i="13" s="1"/>
  <c r="E520" i="13"/>
  <c r="G520" i="13"/>
  <c r="I520" i="13"/>
  <c r="J520" i="13"/>
  <c r="L520" i="13"/>
  <c r="M520" i="13"/>
  <c r="B521" i="13"/>
  <c r="D521" i="13"/>
  <c r="E521" i="13"/>
  <c r="F521" i="13"/>
  <c r="G521" i="13"/>
  <c r="H521" i="13" s="1"/>
  <c r="B522" i="13"/>
  <c r="D522" i="13"/>
  <c r="E522" i="13"/>
  <c r="F522" i="13"/>
  <c r="G522" i="13"/>
  <c r="B523" i="13"/>
  <c r="J523" i="13" s="1"/>
  <c r="D523" i="13"/>
  <c r="F523" i="13" s="1"/>
  <c r="E523" i="13"/>
  <c r="G523" i="13"/>
  <c r="H523" i="13"/>
  <c r="B524" i="13"/>
  <c r="D524" i="13"/>
  <c r="F524" i="13" s="1"/>
  <c r="E524" i="13"/>
  <c r="G524" i="13"/>
  <c r="L524" i="13"/>
  <c r="B525" i="13"/>
  <c r="J525" i="13" s="1"/>
  <c r="D525" i="13"/>
  <c r="F525" i="13" s="1"/>
  <c r="E525" i="13"/>
  <c r="G525" i="13"/>
  <c r="B526" i="13"/>
  <c r="L526" i="13" s="1"/>
  <c r="C526" i="13"/>
  <c r="D526" i="13"/>
  <c r="E526" i="13"/>
  <c r="F526" i="13"/>
  <c r="G526" i="13"/>
  <c r="K526" i="13"/>
  <c r="M526" i="13"/>
  <c r="B527" i="13"/>
  <c r="D527" i="13"/>
  <c r="F527" i="13" s="1"/>
  <c r="E527" i="13"/>
  <c r="G527" i="13"/>
  <c r="J527" i="13"/>
  <c r="L527" i="13"/>
  <c r="B528" i="13"/>
  <c r="D528" i="13"/>
  <c r="F528" i="13" s="1"/>
  <c r="E528" i="13"/>
  <c r="G528" i="13"/>
  <c r="L528" i="13"/>
  <c r="B529" i="13"/>
  <c r="L529" i="13" s="1"/>
  <c r="D529" i="13"/>
  <c r="F529" i="13" s="1"/>
  <c r="E529" i="13"/>
  <c r="G529" i="13"/>
  <c r="H529" i="13"/>
  <c r="J529" i="13"/>
  <c r="B530" i="13"/>
  <c r="L530" i="13" s="1"/>
  <c r="C530" i="13"/>
  <c r="D530" i="13"/>
  <c r="F530" i="13" s="1"/>
  <c r="E530" i="13"/>
  <c r="G530" i="13"/>
  <c r="I530" i="13"/>
  <c r="K530" i="13"/>
  <c r="M530" i="13"/>
  <c r="B531" i="13"/>
  <c r="J531" i="13" s="1"/>
  <c r="D531" i="13"/>
  <c r="E531" i="13"/>
  <c r="F531" i="13"/>
  <c r="G531" i="13"/>
  <c r="H531" i="13" s="1"/>
  <c r="B532" i="13"/>
  <c r="K532" i="13" s="1"/>
  <c r="C532" i="13"/>
  <c r="D532" i="13"/>
  <c r="F532" i="13" s="1"/>
  <c r="E532" i="13"/>
  <c r="G532" i="13"/>
  <c r="I532" i="13"/>
  <c r="J532" i="13"/>
  <c r="L532" i="13"/>
  <c r="M532" i="13"/>
  <c r="B533" i="13"/>
  <c r="J533" i="13" s="1"/>
  <c r="D533" i="13"/>
  <c r="F533" i="13" s="1"/>
  <c r="E533" i="13"/>
  <c r="G533" i="13"/>
  <c r="H533" i="13"/>
  <c r="B534" i="13"/>
  <c r="L534" i="13" s="1"/>
  <c r="C534" i="13"/>
  <c r="D534" i="13"/>
  <c r="F534" i="13" s="1"/>
  <c r="E534" i="13"/>
  <c r="G534" i="13"/>
  <c r="I534" i="13"/>
  <c r="J534" i="13"/>
  <c r="K534" i="13"/>
  <c r="M534" i="13"/>
  <c r="B535" i="13"/>
  <c r="D535" i="13"/>
  <c r="F535" i="13" s="1"/>
  <c r="E535" i="13"/>
  <c r="G535" i="13"/>
  <c r="H535" i="13"/>
  <c r="B536" i="13"/>
  <c r="K536" i="13" s="1"/>
  <c r="C536" i="13"/>
  <c r="D536" i="13"/>
  <c r="F536" i="13" s="1"/>
  <c r="E536" i="13"/>
  <c r="G536" i="13"/>
  <c r="I536" i="13"/>
  <c r="J536" i="13"/>
  <c r="L536" i="13"/>
  <c r="M536" i="13"/>
  <c r="B537" i="13"/>
  <c r="D537" i="13"/>
  <c r="E537" i="13"/>
  <c r="F537" i="13"/>
  <c r="G537" i="13"/>
  <c r="H537" i="13" s="1"/>
  <c r="B538" i="13"/>
  <c r="D538" i="13"/>
  <c r="E538" i="13"/>
  <c r="F538" i="13"/>
  <c r="G538" i="13"/>
  <c r="J538" i="13"/>
  <c r="K538" i="13"/>
  <c r="B539" i="13"/>
  <c r="J539" i="13" s="1"/>
  <c r="D539" i="13"/>
  <c r="F539" i="13" s="1"/>
  <c r="E539" i="13"/>
  <c r="G539" i="13"/>
  <c r="H539" i="13"/>
  <c r="B540" i="13"/>
  <c r="D540" i="13"/>
  <c r="F540" i="13" s="1"/>
  <c r="E540" i="13"/>
  <c r="G540" i="13"/>
  <c r="K540" i="13"/>
  <c r="L540" i="13"/>
  <c r="B541" i="13"/>
  <c r="J541" i="13" s="1"/>
  <c r="D541" i="13"/>
  <c r="E541" i="13"/>
  <c r="G541" i="13"/>
  <c r="B542" i="13"/>
  <c r="D542" i="13"/>
  <c r="E542" i="13"/>
  <c r="F542" i="13"/>
  <c r="G542" i="13"/>
  <c r="B543" i="13"/>
  <c r="D543" i="13"/>
  <c r="F543" i="13" s="1"/>
  <c r="E543" i="13"/>
  <c r="G543" i="13"/>
  <c r="J543" i="13"/>
  <c r="L543" i="13"/>
  <c r="B544" i="13"/>
  <c r="D544" i="13"/>
  <c r="F544" i="13" s="1"/>
  <c r="E544" i="13"/>
  <c r="G544" i="13"/>
  <c r="K544" i="13"/>
  <c r="L544" i="13"/>
  <c r="B545" i="13"/>
  <c r="L545" i="13" s="1"/>
  <c r="D545" i="13"/>
  <c r="E545" i="13"/>
  <c r="G545" i="13"/>
  <c r="J545" i="13"/>
  <c r="B546" i="13"/>
  <c r="L546" i="13" s="1"/>
  <c r="C546" i="13"/>
  <c r="D546" i="13"/>
  <c r="F546" i="13" s="1"/>
  <c r="E546" i="13"/>
  <c r="G546" i="13"/>
  <c r="I546" i="13"/>
  <c r="K546" i="13"/>
  <c r="M546" i="13"/>
  <c r="B547" i="13"/>
  <c r="J547" i="13" s="1"/>
  <c r="D547" i="13"/>
  <c r="E547" i="13"/>
  <c r="F547" i="13"/>
  <c r="G547" i="13"/>
  <c r="H547" i="13" s="1"/>
  <c r="B548" i="13"/>
  <c r="C548" i="13" s="1"/>
  <c r="D548" i="13"/>
  <c r="F548" i="13" s="1"/>
  <c r="E548" i="13"/>
  <c r="G548" i="13"/>
  <c r="L548" i="13"/>
  <c r="M548" i="13"/>
  <c r="B549" i="13"/>
  <c r="L549" i="13" s="1"/>
  <c r="D549" i="13"/>
  <c r="E549" i="13"/>
  <c r="F549" i="13"/>
  <c r="G549" i="13"/>
  <c r="B550" i="13"/>
  <c r="D550" i="13"/>
  <c r="F550" i="13" s="1"/>
  <c r="E550" i="13"/>
  <c r="G550" i="13"/>
  <c r="B551" i="13"/>
  <c r="D551" i="13"/>
  <c r="E551" i="13"/>
  <c r="G551" i="13"/>
  <c r="I551" i="13"/>
  <c r="M551" i="13"/>
  <c r="B552" i="13"/>
  <c r="K552" i="13" s="1"/>
  <c r="D552" i="13"/>
  <c r="F552" i="13" s="1"/>
  <c r="E552" i="13"/>
  <c r="G552" i="13"/>
  <c r="J552" i="13"/>
  <c r="B553" i="13"/>
  <c r="D553" i="13"/>
  <c r="F553" i="13" s="1"/>
  <c r="E553" i="13"/>
  <c r="G553" i="13"/>
  <c r="H553" i="13" s="1"/>
  <c r="B554" i="13"/>
  <c r="J554" i="13" s="1"/>
  <c r="C554" i="13"/>
  <c r="D554" i="13"/>
  <c r="F554" i="13" s="1"/>
  <c r="E554" i="13"/>
  <c r="G554" i="13"/>
  <c r="H554" i="13"/>
  <c r="I554" i="13"/>
  <c r="K554" i="13"/>
  <c r="L554" i="13"/>
  <c r="M554" i="13"/>
  <c r="B555" i="13"/>
  <c r="I555" i="13" s="1"/>
  <c r="C555" i="13"/>
  <c r="D555" i="13"/>
  <c r="F555" i="13" s="1"/>
  <c r="E555" i="13"/>
  <c r="G555" i="13"/>
  <c r="H555" i="13"/>
  <c r="J555" i="13"/>
  <c r="K555" i="13"/>
  <c r="L555" i="13"/>
  <c r="B556" i="13"/>
  <c r="J556" i="13" s="1"/>
  <c r="D556" i="13"/>
  <c r="E556" i="13"/>
  <c r="F556" i="13"/>
  <c r="G556" i="13"/>
  <c r="B557" i="13"/>
  <c r="L557" i="13" s="1"/>
  <c r="D557" i="13"/>
  <c r="F557" i="13" s="1"/>
  <c r="E557" i="13"/>
  <c r="G557" i="13"/>
  <c r="J557" i="13"/>
  <c r="B558" i="13"/>
  <c r="D558" i="13"/>
  <c r="F558" i="13" s="1"/>
  <c r="E558" i="13"/>
  <c r="G558" i="13"/>
  <c r="H558" i="13" s="1"/>
  <c r="B559" i="13"/>
  <c r="C559" i="13"/>
  <c r="D559" i="13"/>
  <c r="E559" i="13"/>
  <c r="G559" i="13"/>
  <c r="I559" i="13"/>
  <c r="J559" i="13"/>
  <c r="K559" i="13"/>
  <c r="L559" i="13"/>
  <c r="M559" i="13"/>
  <c r="B560" i="13"/>
  <c r="J560" i="13" s="1"/>
  <c r="D560" i="13"/>
  <c r="E560" i="13"/>
  <c r="F560" i="13"/>
  <c r="G560" i="13"/>
  <c r="B561" i="13"/>
  <c r="D561" i="13"/>
  <c r="E561" i="13"/>
  <c r="F561" i="13"/>
  <c r="G561" i="13"/>
  <c r="H561" i="13" s="1"/>
  <c r="B562" i="13"/>
  <c r="D562" i="13"/>
  <c r="F562" i="13" s="1"/>
  <c r="E562" i="13"/>
  <c r="G562" i="13"/>
  <c r="H562" i="13"/>
  <c r="B563" i="13"/>
  <c r="D563" i="13"/>
  <c r="F563" i="13" s="1"/>
  <c r="E563" i="13"/>
  <c r="G563" i="13"/>
  <c r="H563" i="13" s="1"/>
  <c r="B564" i="13"/>
  <c r="D564" i="13"/>
  <c r="F564" i="13" s="1"/>
  <c r="E564" i="13"/>
  <c r="G564" i="13"/>
  <c r="B565" i="13"/>
  <c r="L565" i="13" s="1"/>
  <c r="D565" i="13"/>
  <c r="F565" i="13" s="1"/>
  <c r="E565" i="13"/>
  <c r="G565" i="13"/>
  <c r="H565" i="13" s="1"/>
  <c r="J565" i="13"/>
  <c r="B566" i="13"/>
  <c r="D566" i="13"/>
  <c r="F566" i="13" s="1"/>
  <c r="E566" i="13"/>
  <c r="G566" i="13"/>
  <c r="H566" i="13" s="1"/>
  <c r="L566" i="13"/>
  <c r="M566" i="13"/>
  <c r="B567" i="13"/>
  <c r="C567" i="13"/>
  <c r="D567" i="13"/>
  <c r="E567" i="13"/>
  <c r="G567" i="13"/>
  <c r="I567" i="13"/>
  <c r="J567" i="13"/>
  <c r="K567" i="13"/>
  <c r="L567" i="13"/>
  <c r="M567" i="13"/>
  <c r="B568" i="13"/>
  <c r="D568" i="13"/>
  <c r="F568" i="13" s="1"/>
  <c r="E568" i="13"/>
  <c r="G568" i="13"/>
  <c r="B569" i="13"/>
  <c r="D569" i="13"/>
  <c r="E569" i="13"/>
  <c r="F569" i="13"/>
  <c r="G569" i="13"/>
  <c r="H569" i="13" s="1"/>
  <c r="B570" i="13"/>
  <c r="D570" i="13"/>
  <c r="E570" i="13"/>
  <c r="G570" i="13"/>
  <c r="I570" i="13"/>
  <c r="M570" i="13"/>
  <c r="B571" i="13"/>
  <c r="C571" i="13" s="1"/>
  <c r="D571" i="13"/>
  <c r="F571" i="13" s="1"/>
  <c r="E571" i="13"/>
  <c r="G571" i="13"/>
  <c r="H571" i="13" s="1"/>
  <c r="K571" i="13"/>
  <c r="L571" i="13"/>
  <c r="B572" i="13"/>
  <c r="J572" i="13" s="1"/>
  <c r="D572" i="13"/>
  <c r="E572" i="13"/>
  <c r="F572" i="13"/>
  <c r="G572" i="13"/>
  <c r="B573" i="13"/>
  <c r="J573" i="13" s="1"/>
  <c r="D573" i="13"/>
  <c r="F573" i="13" s="1"/>
  <c r="E573" i="13"/>
  <c r="G573" i="13"/>
  <c r="H573" i="13" s="1"/>
  <c r="B574" i="13"/>
  <c r="D574" i="13"/>
  <c r="F574" i="13" s="1"/>
  <c r="E574" i="13"/>
  <c r="G574" i="13"/>
  <c r="H574" i="13" s="1"/>
  <c r="M574" i="13"/>
  <c r="B575" i="13"/>
  <c r="C575" i="13"/>
  <c r="D575" i="13"/>
  <c r="F575" i="13" s="1"/>
  <c r="E575" i="13"/>
  <c r="G575" i="13"/>
  <c r="I575" i="13"/>
  <c r="J575" i="13"/>
  <c r="K575" i="13"/>
  <c r="L575" i="13"/>
  <c r="M575" i="13"/>
  <c r="B576" i="13"/>
  <c r="C576" i="13"/>
  <c r="D576" i="13"/>
  <c r="E576" i="13"/>
  <c r="F576" i="13"/>
  <c r="G576" i="13"/>
  <c r="K576" i="13"/>
  <c r="B577" i="13"/>
  <c r="J577" i="13" s="1"/>
  <c r="D577" i="13"/>
  <c r="E577" i="13"/>
  <c r="F577" i="13"/>
  <c r="G577" i="13"/>
  <c r="H577" i="13" s="1"/>
  <c r="B578" i="13"/>
  <c r="C578" i="13" s="1"/>
  <c r="D578" i="13"/>
  <c r="E578" i="13"/>
  <c r="G578" i="13"/>
  <c r="I578" i="13"/>
  <c r="J578" i="13"/>
  <c r="L578" i="13"/>
  <c r="M578" i="13"/>
  <c r="B579" i="13"/>
  <c r="D579" i="13"/>
  <c r="F579" i="13" s="1"/>
  <c r="E579" i="13"/>
  <c r="G579" i="13"/>
  <c r="L579" i="13"/>
  <c r="B580" i="13"/>
  <c r="I580" i="13" s="1"/>
  <c r="C580" i="13"/>
  <c r="D580" i="13"/>
  <c r="F580" i="13" s="1"/>
  <c r="E580" i="13"/>
  <c r="G580" i="13"/>
  <c r="J580" i="13"/>
  <c r="K580" i="13"/>
  <c r="B581" i="13"/>
  <c r="J581" i="13" s="1"/>
  <c r="D581" i="13"/>
  <c r="E581" i="13"/>
  <c r="F581" i="13"/>
  <c r="G581" i="13"/>
  <c r="B582" i="13"/>
  <c r="I582" i="13" s="1"/>
  <c r="D582" i="13"/>
  <c r="F582" i="13" s="1"/>
  <c r="E582" i="13"/>
  <c r="G582" i="13"/>
  <c r="H582" i="13"/>
  <c r="J582" i="13"/>
  <c r="M582" i="13"/>
  <c r="B583" i="13"/>
  <c r="J583" i="13" s="1"/>
  <c r="D583" i="13"/>
  <c r="F583" i="13" s="1"/>
  <c r="E583" i="13"/>
  <c r="G583" i="13"/>
  <c r="K583" i="13"/>
  <c r="L583" i="13"/>
  <c r="M583" i="13"/>
  <c r="B584" i="13"/>
  <c r="C584" i="13"/>
  <c r="D584" i="13"/>
  <c r="F584" i="13" s="1"/>
  <c r="E584" i="13"/>
  <c r="G584" i="13"/>
  <c r="J584" i="13"/>
  <c r="K584" i="13"/>
  <c r="L584" i="13"/>
  <c r="B585" i="13"/>
  <c r="L585" i="13" s="1"/>
  <c r="D585" i="13"/>
  <c r="F585" i="13" s="1"/>
  <c r="E585" i="13"/>
  <c r="G585" i="13"/>
  <c r="I585" i="13"/>
  <c r="J585" i="13"/>
  <c r="K585" i="13"/>
  <c r="B586" i="13"/>
  <c r="I586" i="13" s="1"/>
  <c r="D586" i="13"/>
  <c r="F586" i="13" s="1"/>
  <c r="E586" i="13"/>
  <c r="G586" i="13"/>
  <c r="J586" i="13"/>
  <c r="L586" i="13"/>
  <c r="M586" i="13"/>
  <c r="B587" i="13"/>
  <c r="D587" i="13"/>
  <c r="F587" i="13" s="1"/>
  <c r="E587" i="13"/>
  <c r="G587" i="13"/>
  <c r="M587" i="13"/>
  <c r="B588" i="13"/>
  <c r="D588" i="13"/>
  <c r="F588" i="13" s="1"/>
  <c r="E588" i="13"/>
  <c r="G588" i="13"/>
  <c r="H588" i="13" s="1"/>
  <c r="K588" i="13"/>
  <c r="B589" i="13"/>
  <c r="D589" i="13"/>
  <c r="E589" i="13"/>
  <c r="F589" i="13"/>
  <c r="G589" i="13"/>
  <c r="H589" i="13" s="1"/>
  <c r="K589" i="13"/>
  <c r="B590" i="13"/>
  <c r="D590" i="13"/>
  <c r="E590" i="13"/>
  <c r="F590" i="13"/>
  <c r="G590" i="13"/>
  <c r="K590" i="13"/>
  <c r="M590" i="13"/>
  <c r="B591" i="13"/>
  <c r="I591" i="13" s="1"/>
  <c r="D591" i="13"/>
  <c r="E591" i="13"/>
  <c r="G591" i="13"/>
  <c r="J591" i="13"/>
  <c r="L591" i="13"/>
  <c r="B592" i="13"/>
  <c r="D592" i="13"/>
  <c r="F592" i="13" s="1"/>
  <c r="E592" i="13"/>
  <c r="G592" i="13"/>
  <c r="J592" i="13"/>
  <c r="B593" i="13"/>
  <c r="C593" i="13" s="1"/>
  <c r="D593" i="13"/>
  <c r="E593" i="13"/>
  <c r="G593" i="13"/>
  <c r="J593" i="13"/>
  <c r="B594" i="13"/>
  <c r="L594" i="13" s="1"/>
  <c r="C594" i="13"/>
  <c r="D594" i="13"/>
  <c r="F594" i="13" s="1"/>
  <c r="E594" i="13"/>
  <c r="G594" i="13"/>
  <c r="I594" i="13"/>
  <c r="J594" i="13"/>
  <c r="K594" i="13"/>
  <c r="M594" i="13"/>
  <c r="B595" i="13"/>
  <c r="K595" i="13" s="1"/>
  <c r="D595" i="13"/>
  <c r="F595" i="13" s="1"/>
  <c r="E595" i="13"/>
  <c r="G595" i="13"/>
  <c r="H595" i="13" s="1"/>
  <c r="J595" i="13"/>
  <c r="B596" i="13"/>
  <c r="C596" i="13" s="1"/>
  <c r="D596" i="13"/>
  <c r="F596" i="13" s="1"/>
  <c r="E596" i="13"/>
  <c r="G596" i="13"/>
  <c r="J596" i="13"/>
  <c r="B597" i="13"/>
  <c r="C597" i="13" s="1"/>
  <c r="D597" i="13"/>
  <c r="E597" i="13"/>
  <c r="F597" i="13"/>
  <c r="G597" i="13"/>
  <c r="H597" i="13" s="1"/>
  <c r="M597" i="13"/>
  <c r="B598" i="13"/>
  <c r="C598" i="13"/>
  <c r="D598" i="13"/>
  <c r="F598" i="13" s="1"/>
  <c r="E598" i="13"/>
  <c r="G598" i="13"/>
  <c r="H598" i="13"/>
  <c r="I598" i="13"/>
  <c r="J598" i="13"/>
  <c r="K598" i="13"/>
  <c r="L598" i="13"/>
  <c r="M598" i="13"/>
  <c r="B599" i="13"/>
  <c r="D599" i="13"/>
  <c r="F599" i="13" s="1"/>
  <c r="E599" i="13"/>
  <c r="G599" i="13"/>
  <c r="K599" i="13"/>
  <c r="B600" i="13"/>
  <c r="D600" i="13"/>
  <c r="E600" i="13"/>
  <c r="F600" i="13"/>
  <c r="G600" i="13"/>
  <c r="H600" i="13" s="1"/>
  <c r="B601" i="13"/>
  <c r="D601" i="13"/>
  <c r="F601" i="13" s="1"/>
  <c r="E601" i="13"/>
  <c r="G601" i="13"/>
  <c r="I601" i="13"/>
  <c r="J601" i="13"/>
  <c r="B602" i="13"/>
  <c r="D602" i="13"/>
  <c r="F602" i="13" s="1"/>
  <c r="E602" i="13"/>
  <c r="G602" i="13"/>
  <c r="H602" i="13"/>
  <c r="M602" i="13"/>
  <c r="B603" i="13"/>
  <c r="J603" i="13" s="1"/>
  <c r="D603" i="13"/>
  <c r="F603" i="13" s="1"/>
  <c r="E603" i="13"/>
  <c r="G603" i="13"/>
  <c r="H603" i="13" s="1"/>
  <c r="L603" i="13"/>
  <c r="M603" i="13"/>
  <c r="B604" i="13"/>
  <c r="C604" i="13" s="1"/>
  <c r="D604" i="13"/>
  <c r="E604" i="13"/>
  <c r="F604" i="13"/>
  <c r="G604" i="13"/>
  <c r="J604" i="13"/>
  <c r="B605" i="13"/>
  <c r="D605" i="13"/>
  <c r="F605" i="13" s="1"/>
  <c r="E605" i="13"/>
  <c r="G605" i="13"/>
  <c r="H605" i="13" s="1"/>
  <c r="B606" i="13"/>
  <c r="D606" i="13"/>
  <c r="E606" i="13"/>
  <c r="G606" i="13"/>
  <c r="I606" i="13"/>
  <c r="L606" i="13"/>
  <c r="M606" i="13"/>
  <c r="B607" i="13"/>
  <c r="D607" i="13"/>
  <c r="F607" i="13" s="1"/>
  <c r="E607" i="13"/>
  <c r="G607" i="13"/>
  <c r="J607" i="13"/>
  <c r="K607" i="13"/>
  <c r="L607" i="13"/>
  <c r="B608" i="13"/>
  <c r="C608" i="13" s="1"/>
  <c r="D608" i="13"/>
  <c r="F608" i="13" s="1"/>
  <c r="E608" i="13"/>
  <c r="G608" i="13"/>
  <c r="H608" i="13" s="1"/>
  <c r="J608" i="13"/>
  <c r="B609" i="13"/>
  <c r="D609" i="13"/>
  <c r="E609" i="13"/>
  <c r="F609" i="13"/>
  <c r="G609" i="13"/>
  <c r="H609" i="13" s="1"/>
  <c r="J609" i="13"/>
  <c r="M609" i="13"/>
  <c r="B610" i="13"/>
  <c r="J610" i="13" s="1"/>
  <c r="D610" i="13"/>
  <c r="F610" i="13" s="1"/>
  <c r="E610" i="13"/>
  <c r="G610" i="13"/>
  <c r="H610" i="13" s="1"/>
  <c r="L610" i="13"/>
  <c r="M610" i="13"/>
  <c r="B611" i="13"/>
  <c r="C611" i="13"/>
  <c r="D611" i="13"/>
  <c r="F611" i="13" s="1"/>
  <c r="E611" i="13"/>
  <c r="G611" i="13"/>
  <c r="I611" i="13"/>
  <c r="J611" i="13"/>
  <c r="K611" i="13"/>
  <c r="L611" i="13"/>
  <c r="M611" i="13"/>
  <c r="B612" i="13"/>
  <c r="D612" i="13"/>
  <c r="F612" i="13" s="1"/>
  <c r="E612" i="13"/>
  <c r="G612" i="13"/>
  <c r="H612" i="13" s="1"/>
  <c r="B613" i="13"/>
  <c r="C613" i="13" s="1"/>
  <c r="D613" i="13"/>
  <c r="E613" i="13"/>
  <c r="F613" i="13"/>
  <c r="G613" i="13"/>
  <c r="I613" i="13"/>
  <c r="J613" i="13"/>
  <c r="M613" i="13"/>
  <c r="B614" i="13"/>
  <c r="C614" i="13" s="1"/>
  <c r="D614" i="13"/>
  <c r="E614" i="13"/>
  <c r="G614" i="13"/>
  <c r="I614" i="13"/>
  <c r="J614" i="13"/>
  <c r="L614" i="13"/>
  <c r="M614" i="13"/>
  <c r="B615" i="13"/>
  <c r="K615" i="13" s="1"/>
  <c r="D615" i="13"/>
  <c r="F615" i="13" s="1"/>
  <c r="E615" i="13"/>
  <c r="G615" i="13"/>
  <c r="J615" i="13"/>
  <c r="L615" i="13"/>
  <c r="M615" i="13"/>
  <c r="B616" i="13"/>
  <c r="D616" i="13"/>
  <c r="E616" i="13"/>
  <c r="F616" i="13"/>
  <c r="G616" i="13"/>
  <c r="H616" i="13" s="1"/>
  <c r="B617" i="13"/>
  <c r="D617" i="13"/>
  <c r="F617" i="13" s="1"/>
  <c r="E617" i="13"/>
  <c r="G617" i="13"/>
  <c r="I617" i="13"/>
  <c r="B618" i="13"/>
  <c r="I618" i="13" s="1"/>
  <c r="D618" i="13"/>
  <c r="F618" i="13" s="1"/>
  <c r="E618" i="13"/>
  <c r="G618" i="13"/>
  <c r="H618" i="13"/>
  <c r="J618" i="13"/>
  <c r="M618" i="13"/>
  <c r="B619" i="13"/>
  <c r="J619" i="13" s="1"/>
  <c r="D619" i="13"/>
  <c r="F619" i="13" s="1"/>
  <c r="E619" i="13"/>
  <c r="G619" i="13"/>
  <c r="K619" i="13"/>
  <c r="L619" i="13"/>
  <c r="M619" i="13"/>
  <c r="B620" i="13"/>
  <c r="D620" i="13"/>
  <c r="F620" i="13" s="1"/>
  <c r="E620" i="13"/>
  <c r="G620" i="13"/>
  <c r="J620" i="13"/>
  <c r="B621" i="13"/>
  <c r="D621" i="13"/>
  <c r="E621" i="13"/>
  <c r="F621" i="13"/>
  <c r="G621" i="13"/>
  <c r="H621" i="13" s="1"/>
  <c r="B622" i="13"/>
  <c r="D622" i="13"/>
  <c r="F622" i="13" s="1"/>
  <c r="E622" i="13"/>
  <c r="G622" i="13"/>
  <c r="H622" i="13"/>
  <c r="B623" i="13"/>
  <c r="D623" i="13"/>
  <c r="F623" i="13" s="1"/>
  <c r="E623" i="13"/>
  <c r="G623" i="13"/>
  <c r="J623" i="13"/>
  <c r="B624" i="13"/>
  <c r="D624" i="13"/>
  <c r="F624" i="13" s="1"/>
  <c r="E624" i="13"/>
  <c r="G624" i="13"/>
  <c r="J624" i="13"/>
  <c r="B625" i="13"/>
  <c r="D625" i="13"/>
  <c r="E625" i="13"/>
  <c r="F625" i="13"/>
  <c r="G625" i="13"/>
  <c r="H625" i="13" s="1"/>
  <c r="B626" i="13"/>
  <c r="D626" i="13"/>
  <c r="F626" i="13" s="1"/>
  <c r="E626" i="13"/>
  <c r="G626" i="13"/>
  <c r="H626" i="13" s="1"/>
  <c r="J626" i="13"/>
  <c r="L626" i="13"/>
  <c r="M626" i="13"/>
  <c r="B627" i="13"/>
  <c r="C627" i="13"/>
  <c r="D627" i="13"/>
  <c r="F627" i="13" s="1"/>
  <c r="E627" i="13"/>
  <c r="G627" i="13"/>
  <c r="I627" i="13"/>
  <c r="J627" i="13"/>
  <c r="K627" i="13"/>
  <c r="L627" i="13"/>
  <c r="M627" i="13"/>
  <c r="B628" i="13"/>
  <c r="J628" i="13" s="1"/>
  <c r="D628" i="13"/>
  <c r="E628" i="13"/>
  <c r="F628" i="13"/>
  <c r="G628" i="13"/>
  <c r="H628" i="13" s="1"/>
  <c r="B629" i="13"/>
  <c r="C629" i="13" s="1"/>
  <c r="D629" i="13"/>
  <c r="F629" i="13" s="1"/>
  <c r="E629" i="13"/>
  <c r="G629" i="13"/>
  <c r="I629" i="13"/>
  <c r="J629" i="13"/>
  <c r="M629" i="13"/>
  <c r="B630" i="13"/>
  <c r="C630" i="13" s="1"/>
  <c r="D630" i="13"/>
  <c r="F630" i="13" s="1"/>
  <c r="E630" i="13"/>
  <c r="G630" i="13"/>
  <c r="I630" i="13"/>
  <c r="J630" i="13"/>
  <c r="L630" i="13"/>
  <c r="M630" i="13"/>
  <c r="B631" i="13"/>
  <c r="C631" i="13"/>
  <c r="D631" i="13"/>
  <c r="F631" i="13" s="1"/>
  <c r="E631" i="13"/>
  <c r="G631" i="13"/>
  <c r="I631" i="13"/>
  <c r="J631" i="13"/>
  <c r="K631" i="13"/>
  <c r="L631" i="13"/>
  <c r="M631" i="13"/>
  <c r="B632" i="13"/>
  <c r="K632" i="13" s="1"/>
  <c r="D632" i="13"/>
  <c r="E632" i="13"/>
  <c r="F632" i="13"/>
  <c r="G632" i="13"/>
  <c r="B633" i="13"/>
  <c r="I633" i="13" s="1"/>
  <c r="D633" i="13"/>
  <c r="E633" i="13"/>
  <c r="F633" i="13"/>
  <c r="G633" i="13"/>
  <c r="H633" i="13" s="1"/>
  <c r="J633" i="13"/>
  <c r="B634" i="13"/>
  <c r="D634" i="13"/>
  <c r="F634" i="13" s="1"/>
  <c r="E634" i="13"/>
  <c r="G634" i="13"/>
  <c r="H634" i="13" s="1"/>
  <c r="K634" i="13"/>
  <c r="L634" i="13"/>
  <c r="B635" i="13"/>
  <c r="C635" i="13" s="1"/>
  <c r="D635" i="13"/>
  <c r="E635" i="13"/>
  <c r="G635" i="13"/>
  <c r="J635" i="13"/>
  <c r="L635" i="13"/>
  <c r="B636" i="13"/>
  <c r="L636" i="13" s="1"/>
  <c r="D636" i="13"/>
  <c r="F636" i="13" s="1"/>
  <c r="E636" i="13"/>
  <c r="G636" i="13"/>
  <c r="I636" i="13"/>
  <c r="J636" i="13"/>
  <c r="K636" i="13"/>
  <c r="B637" i="13"/>
  <c r="D637" i="13"/>
  <c r="F637" i="13" s="1"/>
  <c r="E637" i="13"/>
  <c r="G637" i="13"/>
  <c r="H637" i="13"/>
  <c r="B638" i="13"/>
  <c r="C638" i="13"/>
  <c r="D638" i="13"/>
  <c r="F638" i="13" s="1"/>
  <c r="E638" i="13"/>
  <c r="G638" i="13"/>
  <c r="I638" i="13"/>
  <c r="J638" i="13"/>
  <c r="K638" i="13"/>
  <c r="L638" i="13"/>
  <c r="M638" i="13"/>
  <c r="B639" i="13"/>
  <c r="D639" i="13"/>
  <c r="F639" i="13" s="1"/>
  <c r="E639" i="13"/>
  <c r="G639" i="13"/>
  <c r="H639" i="13"/>
  <c r="B640" i="13"/>
  <c r="C640" i="13" s="1"/>
  <c r="D640" i="13"/>
  <c r="E640" i="13"/>
  <c r="F640" i="13"/>
  <c r="G640" i="13"/>
  <c r="B641" i="13"/>
  <c r="I641" i="13" s="1"/>
  <c r="D641" i="13"/>
  <c r="E641" i="13"/>
  <c r="F641" i="13"/>
  <c r="G641" i="13"/>
  <c r="H641" i="13" s="1"/>
  <c r="J641" i="13"/>
  <c r="B642" i="13"/>
  <c r="D642" i="13"/>
  <c r="F642" i="13" s="1"/>
  <c r="E642" i="13"/>
  <c r="G642" i="13"/>
  <c r="H642" i="13" s="1"/>
  <c r="K642" i="13"/>
  <c r="L642" i="13"/>
  <c r="B643" i="13"/>
  <c r="C643" i="13" s="1"/>
  <c r="D643" i="13"/>
  <c r="E643" i="13"/>
  <c r="G643" i="13"/>
  <c r="J643" i="13"/>
  <c r="L643" i="13"/>
  <c r="B644" i="13"/>
  <c r="L644" i="13" s="1"/>
  <c r="D644" i="13"/>
  <c r="F644" i="13" s="1"/>
  <c r="E644" i="13"/>
  <c r="G644" i="13"/>
  <c r="I644" i="13"/>
  <c r="J644" i="13"/>
  <c r="K644" i="13"/>
  <c r="B645" i="13"/>
  <c r="D645" i="13"/>
  <c r="F645" i="13" s="1"/>
  <c r="E645" i="13"/>
  <c r="G645" i="13"/>
  <c r="B646" i="13"/>
  <c r="C646" i="13"/>
  <c r="D646" i="13"/>
  <c r="F646" i="13" s="1"/>
  <c r="E646" i="13"/>
  <c r="G646" i="13"/>
  <c r="I646" i="13"/>
  <c r="J646" i="13"/>
  <c r="K646" i="13"/>
  <c r="L646" i="13"/>
  <c r="M646" i="13"/>
  <c r="B647" i="13"/>
  <c r="D647" i="13"/>
  <c r="F647" i="13" s="1"/>
  <c r="E647" i="13"/>
  <c r="G647" i="13"/>
  <c r="H647" i="13"/>
  <c r="B648" i="13"/>
  <c r="C648" i="13"/>
  <c r="D648" i="13"/>
  <c r="E648" i="13"/>
  <c r="F648" i="13"/>
  <c r="G648" i="13"/>
  <c r="K648" i="13"/>
  <c r="M648" i="13"/>
  <c r="B649" i="13"/>
  <c r="I649" i="13" s="1"/>
  <c r="D649" i="13"/>
  <c r="E649" i="13"/>
  <c r="F649" i="13"/>
  <c r="G649" i="13"/>
  <c r="H649" i="13" s="1"/>
  <c r="J649" i="13"/>
  <c r="B650" i="13"/>
  <c r="D650" i="13"/>
  <c r="F650" i="13" s="1"/>
  <c r="E650" i="13"/>
  <c r="G650" i="13"/>
  <c r="H650" i="13" s="1"/>
  <c r="K650" i="13"/>
  <c r="L650" i="13"/>
  <c r="B651" i="13"/>
  <c r="C651" i="13" s="1"/>
  <c r="D651" i="13"/>
  <c r="E651" i="13"/>
  <c r="G651" i="13"/>
  <c r="J651" i="13"/>
  <c r="L651" i="13"/>
  <c r="B652" i="13"/>
  <c r="L652" i="13" s="1"/>
  <c r="D652" i="13"/>
  <c r="F652" i="13" s="1"/>
  <c r="E652" i="13"/>
  <c r="G652" i="13"/>
  <c r="I652" i="13"/>
  <c r="J652" i="13"/>
  <c r="K652" i="13"/>
  <c r="B653" i="13"/>
  <c r="D653" i="13"/>
  <c r="F653" i="13" s="1"/>
  <c r="E653" i="13"/>
  <c r="G653" i="13"/>
  <c r="B654" i="13"/>
  <c r="C654" i="13"/>
  <c r="D654" i="13"/>
  <c r="F654" i="13" s="1"/>
  <c r="E654" i="13"/>
  <c r="G654" i="13"/>
  <c r="I654" i="13"/>
  <c r="J654" i="13"/>
  <c r="K654" i="13"/>
  <c r="L654" i="13"/>
  <c r="M654" i="13"/>
  <c r="B655" i="13"/>
  <c r="D655" i="13"/>
  <c r="F655" i="13" s="1"/>
  <c r="E655" i="13"/>
  <c r="G655" i="13"/>
  <c r="H655" i="13" s="1"/>
  <c r="B656" i="13"/>
  <c r="M656" i="13" s="1"/>
  <c r="C656" i="13"/>
  <c r="D656" i="13"/>
  <c r="E656" i="13"/>
  <c r="F656" i="13"/>
  <c r="G656" i="13"/>
  <c r="K656" i="13"/>
  <c r="B657" i="13"/>
  <c r="I657" i="13" s="1"/>
  <c r="D657" i="13"/>
  <c r="E657" i="13"/>
  <c r="F657" i="13"/>
  <c r="G657" i="13"/>
  <c r="H657" i="13" s="1"/>
  <c r="J657" i="13"/>
  <c r="B658" i="13"/>
  <c r="L658" i="13" s="1"/>
  <c r="D658" i="13"/>
  <c r="F658" i="13" s="1"/>
  <c r="E658" i="13"/>
  <c r="G658" i="13"/>
  <c r="H658" i="13" s="1"/>
  <c r="K658" i="13"/>
  <c r="B659" i="13"/>
  <c r="C659" i="13" s="1"/>
  <c r="D659" i="13"/>
  <c r="F659" i="13" s="1"/>
  <c r="E659" i="13"/>
  <c r="G659" i="13"/>
  <c r="J659" i="13"/>
  <c r="L659" i="13"/>
  <c r="B660" i="13"/>
  <c r="J660" i="13" s="1"/>
  <c r="D660" i="13"/>
  <c r="E660" i="13"/>
  <c r="F660" i="13"/>
  <c r="G660" i="13"/>
  <c r="B661" i="13"/>
  <c r="L661" i="13" s="1"/>
  <c r="D661" i="13"/>
  <c r="F661" i="13" s="1"/>
  <c r="E661" i="13"/>
  <c r="G661" i="13"/>
  <c r="J661" i="13"/>
  <c r="B662" i="13"/>
  <c r="C662" i="13" s="1"/>
  <c r="D662" i="13"/>
  <c r="F662" i="13" s="1"/>
  <c r="E662" i="13"/>
  <c r="G662" i="13"/>
  <c r="J662" i="13"/>
  <c r="K662" i="13"/>
  <c r="L662" i="13"/>
  <c r="B663" i="13"/>
  <c r="L663" i="13" s="1"/>
  <c r="D663" i="13"/>
  <c r="F663" i="13" s="1"/>
  <c r="E663" i="13"/>
  <c r="G663" i="13"/>
  <c r="H663" i="13"/>
  <c r="B664" i="13"/>
  <c r="L664" i="13" s="1"/>
  <c r="C664" i="13"/>
  <c r="D664" i="13"/>
  <c r="F664" i="13" s="1"/>
  <c r="E664" i="13"/>
  <c r="G664" i="13"/>
  <c r="I664" i="13"/>
  <c r="J664" i="13"/>
  <c r="K664" i="13"/>
  <c r="M664" i="13"/>
  <c r="B665" i="13"/>
  <c r="D665" i="13"/>
  <c r="F665" i="13" s="1"/>
  <c r="E665" i="13"/>
  <c r="G665" i="13"/>
  <c r="H665" i="13"/>
  <c r="B666" i="13"/>
  <c r="C666" i="13" s="1"/>
  <c r="D666" i="13"/>
  <c r="F666" i="13" s="1"/>
  <c r="E666" i="13"/>
  <c r="G666" i="13"/>
  <c r="J666" i="13"/>
  <c r="K666" i="13"/>
  <c r="L666" i="13"/>
  <c r="B667" i="13"/>
  <c r="L667" i="13" s="1"/>
  <c r="D667" i="13"/>
  <c r="F667" i="13" s="1"/>
  <c r="E667" i="13"/>
  <c r="G667" i="13"/>
  <c r="J667" i="13"/>
  <c r="B668" i="13"/>
  <c r="L668" i="13" s="1"/>
  <c r="C668" i="13"/>
  <c r="D668" i="13"/>
  <c r="F668" i="13" s="1"/>
  <c r="E668" i="13"/>
  <c r="G668" i="13"/>
  <c r="I668" i="13"/>
  <c r="J668" i="13"/>
  <c r="K668" i="13"/>
  <c r="M668" i="13"/>
  <c r="B669" i="13"/>
  <c r="D669" i="13"/>
  <c r="E669" i="13"/>
  <c r="F669" i="13"/>
  <c r="G669" i="13"/>
  <c r="H669" i="13" s="1"/>
  <c r="B670" i="13"/>
  <c r="J670" i="13" s="1"/>
  <c r="C670" i="13"/>
  <c r="D670" i="13"/>
  <c r="F670" i="13" s="1"/>
  <c r="E670" i="13"/>
  <c r="G670" i="13"/>
  <c r="H670" i="13"/>
  <c r="I670" i="13"/>
  <c r="L670" i="13"/>
  <c r="M670" i="13"/>
  <c r="B671" i="13"/>
  <c r="C671" i="13" s="1"/>
  <c r="D671" i="13"/>
  <c r="E671" i="13"/>
  <c r="G671" i="13"/>
  <c r="K671" i="13"/>
  <c r="B672" i="13"/>
  <c r="C672" i="13"/>
  <c r="D672" i="13"/>
  <c r="E672" i="13"/>
  <c r="F672" i="13"/>
  <c r="G672" i="13"/>
  <c r="H672" i="13" s="1"/>
  <c r="J672" i="13"/>
  <c r="K672" i="13"/>
  <c r="M672" i="13"/>
  <c r="B673" i="13"/>
  <c r="C673" i="13" s="1"/>
  <c r="D673" i="13"/>
  <c r="E673" i="13"/>
  <c r="G673" i="13"/>
  <c r="J673" i="13"/>
  <c r="L673" i="13"/>
  <c r="B674" i="13"/>
  <c r="K674" i="13" s="1"/>
  <c r="D674" i="13"/>
  <c r="F674" i="13" s="1"/>
  <c r="E674" i="13"/>
  <c r="G674" i="13"/>
  <c r="J674" i="13"/>
  <c r="B675" i="13"/>
  <c r="L675" i="13" s="1"/>
  <c r="D675" i="13"/>
  <c r="F675" i="13" s="1"/>
  <c r="E675" i="13"/>
  <c r="G675" i="13"/>
  <c r="J675" i="13"/>
  <c r="B676" i="13"/>
  <c r="L676" i="13" s="1"/>
  <c r="C676" i="13"/>
  <c r="D676" i="13"/>
  <c r="F676" i="13" s="1"/>
  <c r="E676" i="13"/>
  <c r="G676" i="13"/>
  <c r="I676" i="13"/>
  <c r="J676" i="13"/>
  <c r="K676" i="13"/>
  <c r="M676" i="13"/>
  <c r="B677" i="13"/>
  <c r="D677" i="13"/>
  <c r="F677" i="13" s="1"/>
  <c r="E677" i="13"/>
  <c r="G677" i="13"/>
  <c r="J677" i="13"/>
  <c r="B678" i="13"/>
  <c r="K678" i="13" s="1"/>
  <c r="D678" i="13"/>
  <c r="F678" i="13" s="1"/>
  <c r="E678" i="13"/>
  <c r="G678" i="13"/>
  <c r="M678" i="13"/>
  <c r="B679" i="13"/>
  <c r="L679" i="13" s="1"/>
  <c r="D679" i="13"/>
  <c r="E679" i="13"/>
  <c r="F679" i="13"/>
  <c r="G679" i="13"/>
  <c r="H679" i="13" s="1"/>
  <c r="J679" i="13"/>
  <c r="B680" i="13"/>
  <c r="J680" i="13" s="1"/>
  <c r="C680" i="13"/>
  <c r="D680" i="13"/>
  <c r="E680" i="13"/>
  <c r="F680" i="13"/>
  <c r="G680" i="13"/>
  <c r="H680" i="13" s="1"/>
  <c r="M680" i="13"/>
  <c r="B681" i="13"/>
  <c r="C681" i="13" s="1"/>
  <c r="D681" i="13"/>
  <c r="E681" i="13"/>
  <c r="G681" i="13"/>
  <c r="J681" i="13"/>
  <c r="L681" i="13"/>
  <c r="B682" i="13"/>
  <c r="D682" i="13"/>
  <c r="F682" i="13" s="1"/>
  <c r="E682" i="13"/>
  <c r="G682" i="13"/>
  <c r="J682" i="13"/>
  <c r="K682" i="13"/>
  <c r="L682" i="13"/>
  <c r="B683" i="13"/>
  <c r="L683" i="13" s="1"/>
  <c r="D683" i="13"/>
  <c r="F683" i="13" s="1"/>
  <c r="E683" i="13"/>
  <c r="G683" i="13"/>
  <c r="J683" i="13"/>
  <c r="B684" i="13"/>
  <c r="L684" i="13" s="1"/>
  <c r="C684" i="13"/>
  <c r="D684" i="13"/>
  <c r="F684" i="13" s="1"/>
  <c r="E684" i="13"/>
  <c r="G684" i="13"/>
  <c r="H684" i="13" s="1"/>
  <c r="I684" i="13"/>
  <c r="J684" i="13"/>
  <c r="K684" i="13"/>
  <c r="M684" i="13"/>
  <c r="B685" i="13"/>
  <c r="J685" i="13" s="1"/>
  <c r="D685" i="13"/>
  <c r="F685" i="13" s="1"/>
  <c r="E685" i="13"/>
  <c r="G685" i="13"/>
  <c r="H685" i="13"/>
  <c r="B686" i="13"/>
  <c r="K686" i="13" s="1"/>
  <c r="C686" i="13"/>
  <c r="D686" i="13"/>
  <c r="F686" i="13" s="1"/>
  <c r="E686" i="13"/>
  <c r="G686" i="13"/>
  <c r="I686" i="13"/>
  <c r="J686" i="13"/>
  <c r="M686" i="13"/>
  <c r="B687" i="13"/>
  <c r="L687" i="13" s="1"/>
  <c r="D687" i="13"/>
  <c r="E687" i="13"/>
  <c r="F687" i="13"/>
  <c r="G687" i="13"/>
  <c r="H687" i="13" s="1"/>
  <c r="J687" i="13"/>
  <c r="B688" i="13"/>
  <c r="C688" i="13"/>
  <c r="D688" i="13"/>
  <c r="E688" i="13"/>
  <c r="F688" i="13"/>
  <c r="G688" i="13"/>
  <c r="H688" i="13" s="1"/>
  <c r="J688" i="13"/>
  <c r="K688" i="13"/>
  <c r="M688" i="13"/>
  <c r="B689" i="13"/>
  <c r="C689" i="13" s="1"/>
  <c r="D689" i="13"/>
  <c r="E689" i="13"/>
  <c r="G689" i="13"/>
  <c r="J689" i="13"/>
  <c r="L689" i="13"/>
  <c r="B690" i="13"/>
  <c r="K690" i="13" s="1"/>
  <c r="D690" i="13"/>
  <c r="F690" i="13" s="1"/>
  <c r="E690" i="13"/>
  <c r="G690" i="13"/>
  <c r="J690" i="13"/>
  <c r="B691" i="13"/>
  <c r="L691" i="13" s="1"/>
  <c r="D691" i="13"/>
  <c r="F691" i="13" s="1"/>
  <c r="E691" i="13"/>
  <c r="G691" i="13"/>
  <c r="J691" i="13"/>
  <c r="B692" i="13"/>
  <c r="L692" i="13" s="1"/>
  <c r="C692" i="13"/>
  <c r="D692" i="13"/>
  <c r="F692" i="13" s="1"/>
  <c r="E692" i="13"/>
  <c r="G692" i="13"/>
  <c r="I692" i="13"/>
  <c r="J692" i="13"/>
  <c r="K692" i="13"/>
  <c r="M692" i="13"/>
  <c r="B693" i="13"/>
  <c r="D693" i="13"/>
  <c r="F693" i="13" s="1"/>
  <c r="E693" i="13"/>
  <c r="G693" i="13"/>
  <c r="J693" i="13"/>
  <c r="B694" i="13"/>
  <c r="K694" i="13" s="1"/>
  <c r="D694" i="13"/>
  <c r="F694" i="13" s="1"/>
  <c r="E694" i="13"/>
  <c r="G694" i="13"/>
  <c r="M694" i="13"/>
  <c r="B695" i="13"/>
  <c r="L695" i="13" s="1"/>
  <c r="D695" i="13"/>
  <c r="E695" i="13"/>
  <c r="F695" i="13"/>
  <c r="G695" i="13"/>
  <c r="H695" i="13" s="1"/>
  <c r="J695" i="13"/>
  <c r="B696" i="13"/>
  <c r="J696" i="13" s="1"/>
  <c r="C696" i="13"/>
  <c r="D696" i="13"/>
  <c r="E696" i="13"/>
  <c r="F696" i="13"/>
  <c r="G696" i="13"/>
  <c r="H696" i="13" s="1"/>
  <c r="M696" i="13"/>
  <c r="B697" i="13"/>
  <c r="C697" i="13" s="1"/>
  <c r="D697" i="13"/>
  <c r="E697" i="13"/>
  <c r="G697" i="13"/>
  <c r="J697" i="13"/>
  <c r="L697" i="13"/>
  <c r="B698" i="13"/>
  <c r="D698" i="13"/>
  <c r="F698" i="13" s="1"/>
  <c r="E698" i="13"/>
  <c r="G698" i="13"/>
  <c r="J698" i="13"/>
  <c r="K698" i="13"/>
  <c r="L698" i="13"/>
  <c r="B699" i="13"/>
  <c r="L699" i="13" s="1"/>
  <c r="D699" i="13"/>
  <c r="F699" i="13" s="1"/>
  <c r="E699" i="13"/>
  <c r="G699" i="13"/>
  <c r="J699" i="13"/>
  <c r="B700" i="13"/>
  <c r="L700" i="13" s="1"/>
  <c r="C700" i="13"/>
  <c r="D700" i="13"/>
  <c r="F700" i="13" s="1"/>
  <c r="E700" i="13"/>
  <c r="G700" i="13"/>
  <c r="H700" i="13" s="1"/>
  <c r="I700" i="13"/>
  <c r="J700" i="13"/>
  <c r="K700" i="13"/>
  <c r="M700" i="13"/>
  <c r="B701" i="13"/>
  <c r="D701" i="13"/>
  <c r="F701" i="13" s="1"/>
  <c r="E701" i="13"/>
  <c r="G701" i="13"/>
  <c r="H701" i="13"/>
  <c r="B702" i="13"/>
  <c r="K702" i="13" s="1"/>
  <c r="C702" i="13"/>
  <c r="D702" i="13"/>
  <c r="F702" i="13" s="1"/>
  <c r="E702" i="13"/>
  <c r="G702" i="13"/>
  <c r="I702" i="13"/>
  <c r="J702" i="13"/>
  <c r="M702" i="13"/>
  <c r="B703" i="13"/>
  <c r="L703" i="13" s="1"/>
  <c r="D703" i="13"/>
  <c r="E703" i="13"/>
  <c r="F703" i="13"/>
  <c r="G703" i="13"/>
  <c r="H703" i="13" s="1"/>
  <c r="J703" i="13"/>
  <c r="B704" i="13"/>
  <c r="C704" i="13"/>
  <c r="D704" i="13"/>
  <c r="E704" i="13"/>
  <c r="F704" i="13"/>
  <c r="G704" i="13"/>
  <c r="H704" i="13" s="1"/>
  <c r="J704" i="13"/>
  <c r="K704" i="13"/>
  <c r="M704" i="13"/>
  <c r="B705" i="13"/>
  <c r="C705" i="13" s="1"/>
  <c r="D705" i="13"/>
  <c r="E705" i="13"/>
  <c r="G705" i="13"/>
  <c r="J705" i="13"/>
  <c r="L705" i="13"/>
  <c r="B706" i="13"/>
  <c r="D706" i="13"/>
  <c r="F706" i="13" s="1"/>
  <c r="E706" i="13"/>
  <c r="G706" i="13"/>
  <c r="J706" i="13"/>
  <c r="B707" i="13"/>
  <c r="L707" i="13" s="1"/>
  <c r="D707" i="13"/>
  <c r="E707" i="13"/>
  <c r="G707" i="13"/>
  <c r="J707" i="13"/>
  <c r="B708" i="13"/>
  <c r="L708" i="13" s="1"/>
  <c r="C708" i="13"/>
  <c r="D708" i="13"/>
  <c r="F708" i="13" s="1"/>
  <c r="E708" i="13"/>
  <c r="G708" i="13"/>
  <c r="I708" i="13"/>
  <c r="J708" i="13"/>
  <c r="K708" i="13"/>
  <c r="M708" i="13"/>
  <c r="B709" i="13"/>
  <c r="D709" i="13"/>
  <c r="F709" i="13" s="1"/>
  <c r="E709" i="13"/>
  <c r="G709" i="13"/>
  <c r="J709" i="13"/>
  <c r="B710" i="13"/>
  <c r="D710" i="13"/>
  <c r="F710" i="13" s="1"/>
  <c r="E710" i="13"/>
  <c r="G710" i="13"/>
  <c r="M710" i="13"/>
  <c r="B711" i="13"/>
  <c r="L711" i="13" s="1"/>
  <c r="D711" i="13"/>
  <c r="E711" i="13"/>
  <c r="F711" i="13"/>
  <c r="G711" i="13"/>
  <c r="H711" i="13" s="1"/>
  <c r="J711" i="13"/>
  <c r="B712" i="13"/>
  <c r="J712" i="13" s="1"/>
  <c r="C712" i="13"/>
  <c r="D712" i="13"/>
  <c r="E712" i="13"/>
  <c r="F712" i="13"/>
  <c r="G712" i="13"/>
  <c r="H712" i="13" s="1"/>
  <c r="M712" i="13"/>
  <c r="B713" i="13"/>
  <c r="C713" i="13" s="1"/>
  <c r="D713" i="13"/>
  <c r="E713" i="13"/>
  <c r="G713" i="13"/>
  <c r="J713" i="13"/>
  <c r="L713" i="13"/>
  <c r="B714" i="13"/>
  <c r="D714" i="13"/>
  <c r="F714" i="13" s="1"/>
  <c r="E714" i="13"/>
  <c r="G714" i="13"/>
  <c r="J714" i="13"/>
  <c r="K714" i="13"/>
  <c r="L714" i="13"/>
  <c r="B715" i="13"/>
  <c r="L715" i="13" s="1"/>
  <c r="D715" i="13"/>
  <c r="F715" i="13" s="1"/>
  <c r="E715" i="13"/>
  <c r="G715" i="13"/>
  <c r="J715" i="13"/>
  <c r="B716" i="13"/>
  <c r="L716" i="13" s="1"/>
  <c r="C716" i="13"/>
  <c r="D716" i="13"/>
  <c r="F716" i="13" s="1"/>
  <c r="E716" i="13"/>
  <c r="G716" i="13"/>
  <c r="H716" i="13" s="1"/>
  <c r="I716" i="13"/>
  <c r="J716" i="13"/>
  <c r="K716" i="13"/>
  <c r="M716" i="13"/>
  <c r="B717" i="13"/>
  <c r="D717" i="13"/>
  <c r="F717" i="13" s="1"/>
  <c r="E717" i="13"/>
  <c r="G717" i="13"/>
  <c r="H717" i="13"/>
  <c r="B718" i="13"/>
  <c r="K718" i="13" s="1"/>
  <c r="C718" i="13"/>
  <c r="D718" i="13"/>
  <c r="F718" i="13" s="1"/>
  <c r="E718" i="13"/>
  <c r="G718" i="13"/>
  <c r="I718" i="13"/>
  <c r="J718" i="13"/>
  <c r="M718" i="13"/>
  <c r="B719" i="13"/>
  <c r="L719" i="13" s="1"/>
  <c r="D719" i="13"/>
  <c r="E719" i="13"/>
  <c r="F719" i="13"/>
  <c r="G719" i="13"/>
  <c r="H719" i="13" s="1"/>
  <c r="J719" i="13"/>
  <c r="B720" i="13"/>
  <c r="C720" i="13"/>
  <c r="D720" i="13"/>
  <c r="E720" i="13"/>
  <c r="F720" i="13"/>
  <c r="G720" i="13"/>
  <c r="H720" i="13" s="1"/>
  <c r="J720" i="13"/>
  <c r="K720" i="13"/>
  <c r="M720" i="13"/>
  <c r="B721" i="13"/>
  <c r="C721" i="13" s="1"/>
  <c r="D721" i="13"/>
  <c r="E721" i="13"/>
  <c r="G721" i="13"/>
  <c r="J721" i="13"/>
  <c r="L721" i="13"/>
  <c r="B722" i="13"/>
  <c r="D722" i="13"/>
  <c r="F722" i="13" s="1"/>
  <c r="E722" i="13"/>
  <c r="G722" i="13"/>
  <c r="J722" i="13"/>
  <c r="B723" i="13"/>
  <c r="L723" i="13" s="1"/>
  <c r="D723" i="13"/>
  <c r="E723" i="13"/>
  <c r="G723" i="13"/>
  <c r="J723" i="13"/>
  <c r="B724" i="13"/>
  <c r="L724" i="13" s="1"/>
  <c r="C724" i="13"/>
  <c r="D724" i="13"/>
  <c r="F724" i="13" s="1"/>
  <c r="E724" i="13"/>
  <c r="G724" i="13"/>
  <c r="I724" i="13"/>
  <c r="J724" i="13"/>
  <c r="K724" i="13"/>
  <c r="M724" i="13"/>
  <c r="B725" i="13"/>
  <c r="D725" i="13"/>
  <c r="F725" i="13" s="1"/>
  <c r="E725" i="13"/>
  <c r="G725" i="13"/>
  <c r="J725" i="13"/>
  <c r="B726" i="13"/>
  <c r="D726" i="13"/>
  <c r="F726" i="13" s="1"/>
  <c r="E726" i="13"/>
  <c r="G726" i="13"/>
  <c r="M726" i="13"/>
  <c r="B727" i="13"/>
  <c r="J727" i="13" s="1"/>
  <c r="D727" i="13"/>
  <c r="E727" i="13"/>
  <c r="F727" i="13"/>
  <c r="G727" i="13"/>
  <c r="H727" i="13" s="1"/>
  <c r="B728" i="13"/>
  <c r="K728" i="13" s="1"/>
  <c r="C728" i="13"/>
  <c r="D728" i="13"/>
  <c r="F728" i="13" s="1"/>
  <c r="E728" i="13"/>
  <c r="G728" i="13"/>
  <c r="I728" i="13"/>
  <c r="M728" i="13"/>
  <c r="B729" i="13"/>
  <c r="C729" i="13" s="1"/>
  <c r="D729" i="13"/>
  <c r="F729" i="13" s="1"/>
  <c r="E729" i="13"/>
  <c r="G729" i="13"/>
  <c r="J729" i="13"/>
  <c r="L729" i="13"/>
  <c r="B730" i="13"/>
  <c r="C730" i="13"/>
  <c r="D730" i="13"/>
  <c r="F730" i="13" s="1"/>
  <c r="E730" i="13"/>
  <c r="G730" i="13"/>
  <c r="I730" i="13"/>
  <c r="J730" i="13"/>
  <c r="K730" i="13"/>
  <c r="L730" i="13"/>
  <c r="M730" i="13"/>
  <c r="B731" i="13"/>
  <c r="J731" i="13" s="1"/>
  <c r="D731" i="13"/>
  <c r="F731" i="13" s="1"/>
  <c r="E731" i="13"/>
  <c r="G731" i="13"/>
  <c r="H731" i="13"/>
  <c r="B732" i="13"/>
  <c r="L732" i="13" s="1"/>
  <c r="C732" i="13"/>
  <c r="D732" i="13"/>
  <c r="F732" i="13" s="1"/>
  <c r="E732" i="13"/>
  <c r="G732" i="13"/>
  <c r="I732" i="13"/>
  <c r="J732" i="13"/>
  <c r="K732" i="13"/>
  <c r="M732" i="13"/>
  <c r="B733" i="13"/>
  <c r="C733" i="13" s="1"/>
  <c r="D733" i="13"/>
  <c r="F733" i="13" s="1"/>
  <c r="E733" i="13"/>
  <c r="G733" i="13"/>
  <c r="J733" i="13"/>
  <c r="L733" i="13"/>
  <c r="B734" i="13"/>
  <c r="C734" i="13"/>
  <c r="D734" i="13"/>
  <c r="F734" i="13" s="1"/>
  <c r="E734" i="13"/>
  <c r="G734" i="13"/>
  <c r="I734" i="13"/>
  <c r="J734" i="13"/>
  <c r="K734" i="13"/>
  <c r="L734" i="13"/>
  <c r="M734" i="13"/>
  <c r="B735" i="13"/>
  <c r="J735" i="13" s="1"/>
  <c r="D735" i="13"/>
  <c r="F735" i="13" s="1"/>
  <c r="E735" i="13"/>
  <c r="G735" i="13"/>
  <c r="B736" i="13"/>
  <c r="L736" i="13" s="1"/>
  <c r="C736" i="13"/>
  <c r="D736" i="13"/>
  <c r="F736" i="13" s="1"/>
  <c r="E736" i="13"/>
  <c r="G736" i="13"/>
  <c r="I736" i="13"/>
  <c r="K736" i="13"/>
  <c r="M736" i="13"/>
  <c r="B737" i="13"/>
  <c r="D737" i="13"/>
  <c r="F737" i="13" s="1"/>
  <c r="E737" i="13"/>
  <c r="G737" i="13"/>
  <c r="H737" i="13"/>
  <c r="B738" i="13"/>
  <c r="K738" i="13" s="1"/>
  <c r="C738" i="13"/>
  <c r="D738" i="13"/>
  <c r="F738" i="13" s="1"/>
  <c r="E738" i="13"/>
  <c r="G738" i="13"/>
  <c r="I738" i="13"/>
  <c r="L738" i="13"/>
  <c r="M738" i="13"/>
  <c r="B739" i="13"/>
  <c r="D739" i="13"/>
  <c r="F739" i="13" s="1"/>
  <c r="E739" i="13"/>
  <c r="G739" i="13"/>
  <c r="J739" i="13"/>
  <c r="B740" i="13"/>
  <c r="L740" i="13" s="1"/>
  <c r="C740" i="13"/>
  <c r="D740" i="13"/>
  <c r="E740" i="13"/>
  <c r="F740" i="13"/>
  <c r="G740" i="13"/>
  <c r="K740" i="13"/>
  <c r="M740" i="13"/>
  <c r="B741" i="13"/>
  <c r="D741" i="13"/>
  <c r="E741" i="13"/>
  <c r="F741" i="13"/>
  <c r="G741" i="13"/>
  <c r="H741" i="13"/>
  <c r="J741" i="13"/>
  <c r="L741" i="13"/>
  <c r="B742" i="13"/>
  <c r="C742" i="13"/>
  <c r="D742" i="13"/>
  <c r="F742" i="13" s="1"/>
  <c r="E742" i="13"/>
  <c r="G742" i="13"/>
  <c r="I742" i="13"/>
  <c r="J742" i="13"/>
  <c r="K742" i="13"/>
  <c r="L742" i="13"/>
  <c r="M742" i="13"/>
  <c r="B743" i="13"/>
  <c r="J743" i="13" s="1"/>
  <c r="D743" i="13"/>
  <c r="F743" i="13" s="1"/>
  <c r="E743" i="13"/>
  <c r="G743" i="13"/>
  <c r="B744" i="13"/>
  <c r="L744" i="13" s="1"/>
  <c r="C744" i="13"/>
  <c r="D744" i="13"/>
  <c r="F744" i="13" s="1"/>
  <c r="E744" i="13"/>
  <c r="G744" i="13"/>
  <c r="I744" i="13"/>
  <c r="J744" i="13"/>
  <c r="K744" i="13"/>
  <c r="M744" i="13"/>
  <c r="B745" i="13"/>
  <c r="J745" i="13" s="1"/>
  <c r="D745" i="13"/>
  <c r="E745" i="13"/>
  <c r="G745" i="13"/>
  <c r="B746" i="13"/>
  <c r="D746" i="13"/>
  <c r="F746" i="13" s="1"/>
  <c r="E746" i="13"/>
  <c r="G746" i="13"/>
  <c r="L746" i="13"/>
  <c r="B747" i="13"/>
  <c r="D747" i="13"/>
  <c r="F747" i="13" s="1"/>
  <c r="E747" i="13"/>
  <c r="G747" i="13"/>
  <c r="J747" i="13"/>
  <c r="B748" i="13"/>
  <c r="D748" i="13"/>
  <c r="E748" i="13"/>
  <c r="F748" i="13"/>
  <c r="G748" i="13"/>
  <c r="K748" i="13"/>
  <c r="B749" i="13"/>
  <c r="M749" i="13" s="1"/>
  <c r="D749" i="13"/>
  <c r="F749" i="13" s="1"/>
  <c r="E749" i="13"/>
  <c r="G749" i="13"/>
  <c r="I749" i="13"/>
  <c r="L749" i="13"/>
  <c r="B750" i="13"/>
  <c r="K750" i="13" s="1"/>
  <c r="C750" i="13"/>
  <c r="D750" i="13"/>
  <c r="F750" i="13" s="1"/>
  <c r="E750" i="13"/>
  <c r="G750" i="13"/>
  <c r="I750" i="13"/>
  <c r="J750" i="13"/>
  <c r="L750" i="13"/>
  <c r="M750" i="13"/>
  <c r="B751" i="13"/>
  <c r="D751" i="13"/>
  <c r="E751" i="13"/>
  <c r="F751" i="13"/>
  <c r="G751" i="13"/>
  <c r="H751" i="13" s="1"/>
  <c r="B752" i="13"/>
  <c r="L752" i="13" s="1"/>
  <c r="C752" i="13"/>
  <c r="D752" i="13"/>
  <c r="E752" i="13"/>
  <c r="F752" i="13"/>
  <c r="G752" i="13"/>
  <c r="H752" i="13" s="1"/>
  <c r="B753" i="13"/>
  <c r="I753" i="13" s="1"/>
  <c r="C753" i="13"/>
  <c r="D753" i="13"/>
  <c r="F753" i="13" s="1"/>
  <c r="E753" i="13"/>
  <c r="G753" i="13"/>
  <c r="H753" i="13"/>
  <c r="L753" i="13"/>
  <c r="B754" i="13"/>
  <c r="D754" i="13"/>
  <c r="E754" i="13"/>
  <c r="F754" i="13"/>
  <c r="G754" i="13"/>
  <c r="B755" i="13"/>
  <c r="D755" i="13"/>
  <c r="E755" i="13"/>
  <c r="F755" i="13"/>
  <c r="G755" i="13"/>
  <c r="H755" i="13" s="1"/>
  <c r="B756" i="13"/>
  <c r="J756" i="13" s="1"/>
  <c r="C756" i="13"/>
  <c r="D756" i="13"/>
  <c r="F756" i="13" s="1"/>
  <c r="E756" i="13"/>
  <c r="G756" i="13"/>
  <c r="H756" i="13"/>
  <c r="K756" i="13"/>
  <c r="L756" i="13"/>
  <c r="B757" i="13"/>
  <c r="I757" i="13" s="1"/>
  <c r="C757" i="13"/>
  <c r="D757" i="13"/>
  <c r="E757" i="13"/>
  <c r="G757" i="13"/>
  <c r="J757" i="13"/>
  <c r="L757" i="13"/>
  <c r="B758" i="13"/>
  <c r="L758" i="13" s="1"/>
  <c r="C758" i="13"/>
  <c r="D758" i="13"/>
  <c r="E758" i="13"/>
  <c r="F758" i="13"/>
  <c r="G758" i="13"/>
  <c r="B759" i="13"/>
  <c r="I759" i="13" s="1"/>
  <c r="D759" i="13"/>
  <c r="F759" i="13" s="1"/>
  <c r="E759" i="13"/>
  <c r="G759" i="13"/>
  <c r="H759" i="13"/>
  <c r="B760" i="13"/>
  <c r="J760" i="13" s="1"/>
  <c r="C760" i="13"/>
  <c r="D760" i="13"/>
  <c r="E760" i="13"/>
  <c r="G760" i="13"/>
  <c r="I760" i="13"/>
  <c r="K760" i="13"/>
  <c r="L760" i="13"/>
  <c r="M760" i="13"/>
  <c r="B761" i="13"/>
  <c r="I761" i="13" s="1"/>
  <c r="C761" i="13"/>
  <c r="D761" i="13"/>
  <c r="F761" i="13" s="1"/>
  <c r="E761" i="13"/>
  <c r="G761" i="13"/>
  <c r="J761" i="13"/>
  <c r="K761" i="13"/>
  <c r="L761" i="13"/>
  <c r="B762" i="13"/>
  <c r="L762" i="13" s="1"/>
  <c r="C762" i="13"/>
  <c r="D762" i="13"/>
  <c r="F762" i="13" s="1"/>
  <c r="E762" i="13"/>
  <c r="G762" i="13"/>
  <c r="J762" i="13"/>
  <c r="B763" i="13"/>
  <c r="I763" i="13" s="1"/>
  <c r="D763" i="13"/>
  <c r="F763" i="13" s="1"/>
  <c r="E763" i="13"/>
  <c r="G763" i="13"/>
  <c r="H763" i="13"/>
  <c r="J763" i="13"/>
  <c r="B764" i="13"/>
  <c r="C764" i="13"/>
  <c r="D764" i="13"/>
  <c r="F764" i="13" s="1"/>
  <c r="E764" i="13"/>
  <c r="G764" i="13"/>
  <c r="I764" i="13"/>
  <c r="J764" i="13"/>
  <c r="K764" i="13"/>
  <c r="L764" i="13"/>
  <c r="M764" i="13"/>
  <c r="B765" i="13"/>
  <c r="D765" i="13"/>
  <c r="F765" i="13" s="1"/>
  <c r="E765" i="13"/>
  <c r="G765" i="13"/>
  <c r="L765" i="13"/>
  <c r="B766" i="13"/>
  <c r="L766" i="13" s="1"/>
  <c r="C766" i="13"/>
  <c r="D766" i="13"/>
  <c r="F766" i="13" s="1"/>
  <c r="E766" i="13"/>
  <c r="G766" i="13"/>
  <c r="J766" i="13"/>
  <c r="K766" i="13"/>
  <c r="B767" i="13"/>
  <c r="I767" i="13" s="1"/>
  <c r="D767" i="13"/>
  <c r="E767" i="13"/>
  <c r="F767" i="13"/>
  <c r="G767" i="13"/>
  <c r="H767" i="13"/>
  <c r="J767" i="13"/>
  <c r="B768" i="13"/>
  <c r="D768" i="13"/>
  <c r="F768" i="13" s="1"/>
  <c r="E768" i="13"/>
  <c r="G768" i="13"/>
  <c r="K768" i="13"/>
  <c r="B769" i="13"/>
  <c r="I769" i="13" s="1"/>
  <c r="C769" i="13"/>
  <c r="D769" i="13"/>
  <c r="F769" i="13" s="1"/>
  <c r="E769" i="13"/>
  <c r="G769" i="13"/>
  <c r="H769" i="13"/>
  <c r="L769" i="13"/>
  <c r="B770" i="13"/>
  <c r="D770" i="13"/>
  <c r="E770" i="13"/>
  <c r="F770" i="13"/>
  <c r="G770" i="13"/>
  <c r="B771" i="13"/>
  <c r="D771" i="13"/>
  <c r="E771" i="13"/>
  <c r="F771" i="13"/>
  <c r="G771" i="13"/>
  <c r="H771" i="13" s="1"/>
  <c r="B772" i="13"/>
  <c r="J772" i="13" s="1"/>
  <c r="C772" i="13"/>
  <c r="D772" i="13"/>
  <c r="F772" i="13" s="1"/>
  <c r="E772" i="13"/>
  <c r="G772" i="13"/>
  <c r="H772" i="13"/>
  <c r="K772" i="13"/>
  <c r="L772" i="13"/>
  <c r="B773" i="13"/>
  <c r="I773" i="13" s="1"/>
  <c r="C773" i="13"/>
  <c r="D773" i="13"/>
  <c r="E773" i="13"/>
  <c r="G773" i="13"/>
  <c r="J773" i="13"/>
  <c r="L773" i="13"/>
  <c r="B774" i="13"/>
  <c r="L774" i="13" s="1"/>
  <c r="C774" i="13"/>
  <c r="D774" i="13"/>
  <c r="E774" i="13"/>
  <c r="F774" i="13"/>
  <c r="G774" i="13"/>
  <c r="B775" i="13"/>
  <c r="I775" i="13" s="1"/>
  <c r="D775" i="13"/>
  <c r="F775" i="13" s="1"/>
  <c r="E775" i="13"/>
  <c r="G775" i="13"/>
  <c r="B776" i="13"/>
  <c r="J776" i="13" s="1"/>
  <c r="C776" i="13"/>
  <c r="D776" i="13"/>
  <c r="F776" i="13" s="1"/>
  <c r="E776" i="13"/>
  <c r="G776" i="13"/>
  <c r="H776" i="13"/>
  <c r="I776" i="13"/>
  <c r="K776" i="13"/>
  <c r="L776" i="13"/>
  <c r="M776" i="13"/>
  <c r="B777" i="13"/>
  <c r="I777" i="13" s="1"/>
  <c r="C777" i="13"/>
  <c r="D777" i="13"/>
  <c r="E777" i="13"/>
  <c r="G777" i="13"/>
  <c r="J777" i="13"/>
  <c r="K777" i="13"/>
  <c r="L777" i="13"/>
  <c r="B778" i="13"/>
  <c r="L778" i="13" s="1"/>
  <c r="C778" i="13"/>
  <c r="D778" i="13"/>
  <c r="F778" i="13" s="1"/>
  <c r="E778" i="13"/>
  <c r="G778" i="13"/>
  <c r="J778" i="13"/>
  <c r="B779" i="13"/>
  <c r="I779" i="13" s="1"/>
  <c r="D779" i="13"/>
  <c r="F779" i="13" s="1"/>
  <c r="E779" i="13"/>
  <c r="G779" i="13"/>
  <c r="H779" i="13"/>
  <c r="J779" i="13"/>
  <c r="B780" i="13"/>
  <c r="C780" i="13"/>
  <c r="D780" i="13"/>
  <c r="E780" i="13"/>
  <c r="G780" i="13"/>
  <c r="I780" i="13"/>
  <c r="J780" i="13"/>
  <c r="K780" i="13"/>
  <c r="L780" i="13"/>
  <c r="M780" i="13"/>
  <c r="B781" i="13"/>
  <c r="L781" i="13" s="1"/>
  <c r="D781" i="13"/>
  <c r="F781" i="13" s="1"/>
  <c r="E781" i="13"/>
  <c r="G781" i="13"/>
  <c r="K781" i="13"/>
  <c r="B782" i="13"/>
  <c r="L782" i="13" s="1"/>
  <c r="C782" i="13"/>
  <c r="D782" i="13"/>
  <c r="F782" i="13" s="1"/>
  <c r="E782" i="13"/>
  <c r="G782" i="13"/>
  <c r="J782" i="13"/>
  <c r="K782" i="13"/>
  <c r="B783" i="13"/>
  <c r="I783" i="13" s="1"/>
  <c r="D783" i="13"/>
  <c r="E783" i="13"/>
  <c r="F783" i="13"/>
  <c r="G783" i="13"/>
  <c r="H783" i="13"/>
  <c r="J783" i="13"/>
  <c r="B784" i="13"/>
  <c r="K784" i="13" s="1"/>
  <c r="D784" i="13"/>
  <c r="F784" i="13" s="1"/>
  <c r="E784" i="13"/>
  <c r="G784" i="13"/>
  <c r="J784" i="13"/>
  <c r="B785" i="13"/>
  <c r="C785" i="13"/>
  <c r="D785" i="13"/>
  <c r="F785" i="13" s="1"/>
  <c r="E785" i="13"/>
  <c r="G785" i="13"/>
  <c r="H785" i="13"/>
  <c r="L785" i="13"/>
  <c r="B786" i="13"/>
  <c r="K786" i="13" s="1"/>
  <c r="D786" i="13"/>
  <c r="E786" i="13"/>
  <c r="F786" i="13"/>
  <c r="G786" i="13"/>
  <c r="B787" i="13"/>
  <c r="D787" i="13"/>
  <c r="E787" i="13"/>
  <c r="F787" i="13"/>
  <c r="G787" i="13"/>
  <c r="H787" i="13" s="1"/>
  <c r="B788" i="13"/>
  <c r="C788" i="13" s="1"/>
  <c r="D788" i="13"/>
  <c r="F788" i="13" s="1"/>
  <c r="E788" i="13"/>
  <c r="G788" i="13"/>
  <c r="H788" i="13" s="1"/>
  <c r="B789" i="13"/>
  <c r="I789" i="13" s="1"/>
  <c r="C789" i="13"/>
  <c r="D789" i="13"/>
  <c r="F789" i="13" s="1"/>
  <c r="E789" i="13"/>
  <c r="G789" i="13"/>
  <c r="H789" i="13"/>
  <c r="J789" i="13"/>
  <c r="L789" i="13"/>
  <c r="B790" i="13"/>
  <c r="C790" i="13" s="1"/>
  <c r="D790" i="13"/>
  <c r="E790" i="13"/>
  <c r="F790" i="13"/>
  <c r="G790" i="13"/>
  <c r="B791" i="13"/>
  <c r="D791" i="13"/>
  <c r="F791" i="13" s="1"/>
  <c r="E791" i="13"/>
  <c r="G791" i="13"/>
  <c r="B792" i="13"/>
  <c r="J792" i="13" s="1"/>
  <c r="C792" i="13"/>
  <c r="D792" i="13"/>
  <c r="F792" i="13" s="1"/>
  <c r="E792" i="13"/>
  <c r="G792" i="13"/>
  <c r="H792" i="13"/>
  <c r="I792" i="13"/>
  <c r="K792" i="13"/>
  <c r="L792" i="13"/>
  <c r="M792" i="13"/>
  <c r="B793" i="13"/>
  <c r="I793" i="13" s="1"/>
  <c r="C793" i="13"/>
  <c r="D793" i="13"/>
  <c r="E793" i="13"/>
  <c r="G793" i="13"/>
  <c r="J793" i="13"/>
  <c r="K793" i="13"/>
  <c r="L793" i="13"/>
  <c r="B794" i="13"/>
  <c r="L794" i="13" s="1"/>
  <c r="C794" i="13"/>
  <c r="D794" i="13"/>
  <c r="F794" i="13" s="1"/>
  <c r="E794" i="13"/>
  <c r="G794" i="13"/>
  <c r="J794" i="13"/>
  <c r="B795" i="13"/>
  <c r="J795" i="13" s="1"/>
  <c r="D795" i="13"/>
  <c r="F795" i="13" s="1"/>
  <c r="E795" i="13"/>
  <c r="G795" i="13"/>
  <c r="B796" i="13"/>
  <c r="K796" i="13" s="1"/>
  <c r="D796" i="13"/>
  <c r="F796" i="13" s="1"/>
  <c r="E796" i="13"/>
  <c r="G796" i="13"/>
  <c r="J796" i="13"/>
  <c r="B797" i="13"/>
  <c r="C797" i="13"/>
  <c r="D797" i="13"/>
  <c r="F797" i="13" s="1"/>
  <c r="E797" i="13"/>
  <c r="G797" i="13"/>
  <c r="J797" i="13"/>
  <c r="B798" i="13"/>
  <c r="C798" i="13" s="1"/>
  <c r="D798" i="13"/>
  <c r="E798" i="13"/>
  <c r="F798" i="13"/>
  <c r="G798" i="13"/>
  <c r="B799" i="13"/>
  <c r="J799" i="13" s="1"/>
  <c r="D799" i="13"/>
  <c r="F799" i="13" s="1"/>
  <c r="E799" i="13"/>
  <c r="G799" i="13"/>
  <c r="B800" i="13"/>
  <c r="C800" i="13"/>
  <c r="D800" i="13"/>
  <c r="E800" i="13"/>
  <c r="G800" i="13"/>
  <c r="I800" i="13"/>
  <c r="J800" i="13"/>
  <c r="K800" i="13"/>
  <c r="L800" i="13"/>
  <c r="M800" i="13"/>
  <c r="B801" i="13"/>
  <c r="D801" i="13"/>
  <c r="F801" i="13" s="1"/>
  <c r="E801" i="13"/>
  <c r="G801" i="13"/>
  <c r="L801" i="13"/>
  <c r="B802" i="13"/>
  <c r="D802" i="13"/>
  <c r="F802" i="13" s="1"/>
  <c r="E802" i="13"/>
  <c r="G802" i="13"/>
  <c r="J802" i="13"/>
  <c r="K802" i="13"/>
  <c r="B803" i="13"/>
  <c r="J803" i="13" s="1"/>
  <c r="D803" i="13"/>
  <c r="E803" i="13"/>
  <c r="F803" i="13"/>
  <c r="G803" i="13"/>
  <c r="H803" i="13" s="1"/>
  <c r="B804" i="13"/>
  <c r="J804" i="13" s="1"/>
  <c r="C804" i="13"/>
  <c r="D804" i="13"/>
  <c r="F804" i="13" s="1"/>
  <c r="E804" i="13"/>
  <c r="G804" i="13"/>
  <c r="I804" i="13"/>
  <c r="K804" i="13"/>
  <c r="L804" i="13"/>
  <c r="M804" i="13"/>
  <c r="B805" i="13"/>
  <c r="I805" i="13" s="1"/>
  <c r="C805" i="13"/>
  <c r="D805" i="13"/>
  <c r="F805" i="13" s="1"/>
  <c r="E805" i="13"/>
  <c r="G805" i="13"/>
  <c r="J805" i="13"/>
  <c r="K805" i="13"/>
  <c r="L805" i="13"/>
  <c r="B806" i="13"/>
  <c r="L806" i="13" s="1"/>
  <c r="C806" i="13"/>
  <c r="D806" i="13"/>
  <c r="F806" i="13" s="1"/>
  <c r="E806" i="13"/>
  <c r="G806" i="13"/>
  <c r="J806" i="13"/>
  <c r="K806" i="13"/>
  <c r="B807" i="13"/>
  <c r="J807" i="13" s="1"/>
  <c r="D807" i="13"/>
  <c r="F807" i="13" s="1"/>
  <c r="E807" i="13"/>
  <c r="G807" i="13"/>
  <c r="H807" i="13"/>
  <c r="B808" i="13"/>
  <c r="C808" i="13" s="1"/>
  <c r="D808" i="13"/>
  <c r="F808" i="13" s="1"/>
  <c r="E808" i="13"/>
  <c r="G808" i="13"/>
  <c r="H808" i="13" s="1"/>
  <c r="J808" i="13"/>
  <c r="K808" i="13"/>
  <c r="L808" i="13"/>
  <c r="B809" i="13"/>
  <c r="C809" i="13"/>
  <c r="D809" i="13"/>
  <c r="F809" i="13" s="1"/>
  <c r="E809" i="13"/>
  <c r="G809" i="13"/>
  <c r="J809" i="13"/>
  <c r="K809" i="13"/>
  <c r="B810" i="13"/>
  <c r="L810" i="13" s="1"/>
  <c r="D810" i="13"/>
  <c r="F810" i="13" s="1"/>
  <c r="E810" i="13"/>
  <c r="G810" i="13"/>
  <c r="J810" i="13"/>
  <c r="K810" i="13"/>
  <c r="B811" i="13"/>
  <c r="J811" i="13" s="1"/>
  <c r="D811" i="13"/>
  <c r="E811" i="13"/>
  <c r="F811" i="13"/>
  <c r="G811" i="13"/>
  <c r="H811" i="13" s="1"/>
  <c r="B812" i="13"/>
  <c r="J812" i="13" s="1"/>
  <c r="C812" i="13"/>
  <c r="D812" i="13"/>
  <c r="F812" i="13" s="1"/>
  <c r="E812" i="13"/>
  <c r="G812" i="13"/>
  <c r="H812" i="13"/>
  <c r="I812" i="13"/>
  <c r="K812" i="13"/>
  <c r="L812" i="13"/>
  <c r="M812" i="13"/>
  <c r="B813" i="13"/>
  <c r="I813" i="13" s="1"/>
  <c r="C813" i="13"/>
  <c r="D813" i="13"/>
  <c r="F813" i="13" s="1"/>
  <c r="E813" i="13"/>
  <c r="G813" i="13"/>
  <c r="J813" i="13"/>
  <c r="K813" i="13"/>
  <c r="L813" i="13"/>
  <c r="B814" i="13"/>
  <c r="L814" i="13" s="1"/>
  <c r="C814" i="13"/>
  <c r="D814" i="13"/>
  <c r="F814" i="13" s="1"/>
  <c r="E814" i="13"/>
  <c r="G814" i="13"/>
  <c r="J814" i="13"/>
  <c r="K814" i="13"/>
  <c r="B815" i="13"/>
  <c r="D815" i="13"/>
  <c r="F815" i="13" s="1"/>
  <c r="E815" i="13"/>
  <c r="G815" i="13"/>
  <c r="H815" i="13"/>
  <c r="M815" i="13"/>
  <c r="B816" i="13"/>
  <c r="C816" i="13" s="1"/>
  <c r="D816" i="13"/>
  <c r="F816" i="13" s="1"/>
  <c r="E816" i="13"/>
  <c r="G816" i="13"/>
  <c r="J816" i="13"/>
  <c r="K816" i="13"/>
  <c r="L816" i="13"/>
  <c r="B817" i="13"/>
  <c r="I817" i="13" s="1"/>
  <c r="C817" i="13"/>
  <c r="D817" i="13"/>
  <c r="F817" i="13" s="1"/>
  <c r="E817" i="13"/>
  <c r="G817" i="13"/>
  <c r="J817" i="13"/>
  <c r="B818" i="13"/>
  <c r="J818" i="13" s="1"/>
  <c r="C818" i="13"/>
  <c r="D818" i="13"/>
  <c r="E818" i="13"/>
  <c r="F818" i="13"/>
  <c r="G818" i="13"/>
  <c r="H818" i="13" s="1"/>
  <c r="B819" i="13"/>
  <c r="I819" i="13" s="1"/>
  <c r="D819" i="13"/>
  <c r="F819" i="13" s="1"/>
  <c r="E819" i="13"/>
  <c r="G819" i="13"/>
  <c r="H819" i="13"/>
  <c r="B820" i="13"/>
  <c r="J820" i="13" s="1"/>
  <c r="C820" i="13"/>
  <c r="D820" i="13"/>
  <c r="F820" i="13" s="1"/>
  <c r="E820" i="13"/>
  <c r="G820" i="13"/>
  <c r="I820" i="13"/>
  <c r="L820" i="13"/>
  <c r="M820" i="13"/>
  <c r="B821" i="13"/>
  <c r="C821" i="13" s="1"/>
  <c r="D821" i="13"/>
  <c r="F821" i="13" s="1"/>
  <c r="E821" i="13"/>
  <c r="G821" i="13"/>
  <c r="H821" i="13" s="1"/>
  <c r="K821" i="13"/>
  <c r="B822" i="13"/>
  <c r="L822" i="13" s="1"/>
  <c r="D822" i="13"/>
  <c r="E822" i="13"/>
  <c r="F822" i="13"/>
  <c r="G822" i="13"/>
  <c r="H822" i="13" s="1"/>
  <c r="B823" i="13"/>
  <c r="I823" i="13" s="1"/>
  <c r="D823" i="13"/>
  <c r="F823" i="13" s="1"/>
  <c r="E823" i="13"/>
  <c r="G823" i="13"/>
  <c r="L823" i="13"/>
  <c r="M823" i="13"/>
  <c r="B824" i="13"/>
  <c r="C824" i="13" s="1"/>
  <c r="D824" i="13"/>
  <c r="F824" i="13" s="1"/>
  <c r="E824" i="13"/>
  <c r="G824" i="13"/>
  <c r="J824" i="13"/>
  <c r="K824" i="13"/>
  <c r="L824" i="13"/>
  <c r="B825" i="13"/>
  <c r="C825" i="13" s="1"/>
  <c r="D825" i="13"/>
  <c r="F825" i="13" s="1"/>
  <c r="E825" i="13"/>
  <c r="G825" i="13"/>
  <c r="J825" i="13"/>
  <c r="B826" i="13"/>
  <c r="L826" i="13" s="1"/>
  <c r="D826" i="13"/>
  <c r="F826" i="13" s="1"/>
  <c r="E826" i="13"/>
  <c r="G826" i="13"/>
  <c r="K826" i="13"/>
  <c r="B827" i="13"/>
  <c r="I827" i="13" s="1"/>
  <c r="D827" i="13"/>
  <c r="F827" i="13" s="1"/>
  <c r="E827" i="13"/>
  <c r="G827" i="13"/>
  <c r="H827" i="13"/>
  <c r="B828" i="13"/>
  <c r="J828" i="13" s="1"/>
  <c r="C828" i="13"/>
  <c r="D828" i="13"/>
  <c r="F828" i="13" s="1"/>
  <c r="E828" i="13"/>
  <c r="G828" i="13"/>
  <c r="I828" i="13"/>
  <c r="L828" i="13"/>
  <c r="M828" i="13"/>
  <c r="B829" i="13"/>
  <c r="C829" i="13" s="1"/>
  <c r="D829" i="13"/>
  <c r="F829" i="13" s="1"/>
  <c r="E829" i="13"/>
  <c r="G829" i="13"/>
  <c r="H829" i="13" s="1"/>
  <c r="J829" i="13"/>
  <c r="L829" i="13"/>
  <c r="M829" i="13"/>
  <c r="B830" i="13"/>
  <c r="C830" i="13"/>
  <c r="D830" i="13"/>
  <c r="F830" i="13" s="1"/>
  <c r="E830" i="13"/>
  <c r="G830" i="13"/>
  <c r="I830" i="13"/>
  <c r="J830" i="13"/>
  <c r="K830" i="13"/>
  <c r="L830" i="13"/>
  <c r="M830" i="13"/>
  <c r="B831" i="13"/>
  <c r="L831" i="13" s="1"/>
  <c r="D831" i="13"/>
  <c r="F831" i="13" s="1"/>
  <c r="E831" i="13"/>
  <c r="G831" i="13"/>
  <c r="J831" i="13"/>
  <c r="K831" i="13"/>
  <c r="B832" i="13"/>
  <c r="I832" i="13" s="1"/>
  <c r="D832" i="13"/>
  <c r="E832" i="13"/>
  <c r="F832" i="13"/>
  <c r="G832" i="13"/>
  <c r="H832" i="13" s="1"/>
  <c r="B833" i="13"/>
  <c r="C833" i="13" s="1"/>
  <c r="D833" i="13"/>
  <c r="F833" i="13" s="1"/>
  <c r="E833" i="13"/>
  <c r="G833" i="13"/>
  <c r="I833" i="13"/>
  <c r="M833" i="13"/>
  <c r="B834" i="13"/>
  <c r="C834" i="13" s="1"/>
  <c r="D834" i="13"/>
  <c r="F834" i="13" s="1"/>
  <c r="E834" i="13"/>
  <c r="G834" i="13"/>
  <c r="H834" i="13" s="1"/>
  <c r="K834" i="13"/>
  <c r="B835" i="13"/>
  <c r="L835" i="13" s="1"/>
  <c r="C835" i="13"/>
  <c r="D835" i="13"/>
  <c r="E835" i="13"/>
  <c r="F835" i="13"/>
  <c r="G835" i="13"/>
  <c r="B836" i="13"/>
  <c r="I836" i="13" s="1"/>
  <c r="D836" i="13"/>
  <c r="F836" i="13" s="1"/>
  <c r="E836" i="13"/>
  <c r="G836" i="13"/>
  <c r="J836" i="13"/>
  <c r="B837" i="13"/>
  <c r="C837" i="13" s="1"/>
  <c r="D837" i="13"/>
  <c r="F837" i="13" s="1"/>
  <c r="E837" i="13"/>
  <c r="G837" i="13"/>
  <c r="H837" i="13" s="1"/>
  <c r="J837" i="13"/>
  <c r="L837" i="13"/>
  <c r="M837" i="13"/>
  <c r="B838" i="13"/>
  <c r="C838" i="13"/>
  <c r="D838" i="13"/>
  <c r="F838" i="13" s="1"/>
  <c r="E838" i="13"/>
  <c r="G838" i="13"/>
  <c r="I838" i="13"/>
  <c r="J838" i="13"/>
  <c r="K838" i="13"/>
  <c r="L838" i="13"/>
  <c r="M838" i="13"/>
  <c r="B839" i="13"/>
  <c r="L839" i="13" s="1"/>
  <c r="D839" i="13"/>
  <c r="F839" i="13" s="1"/>
  <c r="E839" i="13"/>
  <c r="G839" i="13"/>
  <c r="J839" i="13"/>
  <c r="K839" i="13"/>
  <c r="B840" i="13"/>
  <c r="I840" i="13" s="1"/>
  <c r="D840" i="13"/>
  <c r="E840" i="13"/>
  <c r="F840" i="13"/>
  <c r="G840" i="13"/>
  <c r="H840" i="13" s="1"/>
  <c r="B841" i="13"/>
  <c r="C841" i="13" s="1"/>
  <c r="D841" i="13"/>
  <c r="F841" i="13" s="1"/>
  <c r="E841" i="13"/>
  <c r="G841" i="13"/>
  <c r="I841" i="13"/>
  <c r="M841" i="13"/>
  <c r="B842" i="13"/>
  <c r="C842" i="13" s="1"/>
  <c r="D842" i="13"/>
  <c r="F842" i="13" s="1"/>
  <c r="E842" i="13"/>
  <c r="G842" i="13"/>
  <c r="H842" i="13" s="1"/>
  <c r="K842" i="13"/>
  <c r="B843" i="13"/>
  <c r="L843" i="13" s="1"/>
  <c r="C843" i="13"/>
  <c r="D843" i="13"/>
  <c r="E843" i="13"/>
  <c r="F843" i="13"/>
  <c r="G843" i="13"/>
  <c r="B844" i="13"/>
  <c r="I844" i="13" s="1"/>
  <c r="D844" i="13"/>
  <c r="F844" i="13" s="1"/>
  <c r="E844" i="13"/>
  <c r="G844" i="13"/>
  <c r="J844" i="13"/>
  <c r="B845" i="13"/>
  <c r="C845" i="13" s="1"/>
  <c r="D845" i="13"/>
  <c r="F845" i="13" s="1"/>
  <c r="E845" i="13"/>
  <c r="G845" i="13"/>
  <c r="H845" i="13" s="1"/>
  <c r="J845" i="13"/>
  <c r="L845" i="13"/>
  <c r="M845" i="13"/>
  <c r="B846" i="13"/>
  <c r="C846" i="13"/>
  <c r="D846" i="13"/>
  <c r="F846" i="13" s="1"/>
  <c r="E846" i="13"/>
  <c r="G846" i="13"/>
  <c r="I846" i="13"/>
  <c r="J846" i="13"/>
  <c r="K846" i="13"/>
  <c r="L846" i="13"/>
  <c r="M846" i="13"/>
  <c r="B847" i="13"/>
  <c r="L847" i="13" s="1"/>
  <c r="D847" i="13"/>
  <c r="F847" i="13" s="1"/>
  <c r="E847" i="13"/>
  <c r="G847" i="13"/>
  <c r="J847" i="13"/>
  <c r="K847" i="13"/>
  <c r="B848" i="13"/>
  <c r="I848" i="13" s="1"/>
  <c r="D848" i="13"/>
  <c r="E848" i="13"/>
  <c r="F848" i="13"/>
  <c r="G848" i="13"/>
  <c r="H848" i="13" s="1"/>
  <c r="B849" i="13"/>
  <c r="C849" i="13" s="1"/>
  <c r="D849" i="13"/>
  <c r="F849" i="13" s="1"/>
  <c r="E849" i="13"/>
  <c r="G849" i="13"/>
  <c r="I849" i="13"/>
  <c r="M849" i="13"/>
  <c r="B850" i="13"/>
  <c r="C850" i="13" s="1"/>
  <c r="D850" i="13"/>
  <c r="F850" i="13" s="1"/>
  <c r="E850" i="13"/>
  <c r="G850" i="13"/>
  <c r="H850" i="13" s="1"/>
  <c r="K850" i="13"/>
  <c r="B851" i="13"/>
  <c r="L851" i="13" s="1"/>
  <c r="C851" i="13"/>
  <c r="D851" i="13"/>
  <c r="E851" i="13"/>
  <c r="F851" i="13"/>
  <c r="G851" i="13"/>
  <c r="B852" i="13"/>
  <c r="I852" i="13" s="1"/>
  <c r="D852" i="13"/>
  <c r="F852" i="13" s="1"/>
  <c r="E852" i="13"/>
  <c r="G852" i="13"/>
  <c r="J852" i="13"/>
  <c r="B853" i="13"/>
  <c r="C853" i="13" s="1"/>
  <c r="D853" i="13"/>
  <c r="F853" i="13" s="1"/>
  <c r="E853" i="13"/>
  <c r="G853" i="13"/>
  <c r="H853" i="13" s="1"/>
  <c r="J853" i="13"/>
  <c r="L853" i="13"/>
  <c r="M853" i="13"/>
  <c r="B854" i="13"/>
  <c r="C854" i="13"/>
  <c r="D854" i="13"/>
  <c r="F854" i="13" s="1"/>
  <c r="E854" i="13"/>
  <c r="G854" i="13"/>
  <c r="I854" i="13"/>
  <c r="J854" i="13"/>
  <c r="K854" i="13"/>
  <c r="L854" i="13"/>
  <c r="M854" i="13"/>
  <c r="B855" i="13"/>
  <c r="L855" i="13" s="1"/>
  <c r="D855" i="13"/>
  <c r="F855" i="13" s="1"/>
  <c r="E855" i="13"/>
  <c r="G855" i="13"/>
  <c r="J855" i="13"/>
  <c r="K855" i="13"/>
  <c r="B856" i="13"/>
  <c r="D856" i="13"/>
  <c r="E856" i="13"/>
  <c r="F856" i="13"/>
  <c r="G856" i="13"/>
  <c r="J856" i="13"/>
  <c r="B857" i="13"/>
  <c r="C857" i="13" s="1"/>
  <c r="D857" i="13"/>
  <c r="F857" i="13" s="1"/>
  <c r="E857" i="13"/>
  <c r="G857" i="13"/>
  <c r="I857" i="13"/>
  <c r="M857" i="13"/>
  <c r="B858" i="13"/>
  <c r="C858" i="13" s="1"/>
  <c r="D858" i="13"/>
  <c r="F858" i="13" s="1"/>
  <c r="E858" i="13"/>
  <c r="G858" i="13"/>
  <c r="L858" i="13"/>
  <c r="B859" i="13"/>
  <c r="L859" i="13" s="1"/>
  <c r="C859" i="13"/>
  <c r="D859" i="13"/>
  <c r="F859" i="13" s="1"/>
  <c r="E859" i="13"/>
  <c r="G859" i="13"/>
  <c r="J859" i="13"/>
  <c r="B860" i="13"/>
  <c r="D860" i="13"/>
  <c r="F860" i="13" s="1"/>
  <c r="E860" i="13"/>
  <c r="G860" i="13"/>
  <c r="J860" i="13"/>
  <c r="B861" i="13"/>
  <c r="C861" i="13" s="1"/>
  <c r="D861" i="13"/>
  <c r="F861" i="13" s="1"/>
  <c r="E861" i="13"/>
  <c r="G861" i="13"/>
  <c r="H861" i="13"/>
  <c r="M861" i="13"/>
  <c r="B862" i="13"/>
  <c r="C862" i="13"/>
  <c r="D862" i="13"/>
  <c r="F862" i="13" s="1"/>
  <c r="E862" i="13"/>
  <c r="G862" i="13"/>
  <c r="I862" i="13"/>
  <c r="J862" i="13"/>
  <c r="K862" i="13"/>
  <c r="L862" i="13"/>
  <c r="M862" i="13"/>
  <c r="B863" i="13"/>
  <c r="L863" i="13" s="1"/>
  <c r="D863" i="13"/>
  <c r="E863" i="13"/>
  <c r="F863" i="13"/>
  <c r="G863" i="13"/>
  <c r="B864" i="13"/>
  <c r="I864" i="13" s="1"/>
  <c r="D864" i="13"/>
  <c r="E864" i="13"/>
  <c r="F864" i="13"/>
  <c r="G864" i="13"/>
  <c r="H864" i="13" s="1"/>
  <c r="B865" i="13"/>
  <c r="C865" i="13" s="1"/>
  <c r="D865" i="13"/>
  <c r="F865" i="13" s="1"/>
  <c r="E865" i="13"/>
  <c r="G865" i="13"/>
  <c r="I865" i="13"/>
  <c r="J865" i="13"/>
  <c r="L865" i="13"/>
  <c r="M865" i="13"/>
  <c r="B866" i="13"/>
  <c r="K866" i="13" s="1"/>
  <c r="C866" i="13"/>
  <c r="D866" i="13"/>
  <c r="F866" i="13" s="1"/>
  <c r="E866" i="13"/>
  <c r="G866" i="13"/>
  <c r="I866" i="13"/>
  <c r="J866" i="13"/>
  <c r="L866" i="13"/>
  <c r="M866" i="13"/>
  <c r="B867" i="13"/>
  <c r="D867" i="13"/>
  <c r="E867" i="13"/>
  <c r="F867" i="13"/>
  <c r="G867" i="13"/>
  <c r="H867" i="13" s="1"/>
  <c r="B868" i="13"/>
  <c r="I868" i="13" s="1"/>
  <c r="D868" i="13"/>
  <c r="E868" i="13"/>
  <c r="F868" i="13"/>
  <c r="G868" i="13"/>
  <c r="M868" i="13"/>
  <c r="B869" i="13"/>
  <c r="C869" i="13" s="1"/>
  <c r="D869" i="13"/>
  <c r="F869" i="13" s="1"/>
  <c r="E869" i="13"/>
  <c r="G869" i="13"/>
  <c r="I869" i="13"/>
  <c r="J869" i="13"/>
  <c r="B870" i="13"/>
  <c r="I870" i="13" s="1"/>
  <c r="C870" i="13"/>
  <c r="D870" i="13"/>
  <c r="F870" i="13" s="1"/>
  <c r="E870" i="13"/>
  <c r="G870" i="13"/>
  <c r="H870" i="13"/>
  <c r="K870" i="13"/>
  <c r="L870" i="13"/>
  <c r="B871" i="13"/>
  <c r="K871" i="13" s="1"/>
  <c r="C871" i="13"/>
  <c r="D871" i="13"/>
  <c r="F871" i="13" s="1"/>
  <c r="E871" i="13"/>
  <c r="G871" i="13"/>
  <c r="J871" i="13"/>
  <c r="B872" i="13"/>
  <c r="I872" i="13" s="1"/>
  <c r="D872" i="13"/>
  <c r="F872" i="13" s="1"/>
  <c r="E872" i="13"/>
  <c r="G872" i="13"/>
  <c r="B873" i="13"/>
  <c r="C873" i="13" s="1"/>
  <c r="D873" i="13"/>
  <c r="F873" i="13" s="1"/>
  <c r="E873" i="13"/>
  <c r="G873" i="13"/>
  <c r="I873" i="13"/>
  <c r="M873" i="13"/>
  <c r="B874" i="13"/>
  <c r="D874" i="13"/>
  <c r="F874" i="13" s="1"/>
  <c r="E874" i="13"/>
  <c r="G874" i="13"/>
  <c r="L874" i="13"/>
  <c r="B875" i="13"/>
  <c r="D875" i="13"/>
  <c r="F875" i="13" s="1"/>
  <c r="E875" i="13"/>
  <c r="G875" i="13"/>
  <c r="K875" i="13"/>
  <c r="B876" i="13"/>
  <c r="D876" i="13"/>
  <c r="E876" i="13"/>
  <c r="F876" i="13"/>
  <c r="G876" i="13"/>
  <c r="H876" i="13" s="1"/>
  <c r="B877" i="13"/>
  <c r="C877" i="13" s="1"/>
  <c r="D877" i="13"/>
  <c r="F877" i="13" s="1"/>
  <c r="E877" i="13"/>
  <c r="G877" i="13"/>
  <c r="I877" i="13"/>
  <c r="J877" i="13"/>
  <c r="B878" i="13"/>
  <c r="J878" i="13" s="1"/>
  <c r="C878" i="13"/>
  <c r="D878" i="13"/>
  <c r="F878" i="13" s="1"/>
  <c r="E878" i="13"/>
  <c r="G878" i="13"/>
  <c r="I878" i="13"/>
  <c r="L878" i="13"/>
  <c r="M878" i="13"/>
  <c r="B879" i="13"/>
  <c r="C879" i="13"/>
  <c r="D879" i="13"/>
  <c r="F879" i="13" s="1"/>
  <c r="E879" i="13"/>
  <c r="G879" i="13"/>
  <c r="J879" i="13"/>
  <c r="K879" i="13"/>
  <c r="B880" i="13"/>
  <c r="I880" i="13" s="1"/>
  <c r="D880" i="13"/>
  <c r="E880" i="13"/>
  <c r="F880" i="13"/>
  <c r="G880" i="13"/>
  <c r="B881" i="13"/>
  <c r="C881" i="13" s="1"/>
  <c r="D881" i="13"/>
  <c r="F881" i="13" s="1"/>
  <c r="E881" i="13"/>
  <c r="G881" i="13"/>
  <c r="I881" i="13"/>
  <c r="J881" i="13"/>
  <c r="M881" i="13"/>
  <c r="B882" i="13"/>
  <c r="J882" i="13" s="1"/>
  <c r="C882" i="13"/>
  <c r="D882" i="13"/>
  <c r="F882" i="13" s="1"/>
  <c r="E882" i="13"/>
  <c r="G882" i="13"/>
  <c r="I882" i="13"/>
  <c r="L882" i="13"/>
  <c r="M882" i="13"/>
  <c r="B883" i="13"/>
  <c r="D883" i="13"/>
  <c r="E883" i="13"/>
  <c r="F883" i="13"/>
  <c r="G883" i="13"/>
  <c r="K883" i="13"/>
  <c r="B884" i="13"/>
  <c r="I884" i="13" s="1"/>
  <c r="D884" i="13"/>
  <c r="F884" i="13" s="1"/>
  <c r="E884" i="13"/>
  <c r="G884" i="13"/>
  <c r="J884" i="13"/>
  <c r="B885" i="13"/>
  <c r="C885" i="13" s="1"/>
  <c r="D885" i="13"/>
  <c r="F885" i="13" s="1"/>
  <c r="E885" i="13"/>
  <c r="G885" i="13"/>
  <c r="I885" i="13"/>
  <c r="J885" i="13"/>
  <c r="L885" i="13"/>
  <c r="B886" i="13"/>
  <c r="K886" i="13" s="1"/>
  <c r="C886" i="13"/>
  <c r="D886" i="13"/>
  <c r="F886" i="13" s="1"/>
  <c r="E886" i="13"/>
  <c r="G886" i="13"/>
  <c r="I886" i="13"/>
  <c r="J886" i="13"/>
  <c r="L886" i="13"/>
  <c r="M886" i="13"/>
  <c r="B887" i="13"/>
  <c r="D887" i="13"/>
  <c r="E887" i="13"/>
  <c r="F887" i="13"/>
  <c r="G887" i="13"/>
  <c r="B888" i="13"/>
  <c r="I888" i="13" s="1"/>
  <c r="D888" i="13"/>
  <c r="E888" i="13"/>
  <c r="F888" i="13"/>
  <c r="G888" i="13"/>
  <c r="H888" i="13" s="1"/>
  <c r="B889" i="13"/>
  <c r="C889" i="13" s="1"/>
  <c r="D889" i="13"/>
  <c r="F889" i="13" s="1"/>
  <c r="E889" i="13"/>
  <c r="G889" i="13"/>
  <c r="I889" i="13"/>
  <c r="J889" i="13"/>
  <c r="L889" i="13"/>
  <c r="M889" i="13"/>
  <c r="B890" i="13"/>
  <c r="K890" i="13" s="1"/>
  <c r="C890" i="13"/>
  <c r="D890" i="13"/>
  <c r="F890" i="13" s="1"/>
  <c r="E890" i="13"/>
  <c r="G890" i="13"/>
  <c r="I890" i="13"/>
  <c r="J890" i="13"/>
  <c r="L890" i="13"/>
  <c r="M890" i="13"/>
  <c r="B891" i="13"/>
  <c r="D891" i="13"/>
  <c r="E891" i="13"/>
  <c r="F891" i="13"/>
  <c r="G891" i="13"/>
  <c r="H891" i="13" s="1"/>
  <c r="B892" i="13"/>
  <c r="L892" i="13" s="1"/>
  <c r="D892" i="13"/>
  <c r="F892" i="13" s="1"/>
  <c r="E892" i="13"/>
  <c r="G892" i="13"/>
  <c r="H892" i="13" s="1"/>
  <c r="K892" i="13"/>
  <c r="B893" i="13"/>
  <c r="D893" i="13"/>
  <c r="F893" i="13" s="1"/>
  <c r="E893" i="13"/>
  <c r="G893" i="13"/>
  <c r="I893" i="13"/>
  <c r="J893" i="13"/>
  <c r="L893" i="13"/>
  <c r="M893" i="13"/>
  <c r="B894" i="13"/>
  <c r="K894" i="13" s="1"/>
  <c r="C894" i="13"/>
  <c r="D894" i="13"/>
  <c r="F894" i="13" s="1"/>
  <c r="E894" i="13"/>
  <c r="G894" i="13"/>
  <c r="I894" i="13"/>
  <c r="J894" i="13"/>
  <c r="L894" i="13"/>
  <c r="M894" i="13"/>
  <c r="B895" i="13"/>
  <c r="D895" i="13"/>
  <c r="E895" i="13"/>
  <c r="F895" i="13"/>
  <c r="G895" i="13"/>
  <c r="H895" i="13" s="1"/>
  <c r="B896" i="13"/>
  <c r="L896" i="13" s="1"/>
  <c r="D896" i="13"/>
  <c r="F896" i="13" s="1"/>
  <c r="E896" i="13"/>
  <c r="G896" i="13"/>
  <c r="J896" i="13"/>
  <c r="B897" i="13"/>
  <c r="C897" i="13" s="1"/>
  <c r="D897" i="13"/>
  <c r="E897" i="13"/>
  <c r="F897" i="13"/>
  <c r="G897" i="13"/>
  <c r="I897" i="13"/>
  <c r="J897" i="13"/>
  <c r="M897" i="13"/>
  <c r="N897" i="13" s="1"/>
  <c r="E897" i="19" s="1"/>
  <c r="B898" i="13"/>
  <c r="C898" i="13" s="1"/>
  <c r="D898" i="13"/>
  <c r="E898" i="13"/>
  <c r="G898" i="13"/>
  <c r="I898" i="13"/>
  <c r="J898" i="13"/>
  <c r="L898" i="13"/>
  <c r="M898" i="13"/>
  <c r="N898" i="13" s="1"/>
  <c r="E898" i="19" s="1"/>
  <c r="G898" i="19" s="1"/>
  <c r="B899" i="13"/>
  <c r="C899" i="13" s="1"/>
  <c r="D899" i="13"/>
  <c r="F899" i="13" s="1"/>
  <c r="E899" i="13"/>
  <c r="G899" i="13"/>
  <c r="K899" i="13"/>
  <c r="L899" i="13"/>
  <c r="B900" i="13"/>
  <c r="L900" i="13" s="1"/>
  <c r="D900" i="13"/>
  <c r="F900" i="13" s="1"/>
  <c r="E900" i="13"/>
  <c r="G900" i="13"/>
  <c r="J900" i="13"/>
  <c r="B901" i="13"/>
  <c r="C901" i="13" s="1"/>
  <c r="D901" i="13"/>
  <c r="E901" i="13"/>
  <c r="F901" i="13"/>
  <c r="G901" i="13"/>
  <c r="H901" i="13" s="1"/>
  <c r="M901" i="13"/>
  <c r="B902" i="13"/>
  <c r="C902" i="13" s="1"/>
  <c r="D902" i="13"/>
  <c r="F902" i="13" s="1"/>
  <c r="E902" i="13"/>
  <c r="G902" i="13"/>
  <c r="H902" i="13" s="1"/>
  <c r="L902" i="13"/>
  <c r="M902" i="13"/>
  <c r="B903" i="13"/>
  <c r="C903" i="13" s="1"/>
  <c r="D903" i="13"/>
  <c r="F903" i="13" s="1"/>
  <c r="E903" i="13"/>
  <c r="G903" i="13"/>
  <c r="J903" i="13"/>
  <c r="K903" i="13"/>
  <c r="L903" i="13"/>
  <c r="B904" i="13"/>
  <c r="L904" i="13" s="1"/>
  <c r="D904" i="13"/>
  <c r="F904" i="13" s="1"/>
  <c r="E904" i="13"/>
  <c r="G904" i="13"/>
  <c r="H904" i="13" s="1"/>
  <c r="B905" i="13"/>
  <c r="C905" i="13" s="1"/>
  <c r="D905" i="13"/>
  <c r="E905" i="13"/>
  <c r="F905" i="13"/>
  <c r="G905" i="13"/>
  <c r="H905" i="13" s="1"/>
  <c r="J905" i="13"/>
  <c r="M905" i="13"/>
  <c r="B906" i="13"/>
  <c r="C906" i="13" s="1"/>
  <c r="D906" i="13"/>
  <c r="F906" i="13" s="1"/>
  <c r="E906" i="13"/>
  <c r="G906" i="13"/>
  <c r="H906" i="13" s="1"/>
  <c r="J906" i="13"/>
  <c r="L906" i="13"/>
  <c r="M906" i="13"/>
  <c r="B907" i="13"/>
  <c r="C907" i="13"/>
  <c r="D907" i="13"/>
  <c r="F907" i="13" s="1"/>
  <c r="E907" i="13"/>
  <c r="G907" i="13"/>
  <c r="I907" i="13"/>
  <c r="J907" i="13"/>
  <c r="K907" i="13"/>
  <c r="L907" i="13"/>
  <c r="M907" i="13"/>
  <c r="B908" i="13"/>
  <c r="L908" i="13" s="1"/>
  <c r="D908" i="13"/>
  <c r="E908" i="13"/>
  <c r="F908" i="13"/>
  <c r="G908" i="13"/>
  <c r="H908" i="13" s="1"/>
  <c r="B909" i="13"/>
  <c r="C909" i="13" s="1"/>
  <c r="D909" i="13"/>
  <c r="F909" i="13" s="1"/>
  <c r="E909" i="13"/>
  <c r="G909" i="13"/>
  <c r="I909" i="13"/>
  <c r="J909" i="13"/>
  <c r="M909" i="13"/>
  <c r="B910" i="13"/>
  <c r="C910" i="13" s="1"/>
  <c r="D910" i="13"/>
  <c r="F910" i="13" s="1"/>
  <c r="E910" i="13"/>
  <c r="G910" i="13"/>
  <c r="I910" i="13"/>
  <c r="J910" i="13"/>
  <c r="L910" i="13"/>
  <c r="M910" i="13"/>
  <c r="B911" i="13"/>
  <c r="C911" i="13" s="1"/>
  <c r="D911" i="13"/>
  <c r="F911" i="13" s="1"/>
  <c r="E911" i="13"/>
  <c r="G911" i="13"/>
  <c r="L911" i="13"/>
  <c r="B912" i="13"/>
  <c r="L912" i="13" s="1"/>
  <c r="D912" i="13"/>
  <c r="E912" i="13"/>
  <c r="F912" i="13"/>
  <c r="G912" i="13"/>
  <c r="H912" i="13" s="1"/>
  <c r="B913" i="13"/>
  <c r="C913" i="13" s="1"/>
  <c r="D913" i="13"/>
  <c r="F913" i="13" s="1"/>
  <c r="E913" i="13"/>
  <c r="G913" i="13"/>
  <c r="H913" i="13" s="1"/>
  <c r="B914" i="13"/>
  <c r="C914" i="13" s="1"/>
  <c r="D914" i="13"/>
  <c r="F914" i="13" s="1"/>
  <c r="E914" i="13"/>
  <c r="G914" i="13"/>
  <c r="H914" i="13"/>
  <c r="M914" i="13"/>
  <c r="B915" i="13"/>
  <c r="C915" i="13" s="1"/>
  <c r="D915" i="13"/>
  <c r="F915" i="13" s="1"/>
  <c r="E915" i="13"/>
  <c r="G915" i="13"/>
  <c r="K915" i="13"/>
  <c r="L915" i="13"/>
  <c r="B916" i="13"/>
  <c r="L916" i="13" s="1"/>
  <c r="D916" i="13"/>
  <c r="F916" i="13" s="1"/>
  <c r="E916" i="13"/>
  <c r="G916" i="13"/>
  <c r="J916" i="13"/>
  <c r="B917" i="13"/>
  <c r="C917" i="13" s="1"/>
  <c r="D917" i="13"/>
  <c r="E917" i="13"/>
  <c r="F917" i="13"/>
  <c r="G917" i="13"/>
  <c r="H917" i="13" s="1"/>
  <c r="M917" i="13"/>
  <c r="B918" i="13"/>
  <c r="C918" i="13" s="1"/>
  <c r="D918" i="13"/>
  <c r="F918" i="13" s="1"/>
  <c r="E918" i="13"/>
  <c r="G918" i="13"/>
  <c r="H918" i="13" s="1"/>
  <c r="L918" i="13"/>
  <c r="M918" i="13"/>
  <c r="B919" i="13"/>
  <c r="C919" i="13" s="1"/>
  <c r="D919" i="13"/>
  <c r="F919" i="13" s="1"/>
  <c r="E919" i="13"/>
  <c r="G919" i="13"/>
  <c r="J919" i="13"/>
  <c r="K919" i="13"/>
  <c r="L919" i="13"/>
  <c r="B920" i="13"/>
  <c r="L920" i="13" s="1"/>
  <c r="D920" i="13"/>
  <c r="F920" i="13" s="1"/>
  <c r="E920" i="13"/>
  <c r="G920" i="13"/>
  <c r="H920" i="13" s="1"/>
  <c r="B921" i="13"/>
  <c r="C921" i="13" s="1"/>
  <c r="D921" i="13"/>
  <c r="E921" i="13"/>
  <c r="F921" i="13"/>
  <c r="G921" i="13"/>
  <c r="H921" i="13" s="1"/>
  <c r="J921" i="13"/>
  <c r="M921" i="13"/>
  <c r="B922" i="13"/>
  <c r="C922" i="13" s="1"/>
  <c r="D922" i="13"/>
  <c r="F922" i="13" s="1"/>
  <c r="E922" i="13"/>
  <c r="G922" i="13"/>
  <c r="H922" i="13" s="1"/>
  <c r="J922" i="13"/>
  <c r="L922" i="13"/>
  <c r="M922" i="13"/>
  <c r="B923" i="13"/>
  <c r="C923" i="13"/>
  <c r="D923" i="13"/>
  <c r="F923" i="13" s="1"/>
  <c r="E923" i="13"/>
  <c r="G923" i="13"/>
  <c r="I923" i="13"/>
  <c r="J923" i="13"/>
  <c r="K923" i="13"/>
  <c r="L923" i="13"/>
  <c r="M923" i="13"/>
  <c r="B924" i="13"/>
  <c r="L924" i="13" s="1"/>
  <c r="D924" i="13"/>
  <c r="E924" i="13"/>
  <c r="F924" i="13"/>
  <c r="G924" i="13"/>
  <c r="H924" i="13" s="1"/>
  <c r="B925" i="13"/>
  <c r="C925" i="13" s="1"/>
  <c r="D925" i="13"/>
  <c r="F925" i="13" s="1"/>
  <c r="E925" i="13"/>
  <c r="G925" i="13"/>
  <c r="I925" i="13"/>
  <c r="J925" i="13"/>
  <c r="M925" i="13"/>
  <c r="B926" i="13"/>
  <c r="C926" i="13" s="1"/>
  <c r="D926" i="13"/>
  <c r="F926" i="13" s="1"/>
  <c r="E926" i="13"/>
  <c r="G926" i="13"/>
  <c r="I926" i="13"/>
  <c r="J926" i="13"/>
  <c r="L926" i="13"/>
  <c r="M926" i="13"/>
  <c r="B927" i="13"/>
  <c r="J927" i="13" s="1"/>
  <c r="C927" i="13"/>
  <c r="D927" i="13"/>
  <c r="F927" i="13" s="1"/>
  <c r="E927" i="13"/>
  <c r="G927" i="13"/>
  <c r="I927" i="13"/>
  <c r="L927" i="13"/>
  <c r="M927" i="13"/>
  <c r="B928" i="13"/>
  <c r="L928" i="13" s="1"/>
  <c r="D928" i="13"/>
  <c r="E928" i="13"/>
  <c r="F928" i="13"/>
  <c r="G928" i="13"/>
  <c r="H928" i="13" s="1"/>
  <c r="B929" i="13"/>
  <c r="C929" i="13" s="1"/>
  <c r="D929" i="13"/>
  <c r="F929" i="13" s="1"/>
  <c r="E929" i="13"/>
  <c r="G929" i="13"/>
  <c r="I929" i="13"/>
  <c r="B930" i="13"/>
  <c r="C930" i="13" s="1"/>
  <c r="D930" i="13"/>
  <c r="F930" i="13" s="1"/>
  <c r="E930" i="13"/>
  <c r="G930" i="13"/>
  <c r="I930" i="13"/>
  <c r="M930" i="13"/>
  <c r="B931" i="13"/>
  <c r="C931" i="13" s="1"/>
  <c r="D931" i="13"/>
  <c r="F931" i="13" s="1"/>
  <c r="E931" i="13"/>
  <c r="G931" i="13"/>
  <c r="L931" i="13"/>
  <c r="B932" i="13"/>
  <c r="L932" i="13" s="1"/>
  <c r="D932" i="13"/>
  <c r="F932" i="13" s="1"/>
  <c r="E932" i="13"/>
  <c r="G932" i="13"/>
  <c r="J932" i="13"/>
  <c r="B933" i="13"/>
  <c r="C933" i="13" s="1"/>
  <c r="D933" i="13"/>
  <c r="E933" i="13"/>
  <c r="F933" i="13"/>
  <c r="G933" i="13"/>
  <c r="H933" i="13" s="1"/>
  <c r="B934" i="13"/>
  <c r="C934" i="13" s="1"/>
  <c r="D934" i="13"/>
  <c r="F934" i="13" s="1"/>
  <c r="E934" i="13"/>
  <c r="G934" i="13"/>
  <c r="H934" i="13"/>
  <c r="M934" i="13"/>
  <c r="B935" i="13"/>
  <c r="C935" i="13" s="1"/>
  <c r="D935" i="13"/>
  <c r="F935" i="13" s="1"/>
  <c r="E935" i="13"/>
  <c r="G935" i="13"/>
  <c r="J935" i="13"/>
  <c r="K935" i="13"/>
  <c r="L935" i="13"/>
  <c r="B936" i="13"/>
  <c r="L936" i="13" s="1"/>
  <c r="D936" i="13"/>
  <c r="F936" i="13" s="1"/>
  <c r="E936" i="13"/>
  <c r="G936" i="13"/>
  <c r="J936" i="13"/>
  <c r="B937" i="13"/>
  <c r="C937" i="13" s="1"/>
  <c r="D937" i="13"/>
  <c r="E937" i="13"/>
  <c r="F937" i="13"/>
  <c r="G937" i="13"/>
  <c r="H937" i="13" s="1"/>
  <c r="J937" i="13"/>
  <c r="M937" i="13"/>
  <c r="N937" i="13" s="1"/>
  <c r="E937" i="19" s="1"/>
  <c r="B938" i="13"/>
  <c r="C938" i="13" s="1"/>
  <c r="D938" i="13"/>
  <c r="F938" i="13" s="1"/>
  <c r="E938" i="13"/>
  <c r="G938" i="13"/>
  <c r="H938" i="13" s="1"/>
  <c r="J938" i="13"/>
  <c r="L938" i="13"/>
  <c r="M938" i="13"/>
  <c r="B939" i="13"/>
  <c r="C939" i="13"/>
  <c r="D939" i="13"/>
  <c r="F939" i="13" s="1"/>
  <c r="E939" i="13"/>
  <c r="G939" i="13"/>
  <c r="I939" i="13"/>
  <c r="J939" i="13"/>
  <c r="K939" i="13"/>
  <c r="L939" i="13"/>
  <c r="M939" i="13"/>
  <c r="B940" i="13"/>
  <c r="L940" i="13" s="1"/>
  <c r="D940" i="13"/>
  <c r="E940" i="13"/>
  <c r="F940" i="13"/>
  <c r="G940" i="13"/>
  <c r="H940" i="13" s="1"/>
  <c r="B941" i="13"/>
  <c r="C941" i="13" s="1"/>
  <c r="D941" i="13"/>
  <c r="F941" i="13" s="1"/>
  <c r="E941" i="13"/>
  <c r="G941" i="13"/>
  <c r="I941" i="13"/>
  <c r="J941" i="13"/>
  <c r="M941" i="13"/>
  <c r="B942" i="13"/>
  <c r="C942" i="13" s="1"/>
  <c r="D942" i="13"/>
  <c r="F942" i="13" s="1"/>
  <c r="E942" i="13"/>
  <c r="G942" i="13"/>
  <c r="I942" i="13"/>
  <c r="J942" i="13"/>
  <c r="L942" i="13"/>
  <c r="M942" i="13"/>
  <c r="B943" i="13"/>
  <c r="J943" i="13" s="1"/>
  <c r="C943" i="13"/>
  <c r="D943" i="13"/>
  <c r="F943" i="13" s="1"/>
  <c r="E943" i="13"/>
  <c r="G943" i="13"/>
  <c r="I943" i="13"/>
  <c r="L943" i="13"/>
  <c r="M943" i="13"/>
  <c r="B944" i="13"/>
  <c r="L944" i="13" s="1"/>
  <c r="D944" i="13"/>
  <c r="E944" i="13"/>
  <c r="F944" i="13"/>
  <c r="G944" i="13"/>
  <c r="H944" i="13" s="1"/>
  <c r="B945" i="13"/>
  <c r="C945" i="13" s="1"/>
  <c r="D945" i="13"/>
  <c r="F945" i="13" s="1"/>
  <c r="E945" i="13"/>
  <c r="G945" i="13"/>
  <c r="I945" i="13"/>
  <c r="B946" i="13"/>
  <c r="C946" i="13" s="1"/>
  <c r="D946" i="13"/>
  <c r="F946" i="13" s="1"/>
  <c r="E946" i="13"/>
  <c r="G946" i="13"/>
  <c r="I946" i="13"/>
  <c r="M946" i="13"/>
  <c r="B947" i="13"/>
  <c r="C947" i="13" s="1"/>
  <c r="D947" i="13"/>
  <c r="F947" i="13" s="1"/>
  <c r="E947" i="13"/>
  <c r="G947" i="13"/>
  <c r="L947" i="13"/>
  <c r="B948" i="13"/>
  <c r="L948" i="13" s="1"/>
  <c r="D948" i="13"/>
  <c r="F948" i="13" s="1"/>
  <c r="E948" i="13"/>
  <c r="G948" i="13"/>
  <c r="J948" i="13"/>
  <c r="B949" i="13"/>
  <c r="C949" i="13" s="1"/>
  <c r="D949" i="13"/>
  <c r="E949" i="13"/>
  <c r="F949" i="13"/>
  <c r="G949" i="13"/>
  <c r="H949" i="13" s="1"/>
  <c r="B950" i="13"/>
  <c r="C950" i="13" s="1"/>
  <c r="D950" i="13"/>
  <c r="F950" i="13" s="1"/>
  <c r="E950" i="13"/>
  <c r="G950" i="13"/>
  <c r="H950" i="13"/>
  <c r="M950" i="13"/>
  <c r="B951" i="13"/>
  <c r="C951" i="13" s="1"/>
  <c r="D951" i="13"/>
  <c r="F951" i="13" s="1"/>
  <c r="E951" i="13"/>
  <c r="G951" i="13"/>
  <c r="J951" i="13"/>
  <c r="K951" i="13"/>
  <c r="L951" i="13"/>
  <c r="B952" i="13"/>
  <c r="L952" i="13" s="1"/>
  <c r="D952" i="13"/>
  <c r="F952" i="13" s="1"/>
  <c r="E952" i="13"/>
  <c r="G952" i="13"/>
  <c r="J952" i="13"/>
  <c r="B953" i="13"/>
  <c r="C953" i="13" s="1"/>
  <c r="D953" i="13"/>
  <c r="E953" i="13"/>
  <c r="F953" i="13"/>
  <c r="G953" i="13"/>
  <c r="H953" i="13" s="1"/>
  <c r="J953" i="13"/>
  <c r="M953" i="13"/>
  <c r="N953" i="13" s="1"/>
  <c r="E953" i="19" s="1"/>
  <c r="B954" i="13"/>
  <c r="C954" i="13" s="1"/>
  <c r="D954" i="13"/>
  <c r="F954" i="13" s="1"/>
  <c r="E954" i="13"/>
  <c r="G954" i="13"/>
  <c r="H954" i="13" s="1"/>
  <c r="J954" i="13"/>
  <c r="L954" i="13"/>
  <c r="M954" i="13"/>
  <c r="B955" i="13"/>
  <c r="C955" i="13"/>
  <c r="D955" i="13"/>
  <c r="F955" i="13" s="1"/>
  <c r="E955" i="13"/>
  <c r="G955" i="13"/>
  <c r="I955" i="13"/>
  <c r="J955" i="13"/>
  <c r="K955" i="13"/>
  <c r="L955" i="13"/>
  <c r="M955" i="13"/>
  <c r="B956" i="13"/>
  <c r="L956" i="13" s="1"/>
  <c r="D956" i="13"/>
  <c r="E956" i="13"/>
  <c r="F956" i="13"/>
  <c r="G956" i="13"/>
  <c r="H956" i="13" s="1"/>
  <c r="B957" i="13"/>
  <c r="C957" i="13" s="1"/>
  <c r="D957" i="13"/>
  <c r="F957" i="13" s="1"/>
  <c r="E957" i="13"/>
  <c r="G957" i="13"/>
  <c r="I957" i="13"/>
  <c r="J957" i="13"/>
  <c r="M957" i="13"/>
  <c r="B958" i="13"/>
  <c r="C958" i="13" s="1"/>
  <c r="D958" i="13"/>
  <c r="F958" i="13" s="1"/>
  <c r="E958" i="13"/>
  <c r="G958" i="13"/>
  <c r="I958" i="13"/>
  <c r="J958" i="13"/>
  <c r="L958" i="13"/>
  <c r="M958" i="13"/>
  <c r="B959" i="13"/>
  <c r="J959" i="13" s="1"/>
  <c r="C959" i="13"/>
  <c r="D959" i="13"/>
  <c r="F959" i="13" s="1"/>
  <c r="E959" i="13"/>
  <c r="G959" i="13"/>
  <c r="I959" i="13"/>
  <c r="L959" i="13"/>
  <c r="M959" i="13"/>
  <c r="B960" i="13"/>
  <c r="L960" i="13" s="1"/>
  <c r="D960" i="13"/>
  <c r="E960" i="13"/>
  <c r="F960" i="13"/>
  <c r="G960" i="13"/>
  <c r="H960" i="13" s="1"/>
  <c r="B961" i="13"/>
  <c r="C961" i="13" s="1"/>
  <c r="D961" i="13"/>
  <c r="F961" i="13" s="1"/>
  <c r="E961" i="13"/>
  <c r="G961" i="13"/>
  <c r="I961" i="13"/>
  <c r="B962" i="13"/>
  <c r="C962" i="13" s="1"/>
  <c r="D962" i="13"/>
  <c r="F962" i="13" s="1"/>
  <c r="E962" i="13"/>
  <c r="G962" i="13"/>
  <c r="I962" i="13"/>
  <c r="M962" i="13"/>
  <c r="B963" i="13"/>
  <c r="C963" i="13" s="1"/>
  <c r="D963" i="13"/>
  <c r="F963" i="13" s="1"/>
  <c r="E963" i="13"/>
  <c r="G963" i="13"/>
  <c r="L963" i="13"/>
  <c r="B964" i="13"/>
  <c r="L964" i="13" s="1"/>
  <c r="D964" i="13"/>
  <c r="F964" i="13" s="1"/>
  <c r="E964" i="13"/>
  <c r="G964" i="13"/>
  <c r="J964" i="13"/>
  <c r="B965" i="13"/>
  <c r="C965" i="13" s="1"/>
  <c r="D965" i="13"/>
  <c r="E965" i="13"/>
  <c r="F965" i="13"/>
  <c r="G965" i="13"/>
  <c r="H965" i="13" s="1"/>
  <c r="B966" i="13"/>
  <c r="C966" i="13" s="1"/>
  <c r="D966" i="13"/>
  <c r="F966" i="13" s="1"/>
  <c r="E966" i="13"/>
  <c r="G966" i="13"/>
  <c r="H966" i="13"/>
  <c r="M966" i="13"/>
  <c r="B967" i="13"/>
  <c r="C967" i="13" s="1"/>
  <c r="D967" i="13"/>
  <c r="F967" i="13" s="1"/>
  <c r="E967" i="13"/>
  <c r="G967" i="13"/>
  <c r="J967" i="13"/>
  <c r="K967" i="13"/>
  <c r="L967" i="13"/>
  <c r="B968" i="13"/>
  <c r="L968" i="13" s="1"/>
  <c r="D968" i="13"/>
  <c r="F968" i="13" s="1"/>
  <c r="E968" i="13"/>
  <c r="G968" i="13"/>
  <c r="J968" i="13"/>
  <c r="B969" i="13"/>
  <c r="C969" i="13" s="1"/>
  <c r="D969" i="13"/>
  <c r="E969" i="13"/>
  <c r="F969" i="13"/>
  <c r="G969" i="13"/>
  <c r="H969" i="13" s="1"/>
  <c r="J969" i="13"/>
  <c r="M969" i="13"/>
  <c r="N969" i="13" s="1"/>
  <c r="E969" i="19" s="1"/>
  <c r="B970" i="13"/>
  <c r="C970" i="13" s="1"/>
  <c r="D970" i="13"/>
  <c r="F970" i="13" s="1"/>
  <c r="E970" i="13"/>
  <c r="G970" i="13"/>
  <c r="H970" i="13" s="1"/>
  <c r="J970" i="13"/>
  <c r="L970" i="13"/>
  <c r="M970" i="13"/>
  <c r="B971" i="13"/>
  <c r="C971" i="13"/>
  <c r="D971" i="13"/>
  <c r="F971" i="13" s="1"/>
  <c r="E971" i="13"/>
  <c r="G971" i="13"/>
  <c r="I971" i="13"/>
  <c r="J971" i="13"/>
  <c r="K971" i="13"/>
  <c r="L971" i="13"/>
  <c r="M971" i="13"/>
  <c r="B972" i="13"/>
  <c r="L972" i="13" s="1"/>
  <c r="D972" i="13"/>
  <c r="E972" i="13"/>
  <c r="F972" i="13"/>
  <c r="G972" i="13"/>
  <c r="H972" i="13" s="1"/>
  <c r="B973" i="13"/>
  <c r="C973" i="13" s="1"/>
  <c r="D973" i="13"/>
  <c r="F973" i="13" s="1"/>
  <c r="E973" i="13"/>
  <c r="G973" i="13"/>
  <c r="I973" i="13"/>
  <c r="J973" i="13"/>
  <c r="M973" i="13"/>
  <c r="B974" i="13"/>
  <c r="C974" i="13" s="1"/>
  <c r="D974" i="13"/>
  <c r="F974" i="13" s="1"/>
  <c r="E974" i="13"/>
  <c r="G974" i="13"/>
  <c r="I974" i="13"/>
  <c r="J974" i="13"/>
  <c r="L974" i="13"/>
  <c r="M974" i="13"/>
  <c r="B975" i="13"/>
  <c r="C975" i="13"/>
  <c r="D975" i="13"/>
  <c r="F975" i="13" s="1"/>
  <c r="E975" i="13"/>
  <c r="G975" i="13"/>
  <c r="I975" i="13"/>
  <c r="J975" i="13"/>
  <c r="K975" i="13"/>
  <c r="L975" i="13"/>
  <c r="M975" i="13"/>
  <c r="B976" i="13"/>
  <c r="J976" i="13" s="1"/>
  <c r="D976" i="13"/>
  <c r="E976" i="13"/>
  <c r="F976" i="13"/>
  <c r="G976" i="13"/>
  <c r="H976" i="13" s="1"/>
  <c r="B977" i="13"/>
  <c r="C977" i="13" s="1"/>
  <c r="D977" i="13"/>
  <c r="E977" i="13"/>
  <c r="F977" i="13"/>
  <c r="G977" i="13"/>
  <c r="H977" i="13" s="1"/>
  <c r="J977" i="13"/>
  <c r="M977" i="13"/>
  <c r="N977" i="13" s="1"/>
  <c r="E977" i="19" s="1"/>
  <c r="B978" i="13"/>
  <c r="C978" i="13" s="1"/>
  <c r="D978" i="13"/>
  <c r="F978" i="13" s="1"/>
  <c r="E978" i="13"/>
  <c r="G978" i="13"/>
  <c r="I978" i="13"/>
  <c r="L978" i="13"/>
  <c r="M978" i="13"/>
  <c r="B979" i="13"/>
  <c r="C979" i="13" s="1"/>
  <c r="D979" i="13"/>
  <c r="F979" i="13" s="1"/>
  <c r="E979" i="13"/>
  <c r="G979" i="13"/>
  <c r="J979" i="13"/>
  <c r="K979" i="13"/>
  <c r="L979" i="13"/>
  <c r="B980" i="13"/>
  <c r="J980" i="13" s="1"/>
  <c r="C980" i="13"/>
  <c r="D980" i="13"/>
  <c r="E980" i="13"/>
  <c r="F980" i="13"/>
  <c r="G980" i="13"/>
  <c r="H980" i="13" s="1"/>
  <c r="B981" i="13"/>
  <c r="I981" i="13" s="1"/>
  <c r="D981" i="13"/>
  <c r="F981" i="13" s="1"/>
  <c r="E981" i="13"/>
  <c r="G981" i="13"/>
  <c r="J981" i="13"/>
  <c r="B982" i="13"/>
  <c r="C982" i="13" s="1"/>
  <c r="D982" i="13"/>
  <c r="F982" i="13" s="1"/>
  <c r="E982" i="13"/>
  <c r="G982" i="13"/>
  <c r="I982" i="13"/>
  <c r="L982" i="13"/>
  <c r="M982" i="13"/>
  <c r="B983" i="13"/>
  <c r="C983" i="13" s="1"/>
  <c r="D983" i="13"/>
  <c r="F983" i="13" s="1"/>
  <c r="E983" i="13"/>
  <c r="G983" i="13"/>
  <c r="J983" i="13"/>
  <c r="K983" i="13"/>
  <c r="L983" i="13"/>
  <c r="B984" i="13"/>
  <c r="K984" i="13" s="1"/>
  <c r="C984" i="13"/>
  <c r="D984" i="13"/>
  <c r="E984" i="13"/>
  <c r="F984" i="13"/>
  <c r="G984" i="13"/>
  <c r="H984" i="13" s="1"/>
  <c r="B985" i="13"/>
  <c r="I985" i="13" s="1"/>
  <c r="D985" i="13"/>
  <c r="F985" i="13" s="1"/>
  <c r="E985" i="13"/>
  <c r="G985" i="13"/>
  <c r="B986" i="13"/>
  <c r="C986" i="13" s="1"/>
  <c r="D986" i="13"/>
  <c r="F986" i="13" s="1"/>
  <c r="E986" i="13"/>
  <c r="G986" i="13"/>
  <c r="I986" i="13"/>
  <c r="J986" i="13"/>
  <c r="B987" i="13"/>
  <c r="J987" i="13" s="1"/>
  <c r="C987" i="13"/>
  <c r="D987" i="13"/>
  <c r="F987" i="13" s="1"/>
  <c r="E987" i="13"/>
  <c r="G987" i="13"/>
  <c r="I987" i="13"/>
  <c r="L987" i="13"/>
  <c r="M987" i="13"/>
  <c r="B988" i="13"/>
  <c r="C988" i="13" s="1"/>
  <c r="D988" i="13"/>
  <c r="F988" i="13" s="1"/>
  <c r="E988" i="13"/>
  <c r="G988" i="13"/>
  <c r="J988" i="13"/>
  <c r="K988" i="13"/>
  <c r="B989" i="13"/>
  <c r="I989" i="13" s="1"/>
  <c r="D989" i="13"/>
  <c r="E989" i="13"/>
  <c r="F989" i="13"/>
  <c r="G989" i="13"/>
  <c r="H989" i="13" s="1"/>
  <c r="B990" i="13"/>
  <c r="C990" i="13" s="1"/>
  <c r="D990" i="13"/>
  <c r="F990" i="13" s="1"/>
  <c r="E990" i="13"/>
  <c r="G990" i="13"/>
  <c r="I990" i="13"/>
  <c r="J990" i="13"/>
  <c r="B991" i="13"/>
  <c r="J991" i="13" s="1"/>
  <c r="C991" i="13"/>
  <c r="D991" i="13"/>
  <c r="F991" i="13" s="1"/>
  <c r="E991" i="13"/>
  <c r="G991" i="13"/>
  <c r="I991" i="13"/>
  <c r="L991" i="13"/>
  <c r="M991" i="13"/>
  <c r="B992" i="13"/>
  <c r="C992" i="13" s="1"/>
  <c r="D992" i="13"/>
  <c r="F992" i="13" s="1"/>
  <c r="E992" i="13"/>
  <c r="G992" i="13"/>
  <c r="K992" i="13"/>
  <c r="B993" i="13"/>
  <c r="I993" i="13" s="1"/>
  <c r="D993" i="13"/>
  <c r="E993" i="13"/>
  <c r="F993" i="13"/>
  <c r="G993" i="13"/>
  <c r="H993" i="13" s="1"/>
  <c r="B994" i="13"/>
  <c r="C994" i="13" s="1"/>
  <c r="D994" i="13"/>
  <c r="F994" i="13" s="1"/>
  <c r="E994" i="13"/>
  <c r="G994" i="13"/>
  <c r="I994" i="13"/>
  <c r="L994" i="13"/>
  <c r="M994" i="13"/>
  <c r="B995" i="13"/>
  <c r="C995" i="13"/>
  <c r="D995" i="13"/>
  <c r="F995" i="13" s="1"/>
  <c r="E995" i="13"/>
  <c r="G995" i="13"/>
  <c r="I995" i="13"/>
  <c r="J995" i="13"/>
  <c r="K995" i="13"/>
  <c r="L995" i="13"/>
  <c r="M995" i="13"/>
  <c r="B996" i="13"/>
  <c r="C996" i="13" s="1"/>
  <c r="D996" i="13"/>
  <c r="F996" i="13" s="1"/>
  <c r="E996" i="13"/>
  <c r="G996" i="13"/>
  <c r="H996" i="13" s="1"/>
  <c r="B997" i="13"/>
  <c r="L997" i="13" s="1"/>
  <c r="C997" i="13"/>
  <c r="D997" i="13"/>
  <c r="E997" i="13"/>
  <c r="F997" i="13"/>
  <c r="G997" i="13"/>
  <c r="H997" i="13" s="1"/>
  <c r="K997" i="13"/>
  <c r="M997" i="13"/>
  <c r="B998" i="13"/>
  <c r="M998" i="13" s="1"/>
  <c r="D998" i="13"/>
  <c r="E998" i="13"/>
  <c r="F998" i="13"/>
  <c r="G998" i="13"/>
  <c r="H998" i="13" s="1"/>
  <c r="L998" i="13"/>
  <c r="B999" i="13"/>
  <c r="C999" i="13" s="1"/>
  <c r="D999" i="13"/>
  <c r="F999" i="13" s="1"/>
  <c r="E999" i="13"/>
  <c r="G999" i="13"/>
  <c r="H999" i="13" s="1"/>
  <c r="K999" i="13"/>
  <c r="B1000" i="13"/>
  <c r="C1000" i="13" s="1"/>
  <c r="D1000" i="13"/>
  <c r="F1000" i="13" s="1"/>
  <c r="E1000" i="13"/>
  <c r="G1000" i="13"/>
  <c r="K1000" i="13"/>
  <c r="B1001" i="13"/>
  <c r="L1001" i="13" s="1"/>
  <c r="D1001" i="13"/>
  <c r="F1001" i="13" s="1"/>
  <c r="E1001" i="13"/>
  <c r="G1001" i="13"/>
  <c r="I1001" i="13"/>
  <c r="J1001" i="13"/>
  <c r="K1001" i="13"/>
  <c r="B1002" i="13"/>
  <c r="M1002" i="13" s="1"/>
  <c r="D1002" i="13"/>
  <c r="F1002" i="13" s="1"/>
  <c r="E1002" i="13"/>
  <c r="G1002" i="13"/>
  <c r="B1003" i="13"/>
  <c r="C1003" i="13"/>
  <c r="D1003" i="13"/>
  <c r="E1003" i="13"/>
  <c r="G1003" i="13"/>
  <c r="I1003" i="13"/>
  <c r="J1003" i="13"/>
  <c r="K1003" i="13"/>
  <c r="L1003" i="13"/>
  <c r="M1003" i="13"/>
  <c r="B1004" i="13"/>
  <c r="C1004" i="13" s="1"/>
  <c r="D1004" i="13"/>
  <c r="F1004" i="13" s="1"/>
  <c r="E1004" i="13"/>
  <c r="G1004" i="13"/>
  <c r="H1004" i="13" s="1"/>
  <c r="B1005" i="13"/>
  <c r="L1005" i="13" s="1"/>
  <c r="C1005" i="13"/>
  <c r="D1005" i="13"/>
  <c r="E1005" i="13"/>
  <c r="F1005" i="13"/>
  <c r="G1005" i="13"/>
  <c r="H1005" i="13" s="1"/>
  <c r="K1005" i="13"/>
  <c r="M1005" i="13"/>
  <c r="B1006" i="13"/>
  <c r="M1006" i="13" s="1"/>
  <c r="D1006" i="13"/>
  <c r="F1006" i="13" s="1"/>
  <c r="E1006" i="13"/>
  <c r="G1006" i="13"/>
  <c r="H1006" i="13" s="1"/>
  <c r="B1007" i="13"/>
  <c r="I1007" i="13" s="1"/>
  <c r="C1007" i="13"/>
  <c r="D1007" i="13"/>
  <c r="F1007" i="13" s="1"/>
  <c r="E1007" i="13"/>
  <c r="G1007" i="13"/>
  <c r="H1007" i="13"/>
  <c r="K1007" i="13"/>
  <c r="L1007" i="13"/>
  <c r="B1008" i="13"/>
  <c r="C1008" i="13" s="1"/>
  <c r="D1008" i="13"/>
  <c r="F1008" i="13" s="1"/>
  <c r="E1008" i="13"/>
  <c r="G1008" i="13"/>
  <c r="K1008" i="13"/>
  <c r="B1009" i="13"/>
  <c r="D1009" i="13"/>
  <c r="E1009" i="13"/>
  <c r="F1009" i="13"/>
  <c r="G1009" i="13"/>
  <c r="H1009" i="13" s="1"/>
  <c r="M1009" i="13"/>
  <c r="B1010" i="13"/>
  <c r="M1010" i="13" s="1"/>
  <c r="D1010" i="13"/>
  <c r="F1010" i="13" s="1"/>
  <c r="E1010" i="13"/>
  <c r="G1010" i="13"/>
  <c r="H1010" i="13" s="1"/>
  <c r="B1011" i="13"/>
  <c r="I1011" i="13" s="1"/>
  <c r="C1011" i="13"/>
  <c r="D1011" i="13"/>
  <c r="F1011" i="13" s="1"/>
  <c r="E1011" i="13"/>
  <c r="G1011" i="13"/>
  <c r="H1011" i="13"/>
  <c r="K1011" i="13"/>
  <c r="L1011" i="13"/>
  <c r="B1012" i="13"/>
  <c r="I1012" i="13" s="1"/>
  <c r="D1012" i="13"/>
  <c r="F1012" i="13" s="1"/>
  <c r="E1012" i="13"/>
  <c r="G1012" i="13"/>
  <c r="J1012" i="13"/>
  <c r="L1012" i="13"/>
  <c r="B1013" i="13"/>
  <c r="C1013" i="13" s="1"/>
  <c r="D1013" i="13"/>
  <c r="F1013" i="13" s="1"/>
  <c r="E1013" i="13"/>
  <c r="G1013" i="13"/>
  <c r="J1013" i="13"/>
  <c r="K1013" i="13"/>
  <c r="L1013" i="13"/>
  <c r="B1014" i="13"/>
  <c r="C1014" i="13" s="1"/>
  <c r="D1014" i="13"/>
  <c r="F1014" i="13" s="1"/>
  <c r="E1014" i="13"/>
  <c r="G1014" i="13"/>
  <c r="H1014" i="13"/>
  <c r="B1015" i="13"/>
  <c r="L1015" i="13" s="1"/>
  <c r="C1015" i="13"/>
  <c r="D1015" i="13"/>
  <c r="F1015" i="13" s="1"/>
  <c r="E1015" i="13"/>
  <c r="G1015" i="13"/>
  <c r="I1015" i="13"/>
  <c r="J1015" i="13"/>
  <c r="K1015" i="13"/>
  <c r="M1015" i="13"/>
  <c r="B1016" i="13"/>
  <c r="D1016" i="13"/>
  <c r="F1016" i="13" s="1"/>
  <c r="E1016" i="13"/>
  <c r="G1016" i="13"/>
  <c r="H1016" i="13"/>
  <c r="B1017" i="13"/>
  <c r="J1017" i="13" s="1"/>
  <c r="C1017" i="13"/>
  <c r="D1017" i="13"/>
  <c r="F1017" i="13" s="1"/>
  <c r="E1017" i="13"/>
  <c r="G1017" i="13"/>
  <c r="H1017" i="13" s="1"/>
  <c r="I1017" i="13"/>
  <c r="L1017" i="13"/>
  <c r="M1017" i="13"/>
  <c r="B1018" i="13"/>
  <c r="C1018" i="13" s="1"/>
  <c r="D1018" i="13"/>
  <c r="E1018" i="13"/>
  <c r="F1018" i="13"/>
  <c r="G1018" i="13"/>
  <c r="H1018" i="13" s="1"/>
  <c r="J1018" i="13"/>
  <c r="B1019" i="13"/>
  <c r="D1019" i="13"/>
  <c r="E1019" i="13"/>
  <c r="F1019" i="13"/>
  <c r="G1019" i="13"/>
  <c r="J1019" i="13"/>
  <c r="K1019" i="13"/>
  <c r="B1020" i="13"/>
  <c r="I1020" i="13" s="1"/>
  <c r="D1020" i="13"/>
  <c r="E1020" i="13"/>
  <c r="G1020" i="13"/>
  <c r="J1020" i="13"/>
  <c r="L1020" i="13"/>
  <c r="B1021" i="13"/>
  <c r="C1021" i="13" s="1"/>
  <c r="D1021" i="13"/>
  <c r="F1021" i="13" s="1"/>
  <c r="E1021" i="13"/>
  <c r="G1021" i="13"/>
  <c r="J1021" i="13"/>
  <c r="K1021" i="13"/>
  <c r="L1021" i="13"/>
  <c r="B1022" i="13"/>
  <c r="D1022" i="13"/>
  <c r="F1022" i="13" s="1"/>
  <c r="E1022" i="13"/>
  <c r="G1022" i="13"/>
  <c r="B1023" i="13"/>
  <c r="L1023" i="13" s="1"/>
  <c r="C1023" i="13"/>
  <c r="D1023" i="13"/>
  <c r="F1023" i="13" s="1"/>
  <c r="E1023" i="13"/>
  <c r="G1023" i="13"/>
  <c r="I1023" i="13"/>
  <c r="J1023" i="13"/>
  <c r="K1023" i="13"/>
  <c r="M1023" i="13"/>
  <c r="B1024" i="13"/>
  <c r="D1024" i="13"/>
  <c r="F1024" i="13" s="1"/>
  <c r="E1024" i="13"/>
  <c r="G1024" i="13"/>
  <c r="H1024" i="13"/>
  <c r="B1025" i="13"/>
  <c r="C1025" i="13" s="1"/>
  <c r="D1025" i="13"/>
  <c r="F1025" i="13" s="1"/>
  <c r="E1025" i="13"/>
  <c r="G1025" i="13"/>
  <c r="H1025" i="13" s="1"/>
  <c r="L1025" i="13"/>
  <c r="M1025" i="13"/>
  <c r="B1026" i="13"/>
  <c r="C1026" i="13" s="1"/>
  <c r="D1026" i="13"/>
  <c r="E1026" i="13"/>
  <c r="F1026" i="13"/>
  <c r="G1026" i="13"/>
  <c r="H1026" i="13" s="1"/>
  <c r="J1026" i="13"/>
  <c r="B1027" i="13"/>
  <c r="J1027" i="13" s="1"/>
  <c r="C1027" i="13"/>
  <c r="D1027" i="13"/>
  <c r="E1027" i="13"/>
  <c r="F1027" i="13"/>
  <c r="G1027" i="13"/>
  <c r="M1027" i="13"/>
  <c r="B1028" i="13"/>
  <c r="I1028" i="13" s="1"/>
  <c r="D1028" i="13"/>
  <c r="E1028" i="13"/>
  <c r="G1028" i="13"/>
  <c r="J1028" i="13"/>
  <c r="L1028" i="13"/>
  <c r="B1029" i="13"/>
  <c r="D1029" i="13"/>
  <c r="F1029" i="13" s="1"/>
  <c r="E1029" i="13"/>
  <c r="G1029" i="13"/>
  <c r="J1029" i="13"/>
  <c r="K1029" i="13"/>
  <c r="L1029" i="13"/>
  <c r="B1030" i="13"/>
  <c r="C1030" i="13" s="1"/>
  <c r="D1030" i="13"/>
  <c r="F1030" i="13" s="1"/>
  <c r="E1030" i="13"/>
  <c r="G1030" i="13"/>
  <c r="H1030" i="13" s="1"/>
  <c r="B1031" i="13"/>
  <c r="L1031" i="13" s="1"/>
  <c r="C1031" i="13"/>
  <c r="D1031" i="13"/>
  <c r="F1031" i="13" s="1"/>
  <c r="E1031" i="13"/>
  <c r="G1031" i="13"/>
  <c r="I1031" i="13"/>
  <c r="J1031" i="13"/>
  <c r="K1031" i="13"/>
  <c r="M1031" i="13"/>
  <c r="B1032" i="13"/>
  <c r="J1032" i="13" s="1"/>
  <c r="D1032" i="13"/>
  <c r="F1032" i="13" s="1"/>
  <c r="E1032" i="13"/>
  <c r="G1032" i="13"/>
  <c r="H1032" i="13"/>
  <c r="B1033" i="13"/>
  <c r="K1033" i="13" s="1"/>
  <c r="C1033" i="13"/>
  <c r="D1033" i="13"/>
  <c r="F1033" i="13" s="1"/>
  <c r="E1033" i="13"/>
  <c r="G1033" i="13"/>
  <c r="I1033" i="13"/>
  <c r="J1033" i="13"/>
  <c r="L1033" i="13"/>
  <c r="M1033" i="13"/>
  <c r="B1034" i="13"/>
  <c r="C1034" i="13" s="1"/>
  <c r="D1034" i="13"/>
  <c r="E1034" i="13"/>
  <c r="F1034" i="13"/>
  <c r="G1034" i="13"/>
  <c r="H1034" i="13" s="1"/>
  <c r="J1034" i="13"/>
  <c r="B1035" i="13"/>
  <c r="C1035" i="13" s="1"/>
  <c r="D1035" i="13"/>
  <c r="E1035" i="13"/>
  <c r="F1035" i="13"/>
  <c r="G1035" i="13"/>
  <c r="J1035" i="13"/>
  <c r="K1035" i="13"/>
  <c r="M1035" i="13"/>
  <c r="B1036" i="13"/>
  <c r="I1036" i="13" s="1"/>
  <c r="D1036" i="13"/>
  <c r="E1036" i="13"/>
  <c r="G1036" i="13"/>
  <c r="J1036" i="13"/>
  <c r="L1036" i="13"/>
  <c r="B1037" i="13"/>
  <c r="K1037" i="13" s="1"/>
  <c r="D1037" i="13"/>
  <c r="F1037" i="13" s="1"/>
  <c r="E1037" i="13"/>
  <c r="G1037" i="13"/>
  <c r="H1037" i="13" s="1"/>
  <c r="J1037" i="13"/>
  <c r="B1038" i="13"/>
  <c r="C1038" i="13" s="1"/>
  <c r="D1038" i="13"/>
  <c r="F1038" i="13" s="1"/>
  <c r="E1038" i="13"/>
  <c r="G1038" i="13"/>
  <c r="J1038" i="13"/>
  <c r="B1039" i="13"/>
  <c r="L1039" i="13" s="1"/>
  <c r="C1039" i="13"/>
  <c r="D1039" i="13"/>
  <c r="F1039" i="13" s="1"/>
  <c r="E1039" i="13"/>
  <c r="G1039" i="13"/>
  <c r="I1039" i="13"/>
  <c r="J1039" i="13"/>
  <c r="K1039" i="13"/>
  <c r="M1039" i="13"/>
  <c r="B1040" i="13"/>
  <c r="D1040" i="13"/>
  <c r="F1040" i="13" s="1"/>
  <c r="E1040" i="13"/>
  <c r="G1040" i="13"/>
  <c r="J1040" i="13"/>
  <c r="B1041" i="13"/>
  <c r="K1041" i="13" s="1"/>
  <c r="D1041" i="13"/>
  <c r="F1041" i="13" s="1"/>
  <c r="E1041" i="13"/>
  <c r="G1041" i="13"/>
  <c r="H1041" i="13" s="1"/>
  <c r="M1041" i="13"/>
  <c r="B1042" i="13"/>
  <c r="C1042" i="13" s="1"/>
  <c r="D1042" i="13"/>
  <c r="E1042" i="13"/>
  <c r="F1042" i="13"/>
  <c r="G1042" i="13"/>
  <c r="H1042" i="13" s="1"/>
  <c r="B1043" i="13"/>
  <c r="J1043" i="13" s="1"/>
  <c r="C1043" i="13"/>
  <c r="D1043" i="13"/>
  <c r="E1043" i="13"/>
  <c r="F1043" i="13"/>
  <c r="G1043" i="13"/>
  <c r="M1043" i="13"/>
  <c r="B1044" i="13"/>
  <c r="I1044" i="13" s="1"/>
  <c r="D1044" i="13"/>
  <c r="E1044" i="13"/>
  <c r="G1044" i="13"/>
  <c r="J1044" i="13"/>
  <c r="L1044" i="13"/>
  <c r="B1045" i="13"/>
  <c r="D1045" i="13"/>
  <c r="F1045" i="13" s="1"/>
  <c r="E1045" i="13"/>
  <c r="G1045" i="13"/>
  <c r="J1045" i="13"/>
  <c r="K1045" i="13"/>
  <c r="L1045" i="13"/>
  <c r="B1046" i="13"/>
  <c r="C1046" i="13" s="1"/>
  <c r="D1046" i="13"/>
  <c r="E1046" i="13"/>
  <c r="F1046" i="13"/>
  <c r="G1046" i="13"/>
  <c r="H1046" i="13" s="1"/>
  <c r="J1046" i="13"/>
  <c r="B1047" i="13"/>
  <c r="L1047" i="13" s="1"/>
  <c r="D1047" i="13"/>
  <c r="E1047" i="13"/>
  <c r="F1047" i="13"/>
  <c r="G1047" i="13"/>
  <c r="K1047" i="13"/>
  <c r="B1048" i="13"/>
  <c r="I1048" i="13" s="1"/>
  <c r="D1048" i="13"/>
  <c r="F1048" i="13" s="1"/>
  <c r="E1048" i="13"/>
  <c r="G1048" i="13"/>
  <c r="J1048" i="13"/>
  <c r="L1048" i="13"/>
  <c r="B1049" i="13"/>
  <c r="C1049" i="13" s="1"/>
  <c r="D1049" i="13"/>
  <c r="F1049" i="13" s="1"/>
  <c r="E1049" i="13"/>
  <c r="G1049" i="13"/>
  <c r="J1049" i="13"/>
  <c r="K1049" i="13"/>
  <c r="L1049" i="13"/>
  <c r="B1050" i="13"/>
  <c r="C1050" i="13" s="1"/>
  <c r="D1050" i="13"/>
  <c r="F1050" i="13" s="1"/>
  <c r="E1050" i="13"/>
  <c r="G1050" i="13"/>
  <c r="H1050" i="13"/>
  <c r="B1051" i="13"/>
  <c r="L1051" i="13" s="1"/>
  <c r="C1051" i="13"/>
  <c r="D1051" i="13"/>
  <c r="F1051" i="13" s="1"/>
  <c r="E1051" i="13"/>
  <c r="G1051" i="13"/>
  <c r="I1051" i="13"/>
  <c r="J1051" i="13"/>
  <c r="K1051" i="13"/>
  <c r="M1051" i="13"/>
  <c r="B1052" i="13"/>
  <c r="I1052" i="13" s="1"/>
  <c r="D1052" i="13"/>
  <c r="F1052" i="13" s="1"/>
  <c r="E1052" i="13"/>
  <c r="G1052" i="13"/>
  <c r="H1052" i="13"/>
  <c r="B1053" i="13"/>
  <c r="J1053" i="13" s="1"/>
  <c r="C1053" i="13"/>
  <c r="D1053" i="13"/>
  <c r="F1053" i="13" s="1"/>
  <c r="E1053" i="13"/>
  <c r="G1053" i="13"/>
  <c r="H1053" i="13" s="1"/>
  <c r="I1053" i="13"/>
  <c r="L1053" i="13"/>
  <c r="M1053" i="13"/>
  <c r="B1054" i="13"/>
  <c r="C1054" i="13" s="1"/>
  <c r="D1054" i="13"/>
  <c r="E1054" i="13"/>
  <c r="F1054" i="13"/>
  <c r="G1054" i="13"/>
  <c r="H1054" i="13" s="1"/>
  <c r="J1054" i="13"/>
  <c r="B1055" i="13"/>
  <c r="L1055" i="13" s="1"/>
  <c r="D1055" i="13"/>
  <c r="E1055" i="13"/>
  <c r="F1055" i="13"/>
  <c r="G1055" i="13"/>
  <c r="K1055" i="13"/>
  <c r="B1056" i="13"/>
  <c r="I1056" i="13" s="1"/>
  <c r="D1056" i="13"/>
  <c r="F1056" i="13" s="1"/>
  <c r="E1056" i="13"/>
  <c r="G1056" i="13"/>
  <c r="J1056" i="13"/>
  <c r="L1056" i="13"/>
  <c r="B1057" i="13"/>
  <c r="C1057" i="13" s="1"/>
  <c r="D1057" i="13"/>
  <c r="F1057" i="13" s="1"/>
  <c r="E1057" i="13"/>
  <c r="G1057" i="13"/>
  <c r="J1057" i="13"/>
  <c r="K1057" i="13"/>
  <c r="L1057" i="13"/>
  <c r="B1058" i="13"/>
  <c r="C1058" i="13" s="1"/>
  <c r="D1058" i="13"/>
  <c r="F1058" i="13" s="1"/>
  <c r="E1058" i="13"/>
  <c r="G1058" i="13"/>
  <c r="H1058" i="13"/>
  <c r="B1059" i="13"/>
  <c r="L1059" i="13" s="1"/>
  <c r="C1059" i="13"/>
  <c r="D1059" i="13"/>
  <c r="F1059" i="13" s="1"/>
  <c r="E1059" i="13"/>
  <c r="G1059" i="13"/>
  <c r="I1059" i="13"/>
  <c r="J1059" i="13"/>
  <c r="K1059" i="13"/>
  <c r="M1059" i="13"/>
  <c r="B1060" i="13"/>
  <c r="I1060" i="13" s="1"/>
  <c r="D1060" i="13"/>
  <c r="F1060" i="13" s="1"/>
  <c r="E1060" i="13"/>
  <c r="G1060" i="13"/>
  <c r="H1060" i="13"/>
  <c r="B1061" i="13"/>
  <c r="J1061" i="13" s="1"/>
  <c r="C1061" i="13"/>
  <c r="D1061" i="13"/>
  <c r="F1061" i="13" s="1"/>
  <c r="E1061" i="13"/>
  <c r="G1061" i="13"/>
  <c r="H1061" i="13" s="1"/>
  <c r="I1061" i="13"/>
  <c r="L1061" i="13"/>
  <c r="M1061" i="13"/>
  <c r="B1062" i="13"/>
  <c r="C1062" i="13" s="1"/>
  <c r="D1062" i="13"/>
  <c r="E1062" i="13"/>
  <c r="F1062" i="13"/>
  <c r="G1062" i="13"/>
  <c r="H1062" i="13" s="1"/>
  <c r="J1062" i="13"/>
  <c r="B1063" i="13"/>
  <c r="L1063" i="13" s="1"/>
  <c r="D1063" i="13"/>
  <c r="E1063" i="13"/>
  <c r="F1063" i="13"/>
  <c r="G1063" i="13"/>
  <c r="K1063" i="13"/>
  <c r="B1064" i="13"/>
  <c r="I1064" i="13" s="1"/>
  <c r="D1064" i="13"/>
  <c r="F1064" i="13" s="1"/>
  <c r="E1064" i="13"/>
  <c r="G1064" i="13"/>
  <c r="J1064" i="13"/>
  <c r="L1064" i="13"/>
  <c r="B1065" i="13"/>
  <c r="C1065" i="13" s="1"/>
  <c r="D1065" i="13"/>
  <c r="F1065" i="13" s="1"/>
  <c r="E1065" i="13"/>
  <c r="G1065" i="13"/>
  <c r="J1065" i="13"/>
  <c r="K1065" i="13"/>
  <c r="L1065" i="13"/>
  <c r="B1066" i="13"/>
  <c r="C1066" i="13" s="1"/>
  <c r="D1066" i="13"/>
  <c r="F1066" i="13" s="1"/>
  <c r="E1066" i="13"/>
  <c r="G1066" i="13"/>
  <c r="H1066" i="13"/>
  <c r="B1067" i="13"/>
  <c r="L1067" i="13" s="1"/>
  <c r="C1067" i="13"/>
  <c r="D1067" i="13"/>
  <c r="F1067" i="13" s="1"/>
  <c r="E1067" i="13"/>
  <c r="G1067" i="13"/>
  <c r="I1067" i="13"/>
  <c r="J1067" i="13"/>
  <c r="K1067" i="13"/>
  <c r="M1067" i="13"/>
  <c r="B1068" i="13"/>
  <c r="I1068" i="13" s="1"/>
  <c r="D1068" i="13"/>
  <c r="F1068" i="13" s="1"/>
  <c r="E1068" i="13"/>
  <c r="G1068" i="13"/>
  <c r="H1068" i="13"/>
  <c r="B1069" i="13"/>
  <c r="J1069" i="13" s="1"/>
  <c r="C1069" i="13"/>
  <c r="D1069" i="13"/>
  <c r="F1069" i="13" s="1"/>
  <c r="E1069" i="13"/>
  <c r="G1069" i="13"/>
  <c r="H1069" i="13" s="1"/>
  <c r="I1069" i="13"/>
  <c r="L1069" i="13"/>
  <c r="M1069" i="13"/>
  <c r="B1070" i="13"/>
  <c r="C1070" i="13" s="1"/>
  <c r="D1070" i="13"/>
  <c r="E1070" i="13"/>
  <c r="F1070" i="13"/>
  <c r="G1070" i="13"/>
  <c r="H1070" i="13" s="1"/>
  <c r="J1070" i="13"/>
  <c r="B1071" i="13"/>
  <c r="L1071" i="13" s="1"/>
  <c r="D1071" i="13"/>
  <c r="E1071" i="13"/>
  <c r="F1071" i="13"/>
  <c r="G1071" i="13"/>
  <c r="K1071" i="13"/>
  <c r="B1072" i="13"/>
  <c r="I1072" i="13" s="1"/>
  <c r="D1072" i="13"/>
  <c r="F1072" i="13" s="1"/>
  <c r="E1072" i="13"/>
  <c r="G1072" i="13"/>
  <c r="J1072" i="13"/>
  <c r="L1072" i="13"/>
  <c r="B1073" i="13"/>
  <c r="C1073" i="13" s="1"/>
  <c r="D1073" i="13"/>
  <c r="F1073" i="13" s="1"/>
  <c r="E1073" i="13"/>
  <c r="G1073" i="13"/>
  <c r="J1073" i="13"/>
  <c r="K1073" i="13"/>
  <c r="L1073" i="13"/>
  <c r="B1074" i="13"/>
  <c r="C1074" i="13" s="1"/>
  <c r="D1074" i="13"/>
  <c r="F1074" i="13" s="1"/>
  <c r="E1074" i="13"/>
  <c r="G1074" i="13"/>
  <c r="H1074" i="13"/>
  <c r="B1075" i="13"/>
  <c r="L1075" i="13" s="1"/>
  <c r="C1075" i="13"/>
  <c r="D1075" i="13"/>
  <c r="F1075" i="13" s="1"/>
  <c r="E1075" i="13"/>
  <c r="G1075" i="13"/>
  <c r="I1075" i="13"/>
  <c r="J1075" i="13"/>
  <c r="K1075" i="13"/>
  <c r="M1075" i="13"/>
  <c r="B1076" i="13"/>
  <c r="I1076" i="13" s="1"/>
  <c r="D1076" i="13"/>
  <c r="F1076" i="13" s="1"/>
  <c r="E1076" i="13"/>
  <c r="G1076" i="13"/>
  <c r="H1076" i="13"/>
  <c r="B1077" i="13"/>
  <c r="J1077" i="13" s="1"/>
  <c r="C1077" i="13"/>
  <c r="D1077" i="13"/>
  <c r="F1077" i="13" s="1"/>
  <c r="E1077" i="13"/>
  <c r="G1077" i="13"/>
  <c r="H1077" i="13" s="1"/>
  <c r="I1077" i="13"/>
  <c r="L1077" i="13"/>
  <c r="M1077" i="13"/>
  <c r="B1078" i="13"/>
  <c r="C1078" i="13" s="1"/>
  <c r="D1078" i="13"/>
  <c r="E1078" i="13"/>
  <c r="F1078" i="13"/>
  <c r="G1078" i="13"/>
  <c r="H1078" i="13" s="1"/>
  <c r="J1078" i="13"/>
  <c r="B1079" i="13"/>
  <c r="L1079" i="13" s="1"/>
  <c r="D1079" i="13"/>
  <c r="E1079" i="13"/>
  <c r="F1079" i="13"/>
  <c r="G1079" i="13"/>
  <c r="K1079" i="13"/>
  <c r="B1080" i="13"/>
  <c r="I1080" i="13" s="1"/>
  <c r="D1080" i="13"/>
  <c r="F1080" i="13" s="1"/>
  <c r="E1080" i="13"/>
  <c r="G1080" i="13"/>
  <c r="J1080" i="13"/>
  <c r="L1080" i="13"/>
  <c r="B1081" i="13"/>
  <c r="C1081" i="13" s="1"/>
  <c r="D1081" i="13"/>
  <c r="F1081" i="13" s="1"/>
  <c r="E1081" i="13"/>
  <c r="G1081" i="13"/>
  <c r="J1081" i="13"/>
  <c r="K1081" i="13"/>
  <c r="L1081" i="13"/>
  <c r="B1082" i="13"/>
  <c r="C1082" i="13" s="1"/>
  <c r="D1082" i="13"/>
  <c r="F1082" i="13" s="1"/>
  <c r="E1082" i="13"/>
  <c r="G1082" i="13"/>
  <c r="H1082" i="13"/>
  <c r="B1083" i="13"/>
  <c r="L1083" i="13" s="1"/>
  <c r="C1083" i="13"/>
  <c r="D1083" i="13"/>
  <c r="F1083" i="13" s="1"/>
  <c r="E1083" i="13"/>
  <c r="G1083" i="13"/>
  <c r="I1083" i="13"/>
  <c r="J1083" i="13"/>
  <c r="K1083" i="13"/>
  <c r="M1083" i="13"/>
  <c r="B1084" i="13"/>
  <c r="I1084" i="13" s="1"/>
  <c r="D1084" i="13"/>
  <c r="F1084" i="13" s="1"/>
  <c r="E1084" i="13"/>
  <c r="G1084" i="13"/>
  <c r="J1084" i="13"/>
  <c r="B1085" i="13"/>
  <c r="C1085" i="13"/>
  <c r="D1085" i="13"/>
  <c r="F1085" i="13" s="1"/>
  <c r="E1085" i="13"/>
  <c r="G1085" i="13"/>
  <c r="I1085" i="13"/>
  <c r="J1085" i="13"/>
  <c r="K1085" i="13"/>
  <c r="L1085" i="13"/>
  <c r="M1085" i="13"/>
  <c r="B1086" i="13"/>
  <c r="J1086" i="13" s="1"/>
  <c r="D1086" i="13"/>
  <c r="E1086" i="13"/>
  <c r="F1086" i="13"/>
  <c r="G1086" i="13"/>
  <c r="H1086" i="13" s="1"/>
  <c r="B1087" i="13"/>
  <c r="L1087" i="13" s="1"/>
  <c r="C1087" i="13"/>
  <c r="D1087" i="13"/>
  <c r="E1087" i="13"/>
  <c r="F1087" i="13"/>
  <c r="G1087" i="13"/>
  <c r="K1087" i="13"/>
  <c r="M1087" i="13"/>
  <c r="B1088" i="13"/>
  <c r="I1088" i="13" s="1"/>
  <c r="D1088" i="13"/>
  <c r="F1088" i="13" s="1"/>
  <c r="E1088" i="13"/>
  <c r="G1088" i="13"/>
  <c r="H1088" i="13" s="1"/>
  <c r="L1088" i="13"/>
  <c r="B1089" i="13"/>
  <c r="K1089" i="13" s="1"/>
  <c r="D1089" i="13"/>
  <c r="F1089" i="13" s="1"/>
  <c r="E1089" i="13"/>
  <c r="G1089" i="13"/>
  <c r="L1089" i="13"/>
  <c r="B1090" i="13"/>
  <c r="D1090" i="13"/>
  <c r="F1090" i="13" s="1"/>
  <c r="E1090" i="13"/>
  <c r="G1090" i="13"/>
  <c r="H1090" i="13"/>
  <c r="B1091" i="13"/>
  <c r="L1091" i="13" s="1"/>
  <c r="D1091" i="13"/>
  <c r="E1091" i="13"/>
  <c r="F1091" i="13"/>
  <c r="G1091" i="13"/>
  <c r="K1091" i="13"/>
  <c r="B1092" i="13"/>
  <c r="I1092" i="13" s="1"/>
  <c r="D1092" i="13"/>
  <c r="F1092" i="13" s="1"/>
  <c r="E1092" i="13"/>
  <c r="G1092" i="13"/>
  <c r="J1092" i="13"/>
  <c r="L1092" i="13"/>
  <c r="B1093" i="13"/>
  <c r="K1093" i="13" s="1"/>
  <c r="D1093" i="13"/>
  <c r="F1093" i="13" s="1"/>
  <c r="E1093" i="13"/>
  <c r="G1093" i="13"/>
  <c r="L1093" i="13"/>
  <c r="B1094" i="13"/>
  <c r="D1094" i="13"/>
  <c r="F1094" i="13" s="1"/>
  <c r="E1094" i="13"/>
  <c r="G1094" i="13"/>
  <c r="B1095" i="13"/>
  <c r="L1095" i="13" s="1"/>
  <c r="C1095" i="13"/>
  <c r="D1095" i="13"/>
  <c r="E1095" i="13"/>
  <c r="F1095" i="13"/>
  <c r="G1095" i="13"/>
  <c r="K1095" i="13"/>
  <c r="M1095" i="13"/>
  <c r="B1096" i="13"/>
  <c r="J1096" i="13" s="1"/>
  <c r="D1096" i="13"/>
  <c r="F1096" i="13" s="1"/>
  <c r="E1096" i="13"/>
  <c r="G1096" i="13"/>
  <c r="H1096" i="13" s="1"/>
  <c r="L1096" i="13"/>
  <c r="B1097" i="13"/>
  <c r="K1097" i="13" s="1"/>
  <c r="D1097" i="13"/>
  <c r="F1097" i="13" s="1"/>
  <c r="E1097" i="13"/>
  <c r="G1097" i="13"/>
  <c r="L1097" i="13"/>
  <c r="B1098" i="13"/>
  <c r="L1098" i="13" s="1"/>
  <c r="D1098" i="13"/>
  <c r="F1098" i="13" s="1"/>
  <c r="E1098" i="13"/>
  <c r="G1098" i="13"/>
  <c r="H1098" i="13"/>
  <c r="J1098" i="13"/>
  <c r="B1099" i="13"/>
  <c r="L1099" i="13" s="1"/>
  <c r="D1099" i="13"/>
  <c r="F1099" i="13" s="1"/>
  <c r="E1099" i="13"/>
  <c r="G1099" i="13"/>
  <c r="I1099" i="13"/>
  <c r="J1099" i="13"/>
  <c r="K1099" i="13"/>
  <c r="B1100" i="13"/>
  <c r="L1100" i="13" s="1"/>
  <c r="D1100" i="13"/>
  <c r="F1100" i="13" s="1"/>
  <c r="E1100" i="13"/>
  <c r="G1100" i="13"/>
  <c r="H1100" i="13"/>
  <c r="B1101" i="13"/>
  <c r="C1101" i="13"/>
  <c r="D1101" i="13"/>
  <c r="F1101" i="13" s="1"/>
  <c r="E1101" i="13"/>
  <c r="G1101" i="13"/>
  <c r="I1101" i="13"/>
  <c r="J1101" i="13"/>
  <c r="K1101" i="13"/>
  <c r="L1101" i="13"/>
  <c r="M1101" i="13"/>
  <c r="B1102" i="13"/>
  <c r="D1102" i="13"/>
  <c r="F1102" i="13" s="1"/>
  <c r="E1102" i="13"/>
  <c r="G1102" i="13"/>
  <c r="H1102" i="13"/>
  <c r="B1103" i="13"/>
  <c r="L1103" i="13" s="1"/>
  <c r="D1103" i="13"/>
  <c r="F1103" i="13" s="1"/>
  <c r="E1103" i="13"/>
  <c r="G1103" i="13"/>
  <c r="I1103" i="13"/>
  <c r="J1103" i="13"/>
  <c r="K1103" i="13"/>
  <c r="B1104" i="13"/>
  <c r="L1104" i="13" s="1"/>
  <c r="D1104" i="13"/>
  <c r="F1104" i="13" s="1"/>
  <c r="E1104" i="13"/>
  <c r="G1104" i="13"/>
  <c r="J1104" i="13"/>
  <c r="B1105" i="13"/>
  <c r="C1105" i="13"/>
  <c r="D1105" i="13"/>
  <c r="F1105" i="13" s="1"/>
  <c r="E1105" i="13"/>
  <c r="G1105" i="13"/>
  <c r="I1105" i="13"/>
  <c r="J1105" i="13"/>
  <c r="K1105" i="13"/>
  <c r="L1105" i="13"/>
  <c r="M1105" i="13"/>
  <c r="B1106" i="13"/>
  <c r="L1106" i="13" s="1"/>
  <c r="D1106" i="13"/>
  <c r="E1106" i="13"/>
  <c r="F1106" i="13"/>
  <c r="G1106" i="13"/>
  <c r="H1106" i="13" s="1"/>
  <c r="B1107" i="13"/>
  <c r="L1107" i="13" s="1"/>
  <c r="C1107" i="13"/>
  <c r="D1107" i="13"/>
  <c r="E1107" i="13"/>
  <c r="F1107" i="13"/>
  <c r="G1107" i="13"/>
  <c r="K1107" i="13"/>
  <c r="M1107" i="13"/>
  <c r="B1108" i="13"/>
  <c r="D1108" i="13"/>
  <c r="E1108" i="13"/>
  <c r="F1108" i="13"/>
  <c r="G1108" i="13"/>
  <c r="H1108" i="13" s="1"/>
  <c r="L1108" i="13"/>
  <c r="B1109" i="13"/>
  <c r="K1109" i="13" s="1"/>
  <c r="D1109" i="13"/>
  <c r="F1109" i="13" s="1"/>
  <c r="E1109" i="13"/>
  <c r="G1109" i="13"/>
  <c r="L1109" i="13"/>
  <c r="B1110" i="13"/>
  <c r="D1110" i="13"/>
  <c r="F1110" i="13" s="1"/>
  <c r="E1110" i="13"/>
  <c r="G1110" i="13"/>
  <c r="B1111" i="13"/>
  <c r="L1111" i="13" s="1"/>
  <c r="C1111" i="13"/>
  <c r="D1111" i="13"/>
  <c r="E1111" i="13"/>
  <c r="F1111" i="13"/>
  <c r="G1111" i="13"/>
  <c r="K1111" i="13"/>
  <c r="M1111" i="13"/>
  <c r="B1112" i="13"/>
  <c r="J1112" i="13" s="1"/>
  <c r="D1112" i="13"/>
  <c r="F1112" i="13" s="1"/>
  <c r="E1112" i="13"/>
  <c r="G1112" i="13"/>
  <c r="H1112" i="13" s="1"/>
  <c r="L1112" i="13"/>
  <c r="B1113" i="13"/>
  <c r="K1113" i="13" s="1"/>
  <c r="D1113" i="13"/>
  <c r="F1113" i="13" s="1"/>
  <c r="E1113" i="13"/>
  <c r="G1113" i="13"/>
  <c r="L1113" i="13"/>
  <c r="B1114" i="13"/>
  <c r="L1114" i="13" s="1"/>
  <c r="D1114" i="13"/>
  <c r="F1114" i="13" s="1"/>
  <c r="E1114" i="13"/>
  <c r="G1114" i="13"/>
  <c r="H1114" i="13"/>
  <c r="J1114" i="13"/>
  <c r="B1115" i="13"/>
  <c r="L1115" i="13" s="1"/>
  <c r="D1115" i="13"/>
  <c r="F1115" i="13" s="1"/>
  <c r="E1115" i="13"/>
  <c r="G1115" i="13"/>
  <c r="I1115" i="13"/>
  <c r="J1115" i="13"/>
  <c r="K1115" i="13"/>
  <c r="B1116" i="13"/>
  <c r="L1116" i="13" s="1"/>
  <c r="D1116" i="13"/>
  <c r="F1116" i="13" s="1"/>
  <c r="E1116" i="13"/>
  <c r="G1116" i="13"/>
  <c r="H1116" i="13"/>
  <c r="B1117" i="13"/>
  <c r="C1117" i="13"/>
  <c r="D1117" i="13"/>
  <c r="F1117" i="13" s="1"/>
  <c r="E1117" i="13"/>
  <c r="G1117" i="13"/>
  <c r="I1117" i="13"/>
  <c r="J1117" i="13"/>
  <c r="K1117" i="13"/>
  <c r="L1117" i="13"/>
  <c r="M1117" i="13"/>
  <c r="B1118" i="13"/>
  <c r="D1118" i="13"/>
  <c r="F1118" i="13" s="1"/>
  <c r="E1118" i="13"/>
  <c r="G1118" i="13"/>
  <c r="H1118" i="13"/>
  <c r="B1119" i="13"/>
  <c r="L1119" i="13" s="1"/>
  <c r="D1119" i="13"/>
  <c r="F1119" i="13" s="1"/>
  <c r="E1119" i="13"/>
  <c r="G1119" i="13"/>
  <c r="I1119" i="13"/>
  <c r="J1119" i="13"/>
  <c r="K1119" i="13"/>
  <c r="B1120" i="13"/>
  <c r="L1120" i="13" s="1"/>
  <c r="D1120" i="13"/>
  <c r="F1120" i="13" s="1"/>
  <c r="E1120" i="13"/>
  <c r="G1120" i="13"/>
  <c r="J1120" i="13"/>
  <c r="B1121" i="13"/>
  <c r="C1121" i="13"/>
  <c r="D1121" i="13"/>
  <c r="F1121" i="13" s="1"/>
  <c r="E1121" i="13"/>
  <c r="G1121" i="13"/>
  <c r="I1121" i="13"/>
  <c r="J1121" i="13"/>
  <c r="K1121" i="13"/>
  <c r="L1121" i="13"/>
  <c r="M1121" i="13"/>
  <c r="B1122" i="13"/>
  <c r="L1122" i="13" s="1"/>
  <c r="D1122" i="13"/>
  <c r="E1122" i="13"/>
  <c r="F1122" i="13"/>
  <c r="G1122" i="13"/>
  <c r="H1122" i="13" s="1"/>
  <c r="B1123" i="13"/>
  <c r="L1123" i="13" s="1"/>
  <c r="C1123" i="13"/>
  <c r="D1123" i="13"/>
  <c r="E1123" i="13"/>
  <c r="F1123" i="13"/>
  <c r="G1123" i="13"/>
  <c r="K1123" i="13"/>
  <c r="M1123" i="13"/>
  <c r="B1124" i="13"/>
  <c r="D1124" i="13"/>
  <c r="E1124" i="13"/>
  <c r="F1124" i="13"/>
  <c r="G1124" i="13"/>
  <c r="H1124" i="13" s="1"/>
  <c r="L1124" i="13"/>
  <c r="B1125" i="13"/>
  <c r="K1125" i="13" s="1"/>
  <c r="D1125" i="13"/>
  <c r="F1125" i="13" s="1"/>
  <c r="E1125" i="13"/>
  <c r="G1125" i="13"/>
  <c r="L1125" i="13"/>
  <c r="B1126" i="13"/>
  <c r="D1126" i="13"/>
  <c r="F1126" i="13" s="1"/>
  <c r="E1126" i="13"/>
  <c r="G1126" i="13"/>
  <c r="B1127" i="13"/>
  <c r="L1127" i="13" s="1"/>
  <c r="C1127" i="13"/>
  <c r="D1127" i="13"/>
  <c r="E1127" i="13"/>
  <c r="F1127" i="13"/>
  <c r="G1127" i="13"/>
  <c r="K1127" i="13"/>
  <c r="M1127" i="13"/>
  <c r="B1128" i="13"/>
  <c r="J1128" i="13" s="1"/>
  <c r="D1128" i="13"/>
  <c r="F1128" i="13" s="1"/>
  <c r="E1128" i="13"/>
  <c r="G1128" i="13"/>
  <c r="H1128" i="13" s="1"/>
  <c r="L1128" i="13"/>
  <c r="B1129" i="13"/>
  <c r="K1129" i="13" s="1"/>
  <c r="D1129" i="13"/>
  <c r="F1129" i="13" s="1"/>
  <c r="E1129" i="13"/>
  <c r="G1129" i="13"/>
  <c r="L1129" i="13"/>
  <c r="B1130" i="13"/>
  <c r="L1130" i="13" s="1"/>
  <c r="D1130" i="13"/>
  <c r="F1130" i="13" s="1"/>
  <c r="E1130" i="13"/>
  <c r="G1130" i="13"/>
  <c r="H1130" i="13"/>
  <c r="J1130" i="13"/>
  <c r="B1131" i="13"/>
  <c r="L1131" i="13" s="1"/>
  <c r="C1131" i="13"/>
  <c r="D1131" i="13"/>
  <c r="F1131" i="13" s="1"/>
  <c r="E1131" i="13"/>
  <c r="G1131" i="13"/>
  <c r="I1131" i="13"/>
  <c r="J1131" i="13"/>
  <c r="K1131" i="13"/>
  <c r="M1131" i="13"/>
  <c r="B1132" i="13"/>
  <c r="L1132" i="13" s="1"/>
  <c r="D1132" i="13"/>
  <c r="F1132" i="13" s="1"/>
  <c r="E1132" i="13"/>
  <c r="G1132" i="13"/>
  <c r="H1132" i="13"/>
  <c r="B1133" i="13"/>
  <c r="K1133" i="13" s="1"/>
  <c r="C1133" i="13"/>
  <c r="D1133" i="13"/>
  <c r="F1133" i="13" s="1"/>
  <c r="E1133" i="13"/>
  <c r="G1133" i="13"/>
  <c r="I1133" i="13"/>
  <c r="J1133" i="13"/>
  <c r="L1133" i="13"/>
  <c r="M1133" i="13"/>
  <c r="B1134" i="13"/>
  <c r="D1134" i="13"/>
  <c r="F1134" i="13" s="1"/>
  <c r="E1134" i="13"/>
  <c r="G1134" i="13"/>
  <c r="H1134" i="13"/>
  <c r="B1135" i="13"/>
  <c r="L1135" i="13" s="1"/>
  <c r="D1135" i="13"/>
  <c r="F1135" i="13" s="1"/>
  <c r="E1135" i="13"/>
  <c r="G1135" i="13"/>
  <c r="I1135" i="13"/>
  <c r="J1135" i="13"/>
  <c r="K1135" i="13"/>
  <c r="M1135" i="13"/>
  <c r="B1136" i="13"/>
  <c r="L1136" i="13" s="1"/>
  <c r="D1136" i="13"/>
  <c r="F1136" i="13" s="1"/>
  <c r="E1136" i="13"/>
  <c r="G1136" i="13"/>
  <c r="J1136" i="13"/>
  <c r="B1137" i="13"/>
  <c r="C1137" i="13"/>
  <c r="D1137" i="13"/>
  <c r="F1137" i="13" s="1"/>
  <c r="E1137" i="13"/>
  <c r="G1137" i="13"/>
  <c r="I1137" i="13"/>
  <c r="J1137" i="13"/>
  <c r="K1137" i="13"/>
  <c r="L1137" i="13"/>
  <c r="M1137" i="13"/>
  <c r="B1138" i="13"/>
  <c r="L1138" i="13" s="1"/>
  <c r="D1138" i="13"/>
  <c r="E1138" i="13"/>
  <c r="F1138" i="13"/>
  <c r="G1138" i="13"/>
  <c r="H1138" i="13" s="1"/>
  <c r="B1139" i="13"/>
  <c r="L1139" i="13" s="1"/>
  <c r="C1139" i="13"/>
  <c r="D1139" i="13"/>
  <c r="E1139" i="13"/>
  <c r="F1139" i="13"/>
  <c r="G1139" i="13"/>
  <c r="K1139" i="13"/>
  <c r="M1139" i="13"/>
  <c r="B1140" i="13"/>
  <c r="D1140" i="13"/>
  <c r="E1140" i="13"/>
  <c r="F1140" i="13"/>
  <c r="G1140" i="13"/>
  <c r="H1140" i="13" s="1"/>
  <c r="L1140" i="13"/>
  <c r="B1141" i="13"/>
  <c r="K1141" i="13" s="1"/>
  <c r="D1141" i="13"/>
  <c r="F1141" i="13" s="1"/>
  <c r="E1141" i="13"/>
  <c r="G1141" i="13"/>
  <c r="L1141" i="13"/>
  <c r="B1142" i="13"/>
  <c r="D1142" i="13"/>
  <c r="F1142" i="13" s="1"/>
  <c r="E1142" i="13"/>
  <c r="G1142" i="13"/>
  <c r="B1143" i="13"/>
  <c r="L1143" i="13" s="1"/>
  <c r="C1143" i="13"/>
  <c r="D1143" i="13"/>
  <c r="E1143" i="13"/>
  <c r="F1143" i="13"/>
  <c r="G1143" i="13"/>
  <c r="K1143" i="13"/>
  <c r="M1143" i="13"/>
  <c r="B1144" i="13"/>
  <c r="D1144" i="13"/>
  <c r="F1144" i="13" s="1"/>
  <c r="E1144" i="13"/>
  <c r="G1144" i="13"/>
  <c r="J1144" i="13"/>
  <c r="L1144" i="13"/>
  <c r="B1145" i="13"/>
  <c r="K1145" i="13" s="1"/>
  <c r="D1145" i="13"/>
  <c r="F1145" i="13" s="1"/>
  <c r="E1145" i="13"/>
  <c r="G1145" i="13"/>
  <c r="L1145" i="13"/>
  <c r="B1146" i="13"/>
  <c r="L1146" i="13" s="1"/>
  <c r="D1146" i="13"/>
  <c r="F1146" i="13" s="1"/>
  <c r="E1146" i="13"/>
  <c r="G1146" i="13"/>
  <c r="H1146" i="13"/>
  <c r="J1146" i="13"/>
  <c r="B1147" i="13"/>
  <c r="L1147" i="13" s="1"/>
  <c r="C1147" i="13"/>
  <c r="D1147" i="13"/>
  <c r="F1147" i="13" s="1"/>
  <c r="E1147" i="13"/>
  <c r="G1147" i="13"/>
  <c r="I1147" i="13"/>
  <c r="J1147" i="13"/>
  <c r="K1147" i="13"/>
  <c r="M1147" i="13"/>
  <c r="B1148" i="13"/>
  <c r="L1148" i="13" s="1"/>
  <c r="D1148" i="13"/>
  <c r="F1148" i="13" s="1"/>
  <c r="E1148" i="13"/>
  <c r="G1148" i="13"/>
  <c r="H1148" i="13"/>
  <c r="B1149" i="13"/>
  <c r="K1149" i="13" s="1"/>
  <c r="C1149" i="13"/>
  <c r="D1149" i="13"/>
  <c r="F1149" i="13" s="1"/>
  <c r="E1149" i="13"/>
  <c r="G1149" i="13"/>
  <c r="I1149" i="13"/>
  <c r="J1149" i="13"/>
  <c r="L1149" i="13"/>
  <c r="M1149" i="13"/>
  <c r="B1150" i="13"/>
  <c r="D1150" i="13"/>
  <c r="F1150" i="13" s="1"/>
  <c r="E1150" i="13"/>
  <c r="G1150" i="13"/>
  <c r="H1150" i="13"/>
  <c r="B1151" i="13"/>
  <c r="L1151" i="13" s="1"/>
  <c r="C1151" i="13"/>
  <c r="D1151" i="13"/>
  <c r="F1151" i="13" s="1"/>
  <c r="E1151" i="13"/>
  <c r="G1151" i="13"/>
  <c r="I1151" i="13"/>
  <c r="J1151" i="13"/>
  <c r="K1151" i="13"/>
  <c r="M1151" i="13"/>
  <c r="B1152" i="13"/>
  <c r="L1152" i="13" s="1"/>
  <c r="D1152" i="13"/>
  <c r="E1152" i="13"/>
  <c r="G1152" i="13"/>
  <c r="J1152" i="13"/>
  <c r="B1153" i="13"/>
  <c r="K1153" i="13" s="1"/>
  <c r="C1153" i="13"/>
  <c r="D1153" i="13"/>
  <c r="F1153" i="13" s="1"/>
  <c r="E1153" i="13"/>
  <c r="G1153" i="13"/>
  <c r="I1153" i="13"/>
  <c r="J1153" i="13"/>
  <c r="L1153" i="13"/>
  <c r="M1153" i="13"/>
  <c r="B1154" i="13"/>
  <c r="D1154" i="13"/>
  <c r="E1154" i="13"/>
  <c r="F1154" i="13"/>
  <c r="G1154" i="13"/>
  <c r="H1154" i="13" s="1"/>
  <c r="B1155" i="13"/>
  <c r="L1155" i="13" s="1"/>
  <c r="C1155" i="13"/>
  <c r="D1155" i="13"/>
  <c r="E1155" i="13"/>
  <c r="F1155" i="13"/>
  <c r="G1155" i="13"/>
  <c r="K1155" i="13"/>
  <c r="M1155" i="13"/>
  <c r="B1156" i="13"/>
  <c r="D1156" i="13"/>
  <c r="E1156" i="13"/>
  <c r="F1156" i="13"/>
  <c r="G1156" i="13"/>
  <c r="H1156" i="13"/>
  <c r="L1156" i="13"/>
  <c r="B1157" i="13"/>
  <c r="D1157" i="13"/>
  <c r="F1157" i="13" s="1"/>
  <c r="E1157" i="13"/>
  <c r="G1157" i="13"/>
  <c r="L1157" i="13"/>
  <c r="B1158" i="13"/>
  <c r="D1158" i="13"/>
  <c r="F1158" i="13" s="1"/>
  <c r="E1158" i="13"/>
  <c r="G1158" i="13"/>
  <c r="B1159" i="13"/>
  <c r="L1159" i="13" s="1"/>
  <c r="C1159" i="13"/>
  <c r="D1159" i="13"/>
  <c r="E1159" i="13"/>
  <c r="F1159" i="13"/>
  <c r="G1159" i="13"/>
  <c r="K1159" i="13"/>
  <c r="M1159" i="13"/>
  <c r="B1160" i="13"/>
  <c r="D1160" i="13"/>
  <c r="F1160" i="13" s="1"/>
  <c r="E1160" i="13"/>
  <c r="G1160" i="13"/>
  <c r="J1160" i="13"/>
  <c r="L1160" i="13"/>
  <c r="B1161" i="13"/>
  <c r="D1161" i="13"/>
  <c r="F1161" i="13" s="1"/>
  <c r="E1161" i="13"/>
  <c r="G1161" i="13"/>
  <c r="L1161" i="13"/>
  <c r="B1162" i="13"/>
  <c r="D1162" i="13"/>
  <c r="F1162" i="13" s="1"/>
  <c r="E1162" i="13"/>
  <c r="G1162" i="13"/>
  <c r="J1162" i="13"/>
  <c r="L1162" i="13"/>
  <c r="B1163" i="13"/>
  <c r="L1163" i="13" s="1"/>
  <c r="D1163" i="13"/>
  <c r="E1163" i="13"/>
  <c r="F1163" i="13"/>
  <c r="G1163" i="13"/>
  <c r="K1163" i="13"/>
  <c r="B1164" i="13"/>
  <c r="C1164" i="13" s="1"/>
  <c r="D1164" i="13"/>
  <c r="E1164" i="13"/>
  <c r="G1164" i="13"/>
  <c r="I1164" i="13"/>
  <c r="L1164" i="13"/>
  <c r="M1164" i="13"/>
  <c r="B1165" i="13"/>
  <c r="C1165" i="13"/>
  <c r="D1165" i="13"/>
  <c r="F1165" i="13" s="1"/>
  <c r="E1165" i="13"/>
  <c r="G1165" i="13"/>
  <c r="I1165" i="13"/>
  <c r="J1165" i="13"/>
  <c r="K1165" i="13"/>
  <c r="L1165" i="13"/>
  <c r="M1165" i="13"/>
  <c r="B1166" i="13"/>
  <c r="L1166" i="13" s="1"/>
  <c r="D1166" i="13"/>
  <c r="F1166" i="13" s="1"/>
  <c r="E1166" i="13"/>
  <c r="G1166" i="13"/>
  <c r="B1167" i="13"/>
  <c r="L1167" i="13" s="1"/>
  <c r="C1167" i="13"/>
  <c r="D1167" i="13"/>
  <c r="F1167" i="13" s="1"/>
  <c r="E1167" i="13"/>
  <c r="G1167" i="13"/>
  <c r="I1167" i="13"/>
  <c r="K1167" i="13"/>
  <c r="M1167" i="13"/>
  <c r="B1168" i="13"/>
  <c r="D1168" i="13"/>
  <c r="F1168" i="13" s="1"/>
  <c r="E1168" i="13"/>
  <c r="G1168" i="13"/>
  <c r="H1168" i="13"/>
  <c r="B1169" i="13"/>
  <c r="J1169" i="13" s="1"/>
  <c r="C1169" i="13"/>
  <c r="D1169" i="13"/>
  <c r="F1169" i="13" s="1"/>
  <c r="E1169" i="13"/>
  <c r="G1169" i="13"/>
  <c r="I1169" i="13"/>
  <c r="L1169" i="13"/>
  <c r="M1169" i="13"/>
  <c r="B1170" i="13"/>
  <c r="L1170" i="13" s="1"/>
  <c r="D1170" i="13"/>
  <c r="E1170" i="13"/>
  <c r="F1170" i="13"/>
  <c r="G1170" i="13"/>
  <c r="H1170" i="13"/>
  <c r="J1170" i="13"/>
  <c r="B1171" i="13"/>
  <c r="D1171" i="13"/>
  <c r="E1171" i="13"/>
  <c r="F1171" i="13"/>
  <c r="G1171" i="13"/>
  <c r="K1171" i="13"/>
  <c r="B1172" i="13"/>
  <c r="C1172" i="13" s="1"/>
  <c r="D1172" i="13"/>
  <c r="F1172" i="13" s="1"/>
  <c r="E1172" i="13"/>
  <c r="G1172" i="13"/>
  <c r="J1172" i="13"/>
  <c r="L1172" i="13"/>
  <c r="B1173" i="13"/>
  <c r="C1173" i="13"/>
  <c r="D1173" i="13"/>
  <c r="F1173" i="13" s="1"/>
  <c r="E1173" i="13"/>
  <c r="G1173" i="13"/>
  <c r="I1173" i="13"/>
  <c r="J1173" i="13"/>
  <c r="K1173" i="13"/>
  <c r="L1173" i="13"/>
  <c r="M1173" i="13"/>
  <c r="B1174" i="13"/>
  <c r="L1174" i="13" s="1"/>
  <c r="D1174" i="13"/>
  <c r="F1174" i="13" s="1"/>
  <c r="E1174" i="13"/>
  <c r="G1174" i="13"/>
  <c r="H1174" i="13"/>
  <c r="B1175" i="13"/>
  <c r="L1175" i="13" s="1"/>
  <c r="C1175" i="13"/>
  <c r="D1175" i="13"/>
  <c r="F1175" i="13" s="1"/>
  <c r="E1175" i="13"/>
  <c r="G1175" i="13"/>
  <c r="I1175" i="13"/>
  <c r="K1175" i="13"/>
  <c r="M1175" i="13"/>
  <c r="B1176" i="13"/>
  <c r="D1176" i="13"/>
  <c r="F1176" i="13" s="1"/>
  <c r="E1176" i="13"/>
  <c r="G1176" i="13"/>
  <c r="H1176" i="13"/>
  <c r="B1177" i="13"/>
  <c r="J1177" i="13" s="1"/>
  <c r="C1177" i="13"/>
  <c r="D1177" i="13"/>
  <c r="F1177" i="13" s="1"/>
  <c r="E1177" i="13"/>
  <c r="G1177" i="13"/>
  <c r="I1177" i="13"/>
  <c r="L1177" i="13"/>
  <c r="M1177" i="13"/>
  <c r="B1178" i="13"/>
  <c r="L1178" i="13" s="1"/>
  <c r="D1178" i="13"/>
  <c r="E1178" i="13"/>
  <c r="F1178" i="13"/>
  <c r="G1178" i="13"/>
  <c r="H1178" i="13"/>
  <c r="J1178" i="13"/>
  <c r="B1179" i="13"/>
  <c r="D1179" i="13"/>
  <c r="E1179" i="13"/>
  <c r="F1179" i="13"/>
  <c r="G1179" i="13"/>
  <c r="K1179" i="13"/>
  <c r="B1180" i="13"/>
  <c r="C1180" i="13" s="1"/>
  <c r="D1180" i="13"/>
  <c r="F1180" i="13" s="1"/>
  <c r="E1180" i="13"/>
  <c r="G1180" i="13"/>
  <c r="J1180" i="13"/>
  <c r="L1180" i="13"/>
  <c r="B1181" i="13"/>
  <c r="C1181" i="13"/>
  <c r="D1181" i="13"/>
  <c r="F1181" i="13" s="1"/>
  <c r="E1181" i="13"/>
  <c r="G1181" i="13"/>
  <c r="I1181" i="13"/>
  <c r="J1181" i="13"/>
  <c r="K1181" i="13"/>
  <c r="L1181" i="13"/>
  <c r="M1181" i="13"/>
  <c r="B1182" i="13"/>
  <c r="L1182" i="13" s="1"/>
  <c r="D1182" i="13"/>
  <c r="F1182" i="13" s="1"/>
  <c r="E1182" i="13"/>
  <c r="G1182" i="13"/>
  <c r="B1183" i="13"/>
  <c r="L1183" i="13" s="1"/>
  <c r="C1183" i="13"/>
  <c r="D1183" i="13"/>
  <c r="F1183" i="13" s="1"/>
  <c r="E1183" i="13"/>
  <c r="G1183" i="13"/>
  <c r="I1183" i="13"/>
  <c r="K1183" i="13"/>
  <c r="M1183" i="13"/>
  <c r="B1184" i="13"/>
  <c r="D1184" i="13"/>
  <c r="F1184" i="13" s="1"/>
  <c r="E1184" i="13"/>
  <c r="G1184" i="13"/>
  <c r="H1184" i="13"/>
  <c r="B1185" i="13"/>
  <c r="J1185" i="13" s="1"/>
  <c r="C1185" i="13"/>
  <c r="D1185" i="13"/>
  <c r="F1185" i="13" s="1"/>
  <c r="E1185" i="13"/>
  <c r="G1185" i="13"/>
  <c r="I1185" i="13"/>
  <c r="L1185" i="13"/>
  <c r="M1185" i="13"/>
  <c r="B1186" i="13"/>
  <c r="L1186" i="13" s="1"/>
  <c r="D1186" i="13"/>
  <c r="E1186" i="13"/>
  <c r="F1186" i="13"/>
  <c r="G1186" i="13"/>
  <c r="H1186" i="13"/>
  <c r="J1186" i="13"/>
  <c r="B1187" i="13"/>
  <c r="K1187" i="13" s="1"/>
  <c r="D1187" i="13"/>
  <c r="E1187" i="13"/>
  <c r="F1187" i="13"/>
  <c r="G1187" i="13"/>
  <c r="B1188" i="13"/>
  <c r="C1188" i="13" s="1"/>
  <c r="D1188" i="13"/>
  <c r="F1188" i="13" s="1"/>
  <c r="E1188" i="13"/>
  <c r="G1188" i="13"/>
  <c r="J1188" i="13"/>
  <c r="L1188" i="13"/>
  <c r="B1189" i="13"/>
  <c r="C1189" i="13"/>
  <c r="D1189" i="13"/>
  <c r="F1189" i="13" s="1"/>
  <c r="E1189" i="13"/>
  <c r="G1189" i="13"/>
  <c r="I1189" i="13"/>
  <c r="J1189" i="13"/>
  <c r="K1189" i="13"/>
  <c r="L1189" i="13"/>
  <c r="M1189" i="13"/>
  <c r="B1190" i="13"/>
  <c r="L1190" i="13" s="1"/>
  <c r="D1190" i="13"/>
  <c r="F1190" i="13" s="1"/>
  <c r="E1190" i="13"/>
  <c r="G1190" i="13"/>
  <c r="B1191" i="13"/>
  <c r="L1191" i="13" s="1"/>
  <c r="C1191" i="13"/>
  <c r="D1191" i="13"/>
  <c r="F1191" i="13" s="1"/>
  <c r="E1191" i="13"/>
  <c r="G1191" i="13"/>
  <c r="I1191" i="13"/>
  <c r="K1191" i="13"/>
  <c r="M1191" i="13"/>
  <c r="B1192" i="13"/>
  <c r="D1192" i="13"/>
  <c r="F1192" i="13" s="1"/>
  <c r="E1192" i="13"/>
  <c r="G1192" i="13"/>
  <c r="H1192" i="13"/>
  <c r="B1193" i="13"/>
  <c r="J1193" i="13" s="1"/>
  <c r="C1193" i="13"/>
  <c r="D1193" i="13"/>
  <c r="F1193" i="13" s="1"/>
  <c r="E1193" i="13"/>
  <c r="G1193" i="13"/>
  <c r="I1193" i="13"/>
  <c r="L1193" i="13"/>
  <c r="M1193" i="13"/>
  <c r="B1194" i="13"/>
  <c r="L1194" i="13" s="1"/>
  <c r="D1194" i="13"/>
  <c r="E1194" i="13"/>
  <c r="F1194" i="13"/>
  <c r="G1194" i="13"/>
  <c r="H1194" i="13"/>
  <c r="J1194" i="13"/>
  <c r="B1195" i="13"/>
  <c r="D1195" i="13"/>
  <c r="E1195" i="13"/>
  <c r="F1195" i="13"/>
  <c r="G1195" i="13"/>
  <c r="K1195" i="13"/>
  <c r="B1196" i="13"/>
  <c r="C1196" i="13" s="1"/>
  <c r="D1196" i="13"/>
  <c r="F1196" i="13" s="1"/>
  <c r="E1196" i="13"/>
  <c r="G1196" i="13"/>
  <c r="J1196" i="13"/>
  <c r="L1196" i="13"/>
  <c r="B1197" i="13"/>
  <c r="C1197" i="13"/>
  <c r="D1197" i="13"/>
  <c r="F1197" i="13" s="1"/>
  <c r="E1197" i="13"/>
  <c r="G1197" i="13"/>
  <c r="I1197" i="13"/>
  <c r="J1197" i="13"/>
  <c r="K1197" i="13"/>
  <c r="L1197" i="13"/>
  <c r="M1197" i="13"/>
  <c r="B1198" i="13"/>
  <c r="D1198" i="13"/>
  <c r="F1198" i="13" s="1"/>
  <c r="E1198" i="13"/>
  <c r="G1198" i="13"/>
  <c r="B1199" i="13"/>
  <c r="L1199" i="13" s="1"/>
  <c r="C1199" i="13"/>
  <c r="D1199" i="13"/>
  <c r="F1199" i="13" s="1"/>
  <c r="E1199" i="13"/>
  <c r="G1199" i="13"/>
  <c r="I1199" i="13"/>
  <c r="K1199" i="13"/>
  <c r="M1199" i="13"/>
  <c r="B1200" i="13"/>
  <c r="D1200" i="13"/>
  <c r="F1200" i="13" s="1"/>
  <c r="E1200" i="13"/>
  <c r="G1200" i="13"/>
  <c r="H1200" i="13"/>
  <c r="B1201" i="13"/>
  <c r="L1201" i="13" s="1"/>
  <c r="C1201" i="13"/>
  <c r="D1201" i="13"/>
  <c r="F1201" i="13" s="1"/>
  <c r="E1201" i="13"/>
  <c r="G1201" i="13"/>
  <c r="I1201" i="13"/>
  <c r="B1202" i="13"/>
  <c r="L1202" i="13" s="1"/>
  <c r="D1202" i="13"/>
  <c r="E1202" i="13"/>
  <c r="F1202" i="13"/>
  <c r="G1202" i="13"/>
  <c r="H1202" i="13"/>
  <c r="J1202" i="13"/>
  <c r="B1203" i="13"/>
  <c r="D1203" i="13"/>
  <c r="E1203" i="13"/>
  <c r="F1203" i="13"/>
  <c r="G1203" i="13"/>
  <c r="J1203" i="13"/>
  <c r="K1203" i="13"/>
  <c r="B1204" i="13"/>
  <c r="C1204" i="13" s="1"/>
  <c r="D1204" i="13"/>
  <c r="E1204" i="13"/>
  <c r="G1204" i="13"/>
  <c r="J1204" i="13"/>
  <c r="L1204" i="13"/>
  <c r="B1205" i="13"/>
  <c r="C1205" i="13"/>
  <c r="D1205" i="13"/>
  <c r="F1205" i="13" s="1"/>
  <c r="E1205" i="13"/>
  <c r="G1205" i="13"/>
  <c r="I1205" i="13"/>
  <c r="J1205" i="13"/>
  <c r="K1205" i="13"/>
  <c r="L1205" i="13"/>
  <c r="M1205" i="13"/>
  <c r="B1206" i="13"/>
  <c r="D1206" i="13"/>
  <c r="F1206" i="13" s="1"/>
  <c r="E1206" i="13"/>
  <c r="G1206" i="13"/>
  <c r="B1207" i="13"/>
  <c r="L1207" i="13" s="1"/>
  <c r="C1207" i="13"/>
  <c r="D1207" i="13"/>
  <c r="F1207" i="13" s="1"/>
  <c r="E1207" i="13"/>
  <c r="G1207" i="13"/>
  <c r="H1207" i="13" s="1"/>
  <c r="I1207" i="13"/>
  <c r="K1207" i="13"/>
  <c r="M1207" i="13"/>
  <c r="B1208" i="13"/>
  <c r="D1208" i="13"/>
  <c r="F1208" i="13" s="1"/>
  <c r="E1208" i="13"/>
  <c r="G1208" i="13"/>
  <c r="H1208" i="13"/>
  <c r="B1209" i="13"/>
  <c r="L1209" i="13" s="1"/>
  <c r="C1209" i="13"/>
  <c r="D1209" i="13"/>
  <c r="F1209" i="13" s="1"/>
  <c r="E1209" i="13"/>
  <c r="G1209" i="13"/>
  <c r="I1209" i="13"/>
  <c r="M1209" i="13"/>
  <c r="B1210" i="13"/>
  <c r="L1210" i="13" s="1"/>
  <c r="D1210" i="13"/>
  <c r="E1210" i="13"/>
  <c r="F1210" i="13"/>
  <c r="G1210" i="13"/>
  <c r="H1210" i="13"/>
  <c r="J1210" i="13"/>
  <c r="B1211" i="13"/>
  <c r="D1211" i="13"/>
  <c r="E1211" i="13"/>
  <c r="F1211" i="13"/>
  <c r="G1211" i="13"/>
  <c r="B1212" i="13"/>
  <c r="C1212" i="13" s="1"/>
  <c r="D1212" i="13"/>
  <c r="E1212" i="13"/>
  <c r="G1212" i="13"/>
  <c r="J1212" i="13"/>
  <c r="L1212" i="13"/>
  <c r="B1213" i="13"/>
  <c r="C1213" i="13"/>
  <c r="D1213" i="13"/>
  <c r="F1213" i="13" s="1"/>
  <c r="E1213" i="13"/>
  <c r="G1213" i="13"/>
  <c r="I1213" i="13"/>
  <c r="J1213" i="13"/>
  <c r="K1213" i="13"/>
  <c r="L1213" i="13"/>
  <c r="M1213" i="13"/>
  <c r="B1214" i="13"/>
  <c r="D1214" i="13"/>
  <c r="F1214" i="13" s="1"/>
  <c r="E1214" i="13"/>
  <c r="G1214" i="13"/>
  <c r="B1215" i="13"/>
  <c r="L1215" i="13" s="1"/>
  <c r="C1215" i="13"/>
  <c r="D1215" i="13"/>
  <c r="F1215" i="13" s="1"/>
  <c r="E1215" i="13"/>
  <c r="G1215" i="13"/>
  <c r="H1215" i="13" s="1"/>
  <c r="I1215" i="13"/>
  <c r="K1215" i="13"/>
  <c r="M1215" i="13"/>
  <c r="B1216" i="13"/>
  <c r="D1216" i="13"/>
  <c r="F1216" i="13" s="1"/>
  <c r="E1216" i="13"/>
  <c r="G1216" i="13"/>
  <c r="H1216" i="13"/>
  <c r="B1217" i="13"/>
  <c r="L1217" i="13" s="1"/>
  <c r="C1217" i="13"/>
  <c r="D1217" i="13"/>
  <c r="F1217" i="13" s="1"/>
  <c r="E1217" i="13"/>
  <c r="G1217" i="13"/>
  <c r="I1217" i="13"/>
  <c r="M1217" i="13"/>
  <c r="B1218" i="13"/>
  <c r="L1218" i="13" s="1"/>
  <c r="D1218" i="13"/>
  <c r="E1218" i="13"/>
  <c r="F1218" i="13"/>
  <c r="G1218" i="13"/>
  <c r="H1218" i="13"/>
  <c r="J1218" i="13"/>
  <c r="B1219" i="13"/>
  <c r="D1219" i="13"/>
  <c r="E1219" i="13"/>
  <c r="F1219" i="13"/>
  <c r="G1219" i="13"/>
  <c r="B1220" i="13"/>
  <c r="C1220" i="13" s="1"/>
  <c r="D1220" i="13"/>
  <c r="E1220" i="13"/>
  <c r="G1220" i="13"/>
  <c r="J1220" i="13"/>
  <c r="L1220" i="13"/>
  <c r="B1221" i="13"/>
  <c r="C1221" i="13"/>
  <c r="D1221" i="13"/>
  <c r="F1221" i="13" s="1"/>
  <c r="E1221" i="13"/>
  <c r="G1221" i="13"/>
  <c r="I1221" i="13"/>
  <c r="J1221" i="13"/>
  <c r="K1221" i="13"/>
  <c r="L1221" i="13"/>
  <c r="M1221" i="13"/>
  <c r="B1222" i="13"/>
  <c r="D1222" i="13"/>
  <c r="F1222" i="13" s="1"/>
  <c r="E1222" i="13"/>
  <c r="G1222" i="13"/>
  <c r="B1223" i="13"/>
  <c r="L1223" i="13" s="1"/>
  <c r="C1223" i="13"/>
  <c r="D1223" i="13"/>
  <c r="F1223" i="13" s="1"/>
  <c r="E1223" i="13"/>
  <c r="G1223" i="13"/>
  <c r="H1223" i="13" s="1"/>
  <c r="I1223" i="13"/>
  <c r="K1223" i="13"/>
  <c r="M1223" i="13"/>
  <c r="B1224" i="13"/>
  <c r="D1224" i="13"/>
  <c r="F1224" i="13" s="1"/>
  <c r="E1224" i="13"/>
  <c r="G1224" i="13"/>
  <c r="H1224" i="13"/>
  <c r="B1225" i="13"/>
  <c r="C1225" i="13"/>
  <c r="D1225" i="13"/>
  <c r="F1225" i="13" s="1"/>
  <c r="E1225" i="13"/>
  <c r="G1225" i="13"/>
  <c r="I1225" i="13"/>
  <c r="L1225" i="13"/>
  <c r="M1225" i="13"/>
  <c r="B1226" i="13"/>
  <c r="L1226" i="13" s="1"/>
  <c r="D1226" i="13"/>
  <c r="E1226" i="13"/>
  <c r="F1226" i="13"/>
  <c r="G1226" i="13"/>
  <c r="H1226" i="13"/>
  <c r="J1226" i="13"/>
  <c r="B1227" i="13"/>
  <c r="D1227" i="13"/>
  <c r="E1227" i="13"/>
  <c r="F1227" i="13"/>
  <c r="G1227" i="13"/>
  <c r="B1228" i="13"/>
  <c r="C1228" i="13" s="1"/>
  <c r="D1228" i="13"/>
  <c r="E1228" i="13"/>
  <c r="G1228" i="13"/>
  <c r="J1228" i="13"/>
  <c r="L1228" i="13"/>
  <c r="B1229" i="13"/>
  <c r="C1229" i="13"/>
  <c r="D1229" i="13"/>
  <c r="F1229" i="13" s="1"/>
  <c r="E1229" i="13"/>
  <c r="G1229" i="13"/>
  <c r="I1229" i="13"/>
  <c r="J1229" i="13"/>
  <c r="K1229" i="13"/>
  <c r="L1229" i="13"/>
  <c r="M1229" i="13"/>
  <c r="B1230" i="13"/>
  <c r="D1230" i="13"/>
  <c r="F1230" i="13" s="1"/>
  <c r="E1230" i="13"/>
  <c r="G1230" i="13"/>
  <c r="B1231" i="13"/>
  <c r="L1231" i="13" s="1"/>
  <c r="C1231" i="13"/>
  <c r="D1231" i="13"/>
  <c r="F1231" i="13" s="1"/>
  <c r="E1231" i="13"/>
  <c r="G1231" i="13"/>
  <c r="H1231" i="13" s="1"/>
  <c r="I1231" i="13"/>
  <c r="K1231" i="13"/>
  <c r="M1231" i="13"/>
  <c r="B1232" i="13"/>
  <c r="D1232" i="13"/>
  <c r="F1232" i="13" s="1"/>
  <c r="E1232" i="13"/>
  <c r="G1232" i="13"/>
  <c r="H1232" i="13"/>
  <c r="B1233" i="13"/>
  <c r="C1233" i="13"/>
  <c r="D1233" i="13"/>
  <c r="F1233" i="13" s="1"/>
  <c r="E1233" i="13"/>
  <c r="G1233" i="13"/>
  <c r="I1233" i="13"/>
  <c r="L1233" i="13"/>
  <c r="M1233" i="13"/>
  <c r="B1234" i="13"/>
  <c r="J1234" i="13" s="1"/>
  <c r="D1234" i="13"/>
  <c r="E1234" i="13"/>
  <c r="F1234" i="13"/>
  <c r="G1234" i="13"/>
  <c r="H1234" i="13"/>
  <c r="B1235" i="13"/>
  <c r="C1235" i="13"/>
  <c r="D1235" i="13"/>
  <c r="E1235" i="13"/>
  <c r="F1235" i="13"/>
  <c r="G1235" i="13"/>
  <c r="H1235" i="13" s="1"/>
  <c r="M1235" i="13"/>
  <c r="B1236" i="13"/>
  <c r="C1236" i="13" s="1"/>
  <c r="D1236" i="13"/>
  <c r="F1236" i="13" s="1"/>
  <c r="E1236" i="13"/>
  <c r="G1236" i="13"/>
  <c r="J1236" i="13"/>
  <c r="L1236" i="13"/>
  <c r="B1237" i="13"/>
  <c r="K1237" i="13" s="1"/>
  <c r="C1237" i="13"/>
  <c r="D1237" i="13"/>
  <c r="F1237" i="13" s="1"/>
  <c r="E1237" i="13"/>
  <c r="G1237" i="13"/>
  <c r="I1237" i="13"/>
  <c r="J1237" i="13"/>
  <c r="L1237" i="13"/>
  <c r="M1237" i="13"/>
  <c r="B1238" i="13"/>
  <c r="J1238" i="13" s="1"/>
  <c r="D1238" i="13"/>
  <c r="E1238" i="13"/>
  <c r="F1238" i="13"/>
  <c r="G1238" i="13"/>
  <c r="H1238" i="13" s="1"/>
  <c r="B1239" i="13"/>
  <c r="L1239" i="13" s="1"/>
  <c r="C1239" i="13"/>
  <c r="D1239" i="13"/>
  <c r="F1239" i="13" s="1"/>
  <c r="E1239" i="13"/>
  <c r="G1239" i="13"/>
  <c r="I1239" i="13"/>
  <c r="K1239" i="13"/>
  <c r="M1239" i="13"/>
  <c r="B1240" i="13"/>
  <c r="C1240" i="13" s="1"/>
  <c r="D1240" i="13"/>
  <c r="F1240" i="13" s="1"/>
  <c r="E1240" i="13"/>
  <c r="G1240" i="13"/>
  <c r="J1240" i="13"/>
  <c r="B1241" i="13"/>
  <c r="K1241" i="13" s="1"/>
  <c r="C1241" i="13"/>
  <c r="D1241" i="13"/>
  <c r="F1241" i="13" s="1"/>
  <c r="E1241" i="13"/>
  <c r="G1241" i="13"/>
  <c r="I1241" i="13"/>
  <c r="J1241" i="13"/>
  <c r="L1241" i="13"/>
  <c r="M1241" i="13"/>
  <c r="B1242" i="13"/>
  <c r="D1242" i="13"/>
  <c r="E1242" i="13"/>
  <c r="F1242" i="13"/>
  <c r="G1242" i="13"/>
  <c r="H1242" i="13" s="1"/>
  <c r="B1243" i="13"/>
  <c r="L1243" i="13" s="1"/>
  <c r="D1243" i="13"/>
  <c r="E1243" i="13"/>
  <c r="F1243" i="13"/>
  <c r="G1243" i="13"/>
  <c r="K1243" i="13"/>
  <c r="B1244" i="13"/>
  <c r="C1244" i="13" s="1"/>
  <c r="D1244" i="13"/>
  <c r="F1244" i="13" s="1"/>
  <c r="E1244" i="13"/>
  <c r="G1244" i="13"/>
  <c r="J1244" i="13"/>
  <c r="B1245" i="13"/>
  <c r="K1245" i="13" s="1"/>
  <c r="D1245" i="13"/>
  <c r="F1245" i="13" s="1"/>
  <c r="E1245" i="13"/>
  <c r="G1245" i="13"/>
  <c r="L1245" i="13"/>
  <c r="B1246" i="13"/>
  <c r="D1246" i="13"/>
  <c r="E1246" i="13"/>
  <c r="F1246" i="13"/>
  <c r="G1246" i="13"/>
  <c r="H1246" i="13" s="1"/>
  <c r="B1247" i="13"/>
  <c r="L1247" i="13" s="1"/>
  <c r="D1247" i="13"/>
  <c r="E1247" i="13"/>
  <c r="F1247" i="13"/>
  <c r="G1247" i="13"/>
  <c r="K1247" i="13"/>
  <c r="B1248" i="13"/>
  <c r="C1248" i="13" s="1"/>
  <c r="D1248" i="13"/>
  <c r="F1248" i="13" s="1"/>
  <c r="E1248" i="13"/>
  <c r="G1248" i="13"/>
  <c r="J1248" i="13"/>
  <c r="B1249" i="13"/>
  <c r="K1249" i="13" s="1"/>
  <c r="D1249" i="13"/>
  <c r="F1249" i="13" s="1"/>
  <c r="E1249" i="13"/>
  <c r="G1249" i="13"/>
  <c r="L1249" i="13"/>
  <c r="B1250" i="13"/>
  <c r="J1250" i="13" s="1"/>
  <c r="D1250" i="13"/>
  <c r="E1250" i="13"/>
  <c r="F1250" i="13"/>
  <c r="G1250" i="13"/>
  <c r="H1250" i="13" s="1"/>
  <c r="B1251" i="13"/>
  <c r="L1251" i="13" s="1"/>
  <c r="D1251" i="13"/>
  <c r="E1251" i="13"/>
  <c r="F1251" i="13"/>
  <c r="G1251" i="13"/>
  <c r="K1251" i="13"/>
  <c r="B1252" i="13"/>
  <c r="L1252" i="13" s="1"/>
  <c r="D1252" i="13"/>
  <c r="E1252" i="13"/>
  <c r="F1252" i="13"/>
  <c r="G1252" i="13"/>
  <c r="H1252" i="13" s="1"/>
  <c r="J1252" i="13"/>
  <c r="B1253" i="13"/>
  <c r="C1253" i="13" s="1"/>
  <c r="D1253" i="13"/>
  <c r="F1253" i="13" s="1"/>
  <c r="E1253" i="13"/>
  <c r="G1253" i="13"/>
  <c r="J1253" i="13"/>
  <c r="L1253" i="13"/>
  <c r="B1254" i="13"/>
  <c r="L1254" i="13" s="1"/>
  <c r="D1254" i="13"/>
  <c r="F1254" i="13" s="1"/>
  <c r="E1254" i="13"/>
  <c r="G1254" i="13"/>
  <c r="H1254" i="13" s="1"/>
  <c r="B1255" i="13"/>
  <c r="L1255" i="13" s="1"/>
  <c r="C1255" i="13"/>
  <c r="D1255" i="13"/>
  <c r="F1255" i="13" s="1"/>
  <c r="E1255" i="13"/>
  <c r="G1255" i="13"/>
  <c r="I1255" i="13"/>
  <c r="J1255" i="13"/>
  <c r="K1255" i="13"/>
  <c r="M1255" i="13"/>
  <c r="B1256" i="13"/>
  <c r="J1256" i="13" s="1"/>
  <c r="D1256" i="13"/>
  <c r="F1256" i="13" s="1"/>
  <c r="E1256" i="13"/>
  <c r="G1256" i="13"/>
  <c r="B1257" i="13"/>
  <c r="C1257" i="13" s="1"/>
  <c r="D1257" i="13"/>
  <c r="F1257" i="13" s="1"/>
  <c r="E1257" i="13"/>
  <c r="G1257" i="13"/>
  <c r="J1257" i="13"/>
  <c r="L1257" i="13"/>
  <c r="B1258" i="13"/>
  <c r="J1258" i="13" s="1"/>
  <c r="D1258" i="13"/>
  <c r="F1258" i="13" s="1"/>
  <c r="E1258" i="13"/>
  <c r="G1258" i="13"/>
  <c r="H1258" i="13"/>
  <c r="B1259" i="13"/>
  <c r="L1259" i="13" s="1"/>
  <c r="C1259" i="13"/>
  <c r="D1259" i="13"/>
  <c r="F1259" i="13" s="1"/>
  <c r="E1259" i="13"/>
  <c r="G1259" i="13"/>
  <c r="I1259" i="13"/>
  <c r="J1259" i="13"/>
  <c r="K1259" i="13"/>
  <c r="M1259" i="13"/>
  <c r="B1260" i="13"/>
  <c r="J1260" i="13" s="1"/>
  <c r="D1260" i="13"/>
  <c r="E1260" i="13"/>
  <c r="F1260" i="13"/>
  <c r="G1260" i="13"/>
  <c r="H1260" i="13"/>
  <c r="L1260" i="13"/>
  <c r="B1261" i="13"/>
  <c r="J1261" i="13" s="1"/>
  <c r="C1261" i="13"/>
  <c r="D1261" i="13"/>
  <c r="F1261" i="13" s="1"/>
  <c r="E1261" i="13"/>
  <c r="G1261" i="13"/>
  <c r="I1261" i="13"/>
  <c r="K1261" i="13"/>
  <c r="L1261" i="13"/>
  <c r="M1261" i="13"/>
  <c r="B1262" i="13"/>
  <c r="D1262" i="13"/>
  <c r="F1262" i="13" s="1"/>
  <c r="E1262" i="13"/>
  <c r="G1262" i="13"/>
  <c r="H1262" i="13"/>
  <c r="L1262" i="13"/>
  <c r="B1263" i="13"/>
  <c r="L1263" i="13" s="1"/>
  <c r="D1263" i="13"/>
  <c r="F1263" i="13" s="1"/>
  <c r="E1263" i="13"/>
  <c r="G1263" i="13"/>
  <c r="I1263" i="13"/>
  <c r="K1263" i="13"/>
  <c r="B1264" i="13"/>
  <c r="J1264" i="13" s="1"/>
  <c r="D1264" i="13"/>
  <c r="F1264" i="13" s="1"/>
  <c r="E1264" i="13"/>
  <c r="G1264" i="13"/>
  <c r="H1264" i="13"/>
  <c r="B1265" i="13"/>
  <c r="J1265" i="13" s="1"/>
  <c r="C1265" i="13"/>
  <c r="D1265" i="13"/>
  <c r="F1265" i="13" s="1"/>
  <c r="E1265" i="13"/>
  <c r="G1265" i="13"/>
  <c r="I1265" i="13"/>
  <c r="K1265" i="13"/>
  <c r="L1265" i="13"/>
  <c r="M1265" i="13"/>
  <c r="B1266" i="13"/>
  <c r="D1266" i="13"/>
  <c r="F1266" i="13" s="1"/>
  <c r="E1266" i="13"/>
  <c r="G1266" i="13"/>
  <c r="J1266" i="13"/>
  <c r="L1266" i="13"/>
  <c r="B1267" i="13"/>
  <c r="L1267" i="13" s="1"/>
  <c r="D1267" i="13"/>
  <c r="F1267" i="13" s="1"/>
  <c r="E1267" i="13"/>
  <c r="G1267" i="13"/>
  <c r="I1267" i="13"/>
  <c r="K1267" i="13"/>
  <c r="B1268" i="13"/>
  <c r="L1268" i="13" s="1"/>
  <c r="D1268" i="13"/>
  <c r="F1268" i="13" s="1"/>
  <c r="E1268" i="13"/>
  <c r="G1268" i="13"/>
  <c r="H1268" i="13" s="1"/>
  <c r="B1269" i="13"/>
  <c r="K1269" i="13" s="1"/>
  <c r="D1269" i="13"/>
  <c r="F1269" i="13" s="1"/>
  <c r="E1269" i="13"/>
  <c r="G1269" i="13"/>
  <c r="L1269" i="13"/>
  <c r="B1270" i="13"/>
  <c r="D1270" i="13"/>
  <c r="E1270" i="13"/>
  <c r="F1270" i="13"/>
  <c r="G1270" i="13"/>
  <c r="H1270" i="13" s="1"/>
  <c r="L1270" i="13"/>
  <c r="B1271" i="13"/>
  <c r="L1271" i="13" s="1"/>
  <c r="C1271" i="13"/>
  <c r="D1271" i="13"/>
  <c r="E1271" i="13"/>
  <c r="F1271" i="13"/>
  <c r="G1271" i="13"/>
  <c r="J1271" i="13"/>
  <c r="K1271" i="13"/>
  <c r="M1271" i="13"/>
  <c r="B1272" i="13"/>
  <c r="J1272" i="13" s="1"/>
  <c r="D1272" i="13"/>
  <c r="F1272" i="13" s="1"/>
  <c r="E1272" i="13"/>
  <c r="G1272" i="13"/>
  <c r="B1273" i="13"/>
  <c r="K1273" i="13" s="1"/>
  <c r="D1273" i="13"/>
  <c r="F1273" i="13" s="1"/>
  <c r="E1273" i="13"/>
  <c r="G1273" i="13"/>
  <c r="L1273" i="13"/>
  <c r="B1274" i="13"/>
  <c r="J1274" i="13" s="1"/>
  <c r="D1274" i="13"/>
  <c r="F1274" i="13" s="1"/>
  <c r="E1274" i="13"/>
  <c r="G1274" i="13"/>
  <c r="H1274" i="13"/>
  <c r="L1274" i="13"/>
  <c r="B1275" i="13"/>
  <c r="L1275" i="13" s="1"/>
  <c r="C1275" i="13"/>
  <c r="D1275" i="13"/>
  <c r="E1275" i="13"/>
  <c r="F1275" i="13"/>
  <c r="G1275" i="13"/>
  <c r="J1275" i="13"/>
  <c r="K1275" i="13"/>
  <c r="M1275" i="13"/>
  <c r="B1276" i="13"/>
  <c r="D1276" i="13"/>
  <c r="F1276" i="13" s="1"/>
  <c r="E1276" i="13"/>
  <c r="G1276" i="13"/>
  <c r="H1276" i="13"/>
  <c r="J1276" i="13"/>
  <c r="L1276" i="13"/>
  <c r="B1277" i="13"/>
  <c r="C1277" i="13"/>
  <c r="D1277" i="13"/>
  <c r="F1277" i="13" s="1"/>
  <c r="E1277" i="13"/>
  <c r="G1277" i="13"/>
  <c r="I1277" i="13"/>
  <c r="J1277" i="13"/>
  <c r="K1277" i="13"/>
  <c r="L1277" i="13"/>
  <c r="M1277" i="13"/>
  <c r="B1278" i="13"/>
  <c r="L1278" i="13" s="1"/>
  <c r="D1278" i="13"/>
  <c r="E1278" i="13"/>
  <c r="F1278" i="13"/>
  <c r="G1278" i="13"/>
  <c r="H1278" i="13"/>
  <c r="B1279" i="13"/>
  <c r="L1279" i="13" s="1"/>
  <c r="D1279" i="13"/>
  <c r="E1279" i="13"/>
  <c r="F1279" i="13"/>
  <c r="G1279" i="13"/>
  <c r="K1279" i="13"/>
  <c r="B1280" i="13"/>
  <c r="J1280" i="13" s="1"/>
  <c r="D1280" i="13"/>
  <c r="F1280" i="13" s="1"/>
  <c r="E1280" i="13"/>
  <c r="G1280" i="13"/>
  <c r="H1280" i="13"/>
  <c r="B1281" i="13"/>
  <c r="C1281" i="13"/>
  <c r="D1281" i="13"/>
  <c r="F1281" i="13" s="1"/>
  <c r="E1281" i="13"/>
  <c r="G1281" i="13"/>
  <c r="I1281" i="13"/>
  <c r="J1281" i="13"/>
  <c r="K1281" i="13"/>
  <c r="L1281" i="13"/>
  <c r="M1281" i="13"/>
  <c r="B1282" i="13"/>
  <c r="L1282" i="13" s="1"/>
  <c r="D1282" i="13"/>
  <c r="F1282" i="13" s="1"/>
  <c r="E1282" i="13"/>
  <c r="G1282" i="13"/>
  <c r="J1282" i="13"/>
  <c r="B1283" i="13"/>
  <c r="L1283" i="13" s="1"/>
  <c r="D1283" i="13"/>
  <c r="E1283" i="13"/>
  <c r="F1283" i="13"/>
  <c r="G1283" i="13"/>
  <c r="K1283" i="13"/>
  <c r="B1284" i="13"/>
  <c r="L1284" i="13" s="1"/>
  <c r="D1284" i="13"/>
  <c r="E1284" i="13"/>
  <c r="F1284" i="13"/>
  <c r="G1284" i="13"/>
  <c r="H1284" i="13" s="1"/>
  <c r="J1284" i="13"/>
  <c r="B1285" i="13"/>
  <c r="C1285" i="13" s="1"/>
  <c r="D1285" i="13"/>
  <c r="F1285" i="13" s="1"/>
  <c r="E1285" i="13"/>
  <c r="G1285" i="13"/>
  <c r="J1285" i="13"/>
  <c r="L1285" i="13"/>
  <c r="B1286" i="13"/>
  <c r="L1286" i="13" s="1"/>
  <c r="D1286" i="13"/>
  <c r="F1286" i="13" s="1"/>
  <c r="E1286" i="13"/>
  <c r="G1286" i="13"/>
  <c r="H1286" i="13" s="1"/>
  <c r="B1287" i="13"/>
  <c r="L1287" i="13" s="1"/>
  <c r="C1287" i="13"/>
  <c r="D1287" i="13"/>
  <c r="F1287" i="13" s="1"/>
  <c r="E1287" i="13"/>
  <c r="G1287" i="13"/>
  <c r="I1287" i="13"/>
  <c r="J1287" i="13"/>
  <c r="K1287" i="13"/>
  <c r="M1287" i="13"/>
  <c r="B1288" i="13"/>
  <c r="J1288" i="13" s="1"/>
  <c r="D1288" i="13"/>
  <c r="F1288" i="13" s="1"/>
  <c r="E1288" i="13"/>
  <c r="G1288" i="13"/>
  <c r="B1289" i="13"/>
  <c r="C1289" i="13" s="1"/>
  <c r="D1289" i="13"/>
  <c r="F1289" i="13" s="1"/>
  <c r="E1289" i="13"/>
  <c r="G1289" i="13"/>
  <c r="J1289" i="13"/>
  <c r="L1289" i="13"/>
  <c r="B1290" i="13"/>
  <c r="J1290" i="13" s="1"/>
  <c r="D1290" i="13"/>
  <c r="F1290" i="13" s="1"/>
  <c r="E1290" i="13"/>
  <c r="G1290" i="13"/>
  <c r="H1290" i="13"/>
  <c r="B1291" i="13"/>
  <c r="L1291" i="13" s="1"/>
  <c r="C1291" i="13"/>
  <c r="D1291" i="13"/>
  <c r="F1291" i="13" s="1"/>
  <c r="E1291" i="13"/>
  <c r="G1291" i="13"/>
  <c r="I1291" i="13"/>
  <c r="J1291" i="13"/>
  <c r="K1291" i="13"/>
  <c r="M1291" i="13"/>
  <c r="B1292" i="13"/>
  <c r="J1292" i="13" s="1"/>
  <c r="D1292" i="13"/>
  <c r="E1292" i="13"/>
  <c r="F1292" i="13"/>
  <c r="G1292" i="13"/>
  <c r="H1292" i="13"/>
  <c r="L1292" i="13"/>
  <c r="B1293" i="13"/>
  <c r="J1293" i="13" s="1"/>
  <c r="C1293" i="13"/>
  <c r="D1293" i="13"/>
  <c r="F1293" i="13" s="1"/>
  <c r="E1293" i="13"/>
  <c r="G1293" i="13"/>
  <c r="I1293" i="13"/>
  <c r="K1293" i="13"/>
  <c r="L1293" i="13"/>
  <c r="M1293" i="13"/>
  <c r="B1294" i="13"/>
  <c r="D1294" i="13"/>
  <c r="F1294" i="13" s="1"/>
  <c r="E1294" i="13"/>
  <c r="G1294" i="13"/>
  <c r="H1294" i="13"/>
  <c r="B1295" i="13"/>
  <c r="L1295" i="13" s="1"/>
  <c r="C1295" i="13"/>
  <c r="D1295" i="13"/>
  <c r="E1295" i="13"/>
  <c r="F1295" i="13"/>
  <c r="G1295" i="13"/>
  <c r="J1295" i="13"/>
  <c r="K1295" i="13"/>
  <c r="M1295" i="13"/>
  <c r="B1296" i="13"/>
  <c r="J1296" i="13" s="1"/>
  <c r="D1296" i="13"/>
  <c r="F1296" i="13" s="1"/>
  <c r="E1296" i="13"/>
  <c r="G1296" i="13"/>
  <c r="B1297" i="13"/>
  <c r="K1297" i="13" s="1"/>
  <c r="D1297" i="13"/>
  <c r="F1297" i="13" s="1"/>
  <c r="E1297" i="13"/>
  <c r="G1297" i="13"/>
  <c r="L1297" i="13"/>
  <c r="B1298" i="13"/>
  <c r="J1298" i="13" s="1"/>
  <c r="D1298" i="13"/>
  <c r="F1298" i="13" s="1"/>
  <c r="E1298" i="13"/>
  <c r="G1298" i="13"/>
  <c r="H1298" i="13"/>
  <c r="L1298" i="13"/>
  <c r="B1299" i="13"/>
  <c r="L1299" i="13" s="1"/>
  <c r="C1299" i="13"/>
  <c r="D1299" i="13"/>
  <c r="E1299" i="13"/>
  <c r="F1299" i="13"/>
  <c r="G1299" i="13"/>
  <c r="J1299" i="13"/>
  <c r="K1299" i="13"/>
  <c r="M1299" i="13"/>
  <c r="B1300" i="13"/>
  <c r="D1300" i="13"/>
  <c r="F1300" i="13" s="1"/>
  <c r="E1300" i="13"/>
  <c r="G1300" i="13"/>
  <c r="H1300" i="13"/>
  <c r="J1300" i="13"/>
  <c r="L1300" i="13"/>
  <c r="B1301" i="13"/>
  <c r="C1301" i="13"/>
  <c r="D1301" i="13"/>
  <c r="F1301" i="13" s="1"/>
  <c r="E1301" i="13"/>
  <c r="G1301" i="13"/>
  <c r="I1301" i="13"/>
  <c r="J1301" i="13"/>
  <c r="K1301" i="13"/>
  <c r="L1301" i="13"/>
  <c r="M1301" i="13"/>
  <c r="B1302" i="13"/>
  <c r="D1302" i="13"/>
  <c r="E1302" i="13"/>
  <c r="F1302" i="13"/>
  <c r="G1302" i="13"/>
  <c r="H1302" i="13"/>
  <c r="B1303" i="13"/>
  <c r="L1303" i="13" s="1"/>
  <c r="C1303" i="13"/>
  <c r="D1303" i="13"/>
  <c r="F1303" i="13" s="1"/>
  <c r="E1303" i="13"/>
  <c r="G1303" i="13"/>
  <c r="H1303" i="13" s="1"/>
  <c r="I1303" i="13"/>
  <c r="J1303" i="13"/>
  <c r="K1303" i="13"/>
  <c r="M1303" i="13"/>
  <c r="N1303" i="13" s="1"/>
  <c r="E1303" i="19" s="1"/>
  <c r="B1304" i="13"/>
  <c r="M1304" i="13" s="1"/>
  <c r="D1304" i="13"/>
  <c r="E1304" i="13"/>
  <c r="F1304" i="13"/>
  <c r="G1304" i="13"/>
  <c r="H1304" i="13"/>
  <c r="B1305" i="13"/>
  <c r="J1305" i="13" s="1"/>
  <c r="D1305" i="13"/>
  <c r="F1305" i="13" s="1"/>
  <c r="E1305" i="13"/>
  <c r="G1305" i="13"/>
  <c r="K1305" i="13"/>
  <c r="B1306" i="13"/>
  <c r="C1306" i="13"/>
  <c r="D1306" i="13"/>
  <c r="F1306" i="13" s="1"/>
  <c r="E1306" i="13"/>
  <c r="G1306" i="13"/>
  <c r="H1306" i="13"/>
  <c r="J1306" i="13"/>
  <c r="K1306" i="13"/>
  <c r="L1306" i="13"/>
  <c r="B1307" i="13"/>
  <c r="L1307" i="13" s="1"/>
  <c r="D1307" i="13"/>
  <c r="F1307" i="13" s="1"/>
  <c r="E1307" i="13"/>
  <c r="G1307" i="13"/>
  <c r="H1307" i="13" s="1"/>
  <c r="M1307" i="13"/>
  <c r="B1308" i="13"/>
  <c r="M1308" i="13" s="1"/>
  <c r="D1308" i="13"/>
  <c r="E1308" i="13"/>
  <c r="F1308" i="13"/>
  <c r="G1308" i="13"/>
  <c r="H1308" i="13"/>
  <c r="B1309" i="13"/>
  <c r="J1309" i="13" s="1"/>
  <c r="D1309" i="13"/>
  <c r="F1309" i="13" s="1"/>
  <c r="E1309" i="13"/>
  <c r="G1309" i="13"/>
  <c r="K1309" i="13"/>
  <c r="B1310" i="13"/>
  <c r="C1310" i="13"/>
  <c r="D1310" i="13"/>
  <c r="F1310" i="13" s="1"/>
  <c r="E1310" i="13"/>
  <c r="G1310" i="13"/>
  <c r="H1310" i="13"/>
  <c r="J1310" i="13"/>
  <c r="K1310" i="13"/>
  <c r="L1310" i="13"/>
  <c r="B1311" i="13"/>
  <c r="L1311" i="13" s="1"/>
  <c r="D1311" i="13"/>
  <c r="F1311" i="13" s="1"/>
  <c r="E1311" i="13"/>
  <c r="G1311" i="13"/>
  <c r="H1311" i="13" s="1"/>
  <c r="M1311" i="13"/>
  <c r="B1312" i="13"/>
  <c r="C1312" i="13" s="1"/>
  <c r="D1312" i="13"/>
  <c r="E1312" i="13"/>
  <c r="F1312" i="13"/>
  <c r="G1312" i="13"/>
  <c r="K1312" i="13"/>
  <c r="B1313" i="13"/>
  <c r="L1313" i="13" s="1"/>
  <c r="D1313" i="13"/>
  <c r="F1313" i="13" s="1"/>
  <c r="E1313" i="13"/>
  <c r="G1313" i="13"/>
  <c r="H1313" i="13"/>
  <c r="J1313" i="13"/>
  <c r="B1314" i="13"/>
  <c r="C1314" i="13" s="1"/>
  <c r="D1314" i="13"/>
  <c r="F1314" i="13" s="1"/>
  <c r="E1314" i="13"/>
  <c r="G1314" i="13"/>
  <c r="H1314" i="13"/>
  <c r="J1314" i="13"/>
  <c r="L1314" i="13"/>
  <c r="B1315" i="13"/>
  <c r="I1315" i="13" s="1"/>
  <c r="D1315" i="13"/>
  <c r="F1315" i="13" s="1"/>
  <c r="E1315" i="13"/>
  <c r="G1315" i="13"/>
  <c r="L1315" i="13"/>
  <c r="B1316" i="13"/>
  <c r="I1316" i="13" s="1"/>
  <c r="D1316" i="13"/>
  <c r="F1316" i="13" s="1"/>
  <c r="E1316" i="13"/>
  <c r="G1316" i="13"/>
  <c r="J1316" i="13"/>
  <c r="B1317" i="13"/>
  <c r="L1317" i="13" s="1"/>
  <c r="D1317" i="13"/>
  <c r="E1317" i="13"/>
  <c r="F1317" i="13"/>
  <c r="G1317" i="13"/>
  <c r="H1317" i="13" s="1"/>
  <c r="J1317" i="13"/>
  <c r="B1318" i="13"/>
  <c r="I1318" i="13" s="1"/>
  <c r="C1318" i="13"/>
  <c r="D1318" i="13"/>
  <c r="F1318" i="13" s="1"/>
  <c r="E1318" i="13"/>
  <c r="G1318" i="13"/>
  <c r="H1318" i="13"/>
  <c r="J1318" i="13"/>
  <c r="K1318" i="13"/>
  <c r="L1318" i="13"/>
  <c r="B1319" i="13"/>
  <c r="I1319" i="13" s="1"/>
  <c r="D1319" i="13"/>
  <c r="F1319" i="13" s="1"/>
  <c r="E1319" i="13"/>
  <c r="G1319" i="13"/>
  <c r="L1319" i="13"/>
  <c r="B1320" i="13"/>
  <c r="I1320" i="13" s="1"/>
  <c r="C1320" i="13"/>
  <c r="D1320" i="13"/>
  <c r="E1320" i="13"/>
  <c r="F1320" i="13"/>
  <c r="G1320" i="13"/>
  <c r="K1320" i="13"/>
  <c r="B1321" i="13"/>
  <c r="L1321" i="13" s="1"/>
  <c r="D1321" i="13"/>
  <c r="E1321" i="13"/>
  <c r="F1321" i="13"/>
  <c r="G1321" i="13"/>
  <c r="H1321" i="13"/>
  <c r="B1322" i="13"/>
  <c r="J1322" i="13" s="1"/>
  <c r="D1322" i="13"/>
  <c r="F1322" i="13" s="1"/>
  <c r="E1322" i="13"/>
  <c r="G1322" i="13"/>
  <c r="K1322" i="13"/>
  <c r="B1323" i="13"/>
  <c r="I1323" i="13" s="1"/>
  <c r="C1323" i="13"/>
  <c r="D1323" i="13"/>
  <c r="F1323" i="13" s="1"/>
  <c r="E1323" i="13"/>
  <c r="G1323" i="13"/>
  <c r="H1323" i="13"/>
  <c r="J1323" i="13"/>
  <c r="K1323" i="13"/>
  <c r="L1323" i="13"/>
  <c r="B1324" i="13"/>
  <c r="I1324" i="13" s="1"/>
  <c r="D1324" i="13"/>
  <c r="E1324" i="13"/>
  <c r="F1324" i="13"/>
  <c r="G1324" i="13"/>
  <c r="B1325" i="13"/>
  <c r="L1325" i="13" s="1"/>
  <c r="D1325" i="13"/>
  <c r="F1325" i="13" s="1"/>
  <c r="E1325" i="13"/>
  <c r="G1325" i="13"/>
  <c r="H1325" i="13" s="1"/>
  <c r="B1326" i="13"/>
  <c r="C1326" i="13"/>
  <c r="D1326" i="13"/>
  <c r="F1326" i="13" s="1"/>
  <c r="E1326" i="13"/>
  <c r="G1326" i="13"/>
  <c r="H1326" i="13"/>
  <c r="I1326" i="13"/>
  <c r="J1326" i="13"/>
  <c r="K1326" i="13"/>
  <c r="L1326" i="13"/>
  <c r="M1326" i="13"/>
  <c r="B1327" i="13"/>
  <c r="I1327" i="13" s="1"/>
  <c r="D1327" i="13"/>
  <c r="F1327" i="13" s="1"/>
  <c r="E1327" i="13"/>
  <c r="G1327" i="13"/>
  <c r="J1327" i="13"/>
  <c r="L1327" i="13"/>
  <c r="B1328" i="13"/>
  <c r="I1328" i="13" s="1"/>
  <c r="C1328" i="13"/>
  <c r="D1328" i="13"/>
  <c r="F1328" i="13" s="1"/>
  <c r="E1328" i="13"/>
  <c r="G1328" i="13"/>
  <c r="J1328" i="13"/>
  <c r="K1328" i="13"/>
  <c r="B1329" i="13"/>
  <c r="L1329" i="13" s="1"/>
  <c r="D1329" i="13"/>
  <c r="F1329" i="13" s="1"/>
  <c r="E1329" i="13"/>
  <c r="G1329" i="13"/>
  <c r="H1329" i="13"/>
  <c r="J1329" i="13"/>
  <c r="B1330" i="13"/>
  <c r="C1330" i="13" s="1"/>
  <c r="D1330" i="13"/>
  <c r="F1330" i="13" s="1"/>
  <c r="E1330" i="13"/>
  <c r="G1330" i="13"/>
  <c r="I1330" i="13"/>
  <c r="K1330" i="13"/>
  <c r="M1330" i="13"/>
  <c r="B1331" i="13"/>
  <c r="I1331" i="13" s="1"/>
  <c r="C1331" i="13"/>
  <c r="D1331" i="13"/>
  <c r="F1331" i="13" s="1"/>
  <c r="E1331" i="13"/>
  <c r="G1331" i="13"/>
  <c r="H1331" i="13"/>
  <c r="K1331" i="13"/>
  <c r="L1331" i="13"/>
  <c r="B1332" i="13"/>
  <c r="I1332" i="13" s="1"/>
  <c r="D1332" i="13"/>
  <c r="F1332" i="13" s="1"/>
  <c r="E1332" i="13"/>
  <c r="G1332" i="13"/>
  <c r="J1332" i="13"/>
  <c r="B1333" i="13"/>
  <c r="L1333" i="13" s="1"/>
  <c r="D1333" i="13"/>
  <c r="E1333" i="13"/>
  <c r="F1333" i="13"/>
  <c r="G1333" i="13"/>
  <c r="H1333" i="13" s="1"/>
  <c r="J1333" i="13"/>
  <c r="B1334" i="13"/>
  <c r="I1334" i="13" s="1"/>
  <c r="C1334" i="13"/>
  <c r="D1334" i="13"/>
  <c r="F1334" i="13" s="1"/>
  <c r="E1334" i="13"/>
  <c r="G1334" i="13"/>
  <c r="H1334" i="13"/>
  <c r="J1334" i="13"/>
  <c r="K1334" i="13"/>
  <c r="L1334" i="13"/>
  <c r="B1335" i="13"/>
  <c r="I1335" i="13" s="1"/>
  <c r="D1335" i="13"/>
  <c r="F1335" i="13" s="1"/>
  <c r="E1335" i="13"/>
  <c r="G1335" i="13"/>
  <c r="L1335" i="13"/>
  <c r="B1336" i="13"/>
  <c r="I1336" i="13" s="1"/>
  <c r="C1336" i="13"/>
  <c r="D1336" i="13"/>
  <c r="E1336" i="13"/>
  <c r="F1336" i="13"/>
  <c r="G1336" i="13"/>
  <c r="K1336" i="13"/>
  <c r="B1337" i="13"/>
  <c r="L1337" i="13" s="1"/>
  <c r="D1337" i="13"/>
  <c r="E1337" i="13"/>
  <c r="F1337" i="13"/>
  <c r="G1337" i="13"/>
  <c r="H1337" i="13"/>
  <c r="B1338" i="13"/>
  <c r="J1338" i="13" s="1"/>
  <c r="D1338" i="13"/>
  <c r="F1338" i="13" s="1"/>
  <c r="E1338" i="13"/>
  <c r="G1338" i="13"/>
  <c r="K1338" i="13"/>
  <c r="B1339" i="13"/>
  <c r="I1339" i="13" s="1"/>
  <c r="C1339" i="13"/>
  <c r="D1339" i="13"/>
  <c r="F1339" i="13" s="1"/>
  <c r="E1339" i="13"/>
  <c r="G1339" i="13"/>
  <c r="H1339" i="13"/>
  <c r="J1339" i="13"/>
  <c r="K1339" i="13"/>
  <c r="L1339" i="13"/>
  <c r="B1340" i="13"/>
  <c r="I1340" i="13" s="1"/>
  <c r="D1340" i="13"/>
  <c r="E1340" i="13"/>
  <c r="F1340" i="13"/>
  <c r="G1340" i="13"/>
  <c r="B1341" i="13"/>
  <c r="L1341" i="13" s="1"/>
  <c r="D1341" i="13"/>
  <c r="F1341" i="13" s="1"/>
  <c r="E1341" i="13"/>
  <c r="G1341" i="13"/>
  <c r="H1341" i="13" s="1"/>
  <c r="B1342" i="13"/>
  <c r="C1342" i="13"/>
  <c r="D1342" i="13"/>
  <c r="F1342" i="13" s="1"/>
  <c r="E1342" i="13"/>
  <c r="G1342" i="13"/>
  <c r="H1342" i="13"/>
  <c r="I1342" i="13"/>
  <c r="J1342" i="13"/>
  <c r="K1342" i="13"/>
  <c r="L1342" i="13"/>
  <c r="M1342" i="13"/>
  <c r="B1343" i="13"/>
  <c r="I1343" i="13" s="1"/>
  <c r="D1343" i="13"/>
  <c r="F1343" i="13" s="1"/>
  <c r="E1343" i="13"/>
  <c r="G1343" i="13"/>
  <c r="J1343" i="13"/>
  <c r="L1343" i="13"/>
  <c r="B1344" i="13"/>
  <c r="I1344" i="13" s="1"/>
  <c r="C1344" i="13"/>
  <c r="D1344" i="13"/>
  <c r="F1344" i="13" s="1"/>
  <c r="E1344" i="13"/>
  <c r="G1344" i="13"/>
  <c r="J1344" i="13"/>
  <c r="K1344" i="13"/>
  <c r="B1345" i="13"/>
  <c r="L1345" i="13" s="1"/>
  <c r="D1345" i="13"/>
  <c r="F1345" i="13" s="1"/>
  <c r="E1345" i="13"/>
  <c r="G1345" i="13"/>
  <c r="H1345" i="13"/>
  <c r="J1345" i="13"/>
  <c r="B1346" i="13"/>
  <c r="C1346" i="13" s="1"/>
  <c r="D1346" i="13"/>
  <c r="F1346" i="13" s="1"/>
  <c r="E1346" i="13"/>
  <c r="G1346" i="13"/>
  <c r="I1346" i="13"/>
  <c r="K1346" i="13"/>
  <c r="M1346" i="13"/>
  <c r="B1347" i="13"/>
  <c r="C1347" i="13" s="1"/>
  <c r="D1347" i="13"/>
  <c r="F1347" i="13" s="1"/>
  <c r="E1347" i="13"/>
  <c r="G1347" i="13"/>
  <c r="J1347" i="13"/>
  <c r="L1347" i="13"/>
  <c r="B1348" i="13"/>
  <c r="L1348" i="13" s="1"/>
  <c r="C1348" i="13"/>
  <c r="D1348" i="13"/>
  <c r="E1348" i="13"/>
  <c r="F1348" i="13"/>
  <c r="G1348" i="13"/>
  <c r="J1348" i="13"/>
  <c r="K1348" i="13"/>
  <c r="M1348" i="13"/>
  <c r="B1349" i="13"/>
  <c r="L1349" i="13" s="1"/>
  <c r="D1349" i="13"/>
  <c r="F1349" i="13" s="1"/>
  <c r="E1349" i="13"/>
  <c r="G1349" i="13"/>
  <c r="H1349" i="13"/>
  <c r="J1349" i="13"/>
  <c r="B1350" i="13"/>
  <c r="C1350" i="13" s="1"/>
  <c r="D1350" i="13"/>
  <c r="F1350" i="13" s="1"/>
  <c r="E1350" i="13"/>
  <c r="G1350" i="13"/>
  <c r="J1350" i="13"/>
  <c r="L1350" i="13"/>
  <c r="B1351" i="13"/>
  <c r="C1351" i="13" s="1"/>
  <c r="D1351" i="13"/>
  <c r="F1351" i="13" s="1"/>
  <c r="E1351" i="13"/>
  <c r="G1351" i="13"/>
  <c r="H1351" i="13"/>
  <c r="B1352" i="13"/>
  <c r="L1352" i="13" s="1"/>
  <c r="C1352" i="13"/>
  <c r="D1352" i="13"/>
  <c r="F1352" i="13" s="1"/>
  <c r="E1352" i="13"/>
  <c r="G1352" i="13"/>
  <c r="I1352" i="13"/>
  <c r="J1352" i="13"/>
  <c r="K1352" i="13"/>
  <c r="M1352" i="13"/>
  <c r="B1353" i="13"/>
  <c r="L1353" i="13" s="1"/>
  <c r="D1353" i="13"/>
  <c r="E1353" i="13"/>
  <c r="F1353" i="13"/>
  <c r="G1353" i="13"/>
  <c r="H1353" i="13"/>
  <c r="B1354" i="13"/>
  <c r="K1354" i="13" s="1"/>
  <c r="D1354" i="13"/>
  <c r="F1354" i="13" s="1"/>
  <c r="E1354" i="13"/>
  <c r="G1354" i="13"/>
  <c r="H1354" i="13" s="1"/>
  <c r="L1354" i="13"/>
  <c r="B1355" i="13"/>
  <c r="C1355" i="13" s="1"/>
  <c r="D1355" i="13"/>
  <c r="F1355" i="13" s="1"/>
  <c r="E1355" i="13"/>
  <c r="G1355" i="13"/>
  <c r="H1355" i="13"/>
  <c r="L1355" i="13"/>
  <c r="B1356" i="13"/>
  <c r="L1356" i="13" s="1"/>
  <c r="C1356" i="13"/>
  <c r="D1356" i="13"/>
  <c r="E1356" i="13"/>
  <c r="F1356" i="13"/>
  <c r="G1356" i="13"/>
  <c r="J1356" i="13"/>
  <c r="K1356" i="13"/>
  <c r="M1356" i="13"/>
  <c r="B1357" i="13"/>
  <c r="L1357" i="13" s="1"/>
  <c r="D1357" i="13"/>
  <c r="F1357" i="13" s="1"/>
  <c r="E1357" i="13"/>
  <c r="G1357" i="13"/>
  <c r="H1357" i="13"/>
  <c r="J1357" i="13"/>
  <c r="B1358" i="13"/>
  <c r="C1358" i="13" s="1"/>
  <c r="D1358" i="13"/>
  <c r="F1358" i="13" s="1"/>
  <c r="E1358" i="13"/>
  <c r="G1358" i="13"/>
  <c r="J1358" i="13"/>
  <c r="L1358" i="13"/>
  <c r="B1359" i="13"/>
  <c r="C1359" i="13" s="1"/>
  <c r="D1359" i="13"/>
  <c r="F1359" i="13" s="1"/>
  <c r="E1359" i="13"/>
  <c r="G1359" i="13"/>
  <c r="H1359" i="13"/>
  <c r="B1360" i="13"/>
  <c r="L1360" i="13" s="1"/>
  <c r="C1360" i="13"/>
  <c r="D1360" i="13"/>
  <c r="E1360" i="13"/>
  <c r="F1360" i="13"/>
  <c r="G1360" i="13"/>
  <c r="J1360" i="13"/>
  <c r="K1360" i="13"/>
  <c r="M1360" i="13"/>
  <c r="B1361" i="13"/>
  <c r="L1361" i="13" s="1"/>
  <c r="D1361" i="13"/>
  <c r="E1361" i="13"/>
  <c r="F1361" i="13"/>
  <c r="G1361" i="13"/>
  <c r="H1361" i="13"/>
  <c r="J1361" i="13"/>
  <c r="B1362" i="13"/>
  <c r="K1362" i="13" s="1"/>
  <c r="D1362" i="13"/>
  <c r="F1362" i="13" s="1"/>
  <c r="E1362" i="13"/>
  <c r="G1362" i="13"/>
  <c r="H1362" i="13" s="1"/>
  <c r="B1363" i="13"/>
  <c r="C1363" i="13" s="1"/>
  <c r="D1363" i="13"/>
  <c r="F1363" i="13" s="1"/>
  <c r="E1363" i="13"/>
  <c r="G1363" i="13"/>
  <c r="H1363" i="13"/>
  <c r="L1363" i="13"/>
  <c r="B1364" i="13"/>
  <c r="L1364" i="13" s="1"/>
  <c r="C1364" i="13"/>
  <c r="D1364" i="13"/>
  <c r="F1364" i="13" s="1"/>
  <c r="E1364" i="13"/>
  <c r="G1364" i="13"/>
  <c r="I1364" i="13"/>
  <c r="J1364" i="13"/>
  <c r="K1364" i="13"/>
  <c r="M1364" i="13"/>
  <c r="B1365" i="13"/>
  <c r="L1365" i="13" s="1"/>
  <c r="D1365" i="13"/>
  <c r="F1365" i="13" s="1"/>
  <c r="E1365" i="13"/>
  <c r="G1365" i="13"/>
  <c r="H1365" i="13"/>
  <c r="B1366" i="13"/>
  <c r="C1366" i="13" s="1"/>
  <c r="D1366" i="13"/>
  <c r="F1366" i="13" s="1"/>
  <c r="E1366" i="13"/>
  <c r="G1366" i="13"/>
  <c r="J1366" i="13"/>
  <c r="L1366" i="13"/>
  <c r="B1367" i="13"/>
  <c r="C1367" i="13" s="1"/>
  <c r="D1367" i="13"/>
  <c r="F1367" i="13" s="1"/>
  <c r="E1367" i="13"/>
  <c r="G1367" i="13"/>
  <c r="H1367" i="13"/>
  <c r="B1368" i="13"/>
  <c r="L1368" i="13" s="1"/>
  <c r="C1368" i="13"/>
  <c r="D1368" i="13"/>
  <c r="E1368" i="13"/>
  <c r="F1368" i="13"/>
  <c r="G1368" i="13"/>
  <c r="J1368" i="13"/>
  <c r="K1368" i="13"/>
  <c r="M1368" i="13"/>
  <c r="B1369" i="13"/>
  <c r="L1369" i="13" s="1"/>
  <c r="D1369" i="13"/>
  <c r="E1369" i="13"/>
  <c r="F1369" i="13"/>
  <c r="G1369" i="13"/>
  <c r="H1369" i="13"/>
  <c r="J1369" i="13"/>
  <c r="B1370" i="13"/>
  <c r="K1370" i="13" s="1"/>
  <c r="D1370" i="13"/>
  <c r="F1370" i="13" s="1"/>
  <c r="E1370" i="13"/>
  <c r="G1370" i="13"/>
  <c r="H1370" i="13" s="1"/>
  <c r="L1370" i="13"/>
  <c r="B1371" i="13"/>
  <c r="C1371" i="13" s="1"/>
  <c r="D1371" i="13"/>
  <c r="F1371" i="13" s="1"/>
  <c r="E1371" i="13"/>
  <c r="G1371" i="13"/>
  <c r="H1371" i="13"/>
  <c r="L1371" i="13"/>
  <c r="B1372" i="13"/>
  <c r="L1372" i="13" s="1"/>
  <c r="C1372" i="13"/>
  <c r="D1372" i="13"/>
  <c r="F1372" i="13" s="1"/>
  <c r="E1372" i="13"/>
  <c r="G1372" i="13"/>
  <c r="I1372" i="13"/>
  <c r="J1372" i="13"/>
  <c r="K1372" i="13"/>
  <c r="M1372" i="13"/>
  <c r="B1373" i="13"/>
  <c r="L1373" i="13" s="1"/>
  <c r="D1373" i="13"/>
  <c r="F1373" i="13" s="1"/>
  <c r="E1373" i="13"/>
  <c r="G1373" i="13"/>
  <c r="B1374" i="13"/>
  <c r="C1374" i="13" s="1"/>
  <c r="D1374" i="13"/>
  <c r="F1374" i="13" s="1"/>
  <c r="E1374" i="13"/>
  <c r="G1374" i="13"/>
  <c r="J1374" i="13"/>
  <c r="L1374" i="13"/>
  <c r="B1375" i="13"/>
  <c r="C1375" i="13" s="1"/>
  <c r="D1375" i="13"/>
  <c r="F1375" i="13" s="1"/>
  <c r="E1375" i="13"/>
  <c r="G1375" i="13"/>
  <c r="H1375" i="13"/>
  <c r="B1376" i="13"/>
  <c r="L1376" i="13" s="1"/>
  <c r="C1376" i="13"/>
  <c r="D1376" i="13"/>
  <c r="E1376" i="13"/>
  <c r="F1376" i="13"/>
  <c r="G1376" i="13"/>
  <c r="K1376" i="13"/>
  <c r="M1376" i="13"/>
  <c r="B1377" i="13"/>
  <c r="L1377" i="13" s="1"/>
  <c r="D1377" i="13"/>
  <c r="E1377" i="13"/>
  <c r="F1377" i="13"/>
  <c r="G1377" i="13"/>
  <c r="H1377" i="13"/>
  <c r="J1377" i="13"/>
  <c r="B1378" i="13"/>
  <c r="K1378" i="13" s="1"/>
  <c r="D1378" i="13"/>
  <c r="F1378" i="13" s="1"/>
  <c r="E1378" i="13"/>
  <c r="G1378" i="13"/>
  <c r="H1378" i="13" s="1"/>
  <c r="B1379" i="13"/>
  <c r="C1379" i="13" s="1"/>
  <c r="D1379" i="13"/>
  <c r="F1379" i="13" s="1"/>
  <c r="E1379" i="13"/>
  <c r="G1379" i="13"/>
  <c r="J1379" i="13"/>
  <c r="L1379" i="13"/>
  <c r="B1380" i="13"/>
  <c r="L1380" i="13" s="1"/>
  <c r="C1380" i="13"/>
  <c r="D1380" i="13"/>
  <c r="F1380" i="13" s="1"/>
  <c r="E1380" i="13"/>
  <c r="G1380" i="13"/>
  <c r="I1380" i="13"/>
  <c r="J1380" i="13"/>
  <c r="K1380" i="13"/>
  <c r="M1380" i="13"/>
  <c r="B1381" i="13"/>
  <c r="L1381" i="13" s="1"/>
  <c r="D1381" i="13"/>
  <c r="F1381" i="13" s="1"/>
  <c r="E1381" i="13"/>
  <c r="G1381" i="13"/>
  <c r="H1381" i="13"/>
  <c r="B1382" i="13"/>
  <c r="K1382" i="13" s="1"/>
  <c r="C1382" i="13"/>
  <c r="D1382" i="13"/>
  <c r="F1382" i="13" s="1"/>
  <c r="E1382" i="13"/>
  <c r="G1382" i="13"/>
  <c r="I1382" i="13"/>
  <c r="J1382" i="13"/>
  <c r="L1382" i="13"/>
  <c r="M1382" i="13"/>
  <c r="B1383" i="13"/>
  <c r="C1383" i="13" s="1"/>
  <c r="D1383" i="13"/>
  <c r="F1383" i="13" s="1"/>
  <c r="E1383" i="13"/>
  <c r="G1383" i="13"/>
  <c r="H1383" i="13"/>
  <c r="B1384" i="13"/>
  <c r="L1384" i="13" s="1"/>
  <c r="C1384" i="13"/>
  <c r="D1384" i="13"/>
  <c r="E1384" i="13"/>
  <c r="F1384" i="13"/>
  <c r="G1384" i="13"/>
  <c r="K1384" i="13"/>
  <c r="M1384" i="13"/>
  <c r="B1385" i="13"/>
  <c r="L1385" i="13" s="1"/>
  <c r="D1385" i="13"/>
  <c r="E1385" i="13"/>
  <c r="F1385" i="13"/>
  <c r="G1385" i="13"/>
  <c r="H1385" i="13"/>
  <c r="J1385" i="13"/>
  <c r="B1386" i="13"/>
  <c r="K1386" i="13" s="1"/>
  <c r="D1386" i="13"/>
  <c r="F1386" i="13" s="1"/>
  <c r="E1386" i="13"/>
  <c r="G1386" i="13"/>
  <c r="H1386" i="13" s="1"/>
  <c r="B1387" i="13"/>
  <c r="C1387" i="13" s="1"/>
  <c r="D1387" i="13"/>
  <c r="F1387" i="13" s="1"/>
  <c r="E1387" i="13"/>
  <c r="G1387" i="13"/>
  <c r="J1387" i="13"/>
  <c r="L1387" i="13"/>
  <c r="B1388" i="13"/>
  <c r="L1388" i="13" s="1"/>
  <c r="C1388" i="13"/>
  <c r="D1388" i="13"/>
  <c r="F1388" i="13" s="1"/>
  <c r="E1388" i="13"/>
  <c r="G1388" i="13"/>
  <c r="I1388" i="13"/>
  <c r="J1388" i="13"/>
  <c r="K1388" i="13"/>
  <c r="M1388" i="13"/>
  <c r="B1389" i="13"/>
  <c r="L1389" i="13" s="1"/>
  <c r="D1389" i="13"/>
  <c r="F1389" i="13" s="1"/>
  <c r="E1389" i="13"/>
  <c r="G1389" i="13"/>
  <c r="H1389" i="13"/>
  <c r="B1390" i="13"/>
  <c r="K1390" i="13" s="1"/>
  <c r="C1390" i="13"/>
  <c r="D1390" i="13"/>
  <c r="F1390" i="13" s="1"/>
  <c r="E1390" i="13"/>
  <c r="G1390" i="13"/>
  <c r="I1390" i="13"/>
  <c r="J1390" i="13"/>
  <c r="L1390" i="13"/>
  <c r="M1390" i="13"/>
  <c r="B1391" i="13"/>
  <c r="C1391" i="13" s="1"/>
  <c r="D1391" i="13"/>
  <c r="F1391" i="13" s="1"/>
  <c r="E1391" i="13"/>
  <c r="G1391" i="13"/>
  <c r="H1391" i="13"/>
  <c r="B1392" i="13"/>
  <c r="L1392" i="13" s="1"/>
  <c r="C1392" i="13"/>
  <c r="D1392" i="13"/>
  <c r="E1392" i="13"/>
  <c r="F1392" i="13"/>
  <c r="G1392" i="13"/>
  <c r="K1392" i="13"/>
  <c r="M1392" i="13"/>
  <c r="B1393" i="13"/>
  <c r="L1393" i="13" s="1"/>
  <c r="D1393" i="13"/>
  <c r="E1393" i="13"/>
  <c r="F1393" i="13"/>
  <c r="G1393" i="13"/>
  <c r="H1393" i="13"/>
  <c r="J1393" i="13"/>
  <c r="B1394" i="13"/>
  <c r="K1394" i="13" s="1"/>
  <c r="D1394" i="13"/>
  <c r="F1394" i="13" s="1"/>
  <c r="E1394" i="13"/>
  <c r="G1394" i="13"/>
  <c r="H1394" i="13" s="1"/>
  <c r="B1395" i="13"/>
  <c r="C1395" i="13" s="1"/>
  <c r="D1395" i="13"/>
  <c r="F1395" i="13" s="1"/>
  <c r="E1395" i="13"/>
  <c r="G1395" i="13"/>
  <c r="J1395" i="13"/>
  <c r="L1395" i="13"/>
  <c r="B1396" i="13"/>
  <c r="L1396" i="13" s="1"/>
  <c r="C1396" i="13"/>
  <c r="D1396" i="13"/>
  <c r="F1396" i="13" s="1"/>
  <c r="E1396" i="13"/>
  <c r="G1396" i="13"/>
  <c r="I1396" i="13"/>
  <c r="J1396" i="13"/>
  <c r="K1396" i="13"/>
  <c r="M1396" i="13"/>
  <c r="B1397" i="13"/>
  <c r="L1397" i="13" s="1"/>
  <c r="D1397" i="13"/>
  <c r="H1397" i="13" s="1"/>
  <c r="E1397" i="13"/>
  <c r="G1397" i="13"/>
  <c r="B1398" i="13"/>
  <c r="K1398" i="13" s="1"/>
  <c r="C1398" i="13"/>
  <c r="D1398" i="13"/>
  <c r="F1398" i="13" s="1"/>
  <c r="E1398" i="13"/>
  <c r="G1398" i="13"/>
  <c r="I1398" i="13"/>
  <c r="J1398" i="13"/>
  <c r="L1398" i="13"/>
  <c r="M1398" i="13"/>
  <c r="B1399" i="13"/>
  <c r="C1399" i="13" s="1"/>
  <c r="D1399" i="13"/>
  <c r="F1399" i="13" s="1"/>
  <c r="E1399" i="13"/>
  <c r="G1399" i="13"/>
  <c r="H1399" i="13"/>
  <c r="B1400" i="13"/>
  <c r="L1400" i="13" s="1"/>
  <c r="C1400" i="13"/>
  <c r="D1400" i="13"/>
  <c r="E1400" i="13"/>
  <c r="F1400" i="13"/>
  <c r="G1400" i="13"/>
  <c r="K1400" i="13"/>
  <c r="M1400" i="13"/>
  <c r="B1401" i="13"/>
  <c r="L1401" i="13" s="1"/>
  <c r="D1401" i="13"/>
  <c r="E1401" i="13"/>
  <c r="F1401" i="13"/>
  <c r="G1401" i="13"/>
  <c r="H1401" i="13"/>
  <c r="J1401" i="13"/>
  <c r="B1402" i="13"/>
  <c r="K1402" i="13" s="1"/>
  <c r="D1402" i="13"/>
  <c r="F1402" i="13" s="1"/>
  <c r="E1402" i="13"/>
  <c r="G1402" i="13"/>
  <c r="H1402" i="13" s="1"/>
  <c r="B1403" i="13"/>
  <c r="C1403" i="13" s="1"/>
  <c r="D1403" i="13"/>
  <c r="F1403" i="13" s="1"/>
  <c r="E1403" i="13"/>
  <c r="G1403" i="13"/>
  <c r="J1403" i="13"/>
  <c r="L1403" i="13"/>
  <c r="B1404" i="13"/>
  <c r="L1404" i="13" s="1"/>
  <c r="C1404" i="13"/>
  <c r="D1404" i="13"/>
  <c r="F1404" i="13" s="1"/>
  <c r="E1404" i="13"/>
  <c r="G1404" i="13"/>
  <c r="I1404" i="13"/>
  <c r="J1404" i="13"/>
  <c r="K1404" i="13"/>
  <c r="M1404" i="13"/>
  <c r="B1405" i="13"/>
  <c r="L1405" i="13" s="1"/>
  <c r="D1405" i="13"/>
  <c r="F1405" i="13" s="1"/>
  <c r="E1405" i="13"/>
  <c r="G1405" i="13"/>
  <c r="B1406" i="13"/>
  <c r="K1406" i="13" s="1"/>
  <c r="C1406" i="13"/>
  <c r="D1406" i="13"/>
  <c r="F1406" i="13" s="1"/>
  <c r="E1406" i="13"/>
  <c r="G1406" i="13"/>
  <c r="I1406" i="13"/>
  <c r="J1406" i="13"/>
  <c r="L1406" i="13"/>
  <c r="M1406" i="13"/>
  <c r="B1407" i="13"/>
  <c r="D1407" i="13"/>
  <c r="F1407" i="13" s="1"/>
  <c r="E1407" i="13"/>
  <c r="G1407" i="13"/>
  <c r="H1407" i="13"/>
  <c r="B1408" i="13"/>
  <c r="L1408" i="13" s="1"/>
  <c r="C1408" i="13"/>
  <c r="D1408" i="13"/>
  <c r="E1408" i="13"/>
  <c r="F1408" i="13"/>
  <c r="G1408" i="13"/>
  <c r="K1408" i="13"/>
  <c r="M1408" i="13"/>
  <c r="B1409" i="13"/>
  <c r="L1409" i="13" s="1"/>
  <c r="D1409" i="13"/>
  <c r="E1409" i="13"/>
  <c r="F1409" i="13"/>
  <c r="G1409" i="13"/>
  <c r="H1409" i="13"/>
  <c r="J1409" i="13"/>
  <c r="B1410" i="13"/>
  <c r="D1410" i="13"/>
  <c r="F1410" i="13" s="1"/>
  <c r="E1410" i="13"/>
  <c r="G1410" i="13"/>
  <c r="H1410" i="13" s="1"/>
  <c r="L1410" i="13"/>
  <c r="B1411" i="13"/>
  <c r="C1411" i="13" s="1"/>
  <c r="D1411" i="13"/>
  <c r="F1411" i="13" s="1"/>
  <c r="E1411" i="13"/>
  <c r="G1411" i="13"/>
  <c r="J1411" i="13"/>
  <c r="L1411" i="13"/>
  <c r="B1412" i="13"/>
  <c r="L1412" i="13" s="1"/>
  <c r="C1412" i="13"/>
  <c r="D1412" i="13"/>
  <c r="F1412" i="13" s="1"/>
  <c r="E1412" i="13"/>
  <c r="G1412" i="13"/>
  <c r="I1412" i="13"/>
  <c r="J1412" i="13"/>
  <c r="K1412" i="13"/>
  <c r="M1412" i="13"/>
  <c r="B1413" i="13"/>
  <c r="L1413" i="13" s="1"/>
  <c r="D1413" i="13"/>
  <c r="F1413" i="13" s="1"/>
  <c r="E1413" i="13"/>
  <c r="G1413" i="13"/>
  <c r="H1413" i="13"/>
  <c r="B1414" i="13"/>
  <c r="K1414" i="13" s="1"/>
  <c r="C1414" i="13"/>
  <c r="D1414" i="13"/>
  <c r="F1414" i="13" s="1"/>
  <c r="E1414" i="13"/>
  <c r="G1414" i="13"/>
  <c r="I1414" i="13"/>
  <c r="J1414" i="13"/>
  <c r="L1414" i="13"/>
  <c r="M1414" i="13"/>
  <c r="B1415" i="13"/>
  <c r="D1415" i="13"/>
  <c r="F1415" i="13" s="1"/>
  <c r="E1415" i="13"/>
  <c r="G1415" i="13"/>
  <c r="H1415" i="13"/>
  <c r="B1416" i="13"/>
  <c r="L1416" i="13" s="1"/>
  <c r="C1416" i="13"/>
  <c r="D1416" i="13"/>
  <c r="E1416" i="13"/>
  <c r="F1416" i="13"/>
  <c r="G1416" i="13"/>
  <c r="K1416" i="13"/>
  <c r="M1416" i="13"/>
  <c r="B1417" i="13"/>
  <c r="L1417" i="13" s="1"/>
  <c r="D1417" i="13"/>
  <c r="E1417" i="13"/>
  <c r="F1417" i="13"/>
  <c r="G1417" i="13"/>
  <c r="H1417" i="13"/>
  <c r="J1417" i="13"/>
  <c r="B1418" i="13"/>
  <c r="D1418" i="13"/>
  <c r="F1418" i="13" s="1"/>
  <c r="E1418" i="13"/>
  <c r="G1418" i="13"/>
  <c r="H1418" i="13" s="1"/>
  <c r="L1418" i="13"/>
  <c r="B1419" i="13"/>
  <c r="C1419" i="13" s="1"/>
  <c r="D1419" i="13"/>
  <c r="F1419" i="13" s="1"/>
  <c r="E1419" i="13"/>
  <c r="G1419" i="13"/>
  <c r="J1419" i="13"/>
  <c r="L1419" i="13"/>
  <c r="B1420" i="13"/>
  <c r="L1420" i="13" s="1"/>
  <c r="C1420" i="13"/>
  <c r="D1420" i="13"/>
  <c r="F1420" i="13" s="1"/>
  <c r="E1420" i="13"/>
  <c r="G1420" i="13"/>
  <c r="I1420" i="13"/>
  <c r="J1420" i="13"/>
  <c r="K1420" i="13"/>
  <c r="M1420" i="13"/>
  <c r="B1421" i="13"/>
  <c r="L1421" i="13" s="1"/>
  <c r="D1421" i="13"/>
  <c r="F1421" i="13" s="1"/>
  <c r="E1421" i="13"/>
  <c r="G1421" i="13"/>
  <c r="B1422" i="13"/>
  <c r="K1422" i="13" s="1"/>
  <c r="C1422" i="13"/>
  <c r="D1422" i="13"/>
  <c r="F1422" i="13" s="1"/>
  <c r="E1422" i="13"/>
  <c r="G1422" i="13"/>
  <c r="I1422" i="13"/>
  <c r="J1422" i="13"/>
  <c r="L1422" i="13"/>
  <c r="M1422" i="13"/>
  <c r="B1423" i="13"/>
  <c r="D1423" i="13"/>
  <c r="F1423" i="13" s="1"/>
  <c r="E1423" i="13"/>
  <c r="G1423" i="13"/>
  <c r="H1423" i="13"/>
  <c r="B1424" i="13"/>
  <c r="L1424" i="13" s="1"/>
  <c r="C1424" i="13"/>
  <c r="D1424" i="13"/>
  <c r="E1424" i="13"/>
  <c r="F1424" i="13"/>
  <c r="G1424" i="13"/>
  <c r="K1424" i="13"/>
  <c r="M1424" i="13"/>
  <c r="B1425" i="13"/>
  <c r="L1425" i="13" s="1"/>
  <c r="D1425" i="13"/>
  <c r="E1425" i="13"/>
  <c r="F1425" i="13"/>
  <c r="G1425" i="13"/>
  <c r="H1425" i="13"/>
  <c r="J1425" i="13"/>
  <c r="B1426" i="13"/>
  <c r="D1426" i="13"/>
  <c r="F1426" i="13" s="1"/>
  <c r="E1426" i="13"/>
  <c r="G1426" i="13"/>
  <c r="H1426" i="13" s="1"/>
  <c r="L1426" i="13"/>
  <c r="B1427" i="13"/>
  <c r="C1427" i="13" s="1"/>
  <c r="D1427" i="13"/>
  <c r="F1427" i="13" s="1"/>
  <c r="E1427" i="13"/>
  <c r="G1427" i="13"/>
  <c r="J1427" i="13"/>
  <c r="L1427" i="13"/>
  <c r="B1428" i="13"/>
  <c r="L1428" i="13" s="1"/>
  <c r="C1428" i="13"/>
  <c r="D1428" i="13"/>
  <c r="F1428" i="13" s="1"/>
  <c r="E1428" i="13"/>
  <c r="G1428" i="13"/>
  <c r="I1428" i="13"/>
  <c r="J1428" i="13"/>
  <c r="K1428" i="13"/>
  <c r="M1428" i="13"/>
  <c r="B1429" i="13"/>
  <c r="L1429" i="13" s="1"/>
  <c r="D1429" i="13"/>
  <c r="F1429" i="13" s="1"/>
  <c r="E1429" i="13"/>
  <c r="G1429" i="13"/>
  <c r="H1429" i="13"/>
  <c r="B1430" i="13"/>
  <c r="K1430" i="13" s="1"/>
  <c r="C1430" i="13"/>
  <c r="D1430" i="13"/>
  <c r="F1430" i="13" s="1"/>
  <c r="E1430" i="13"/>
  <c r="G1430" i="13"/>
  <c r="I1430" i="13"/>
  <c r="J1430" i="13"/>
  <c r="L1430" i="13"/>
  <c r="M1430" i="13"/>
  <c r="B1431" i="13"/>
  <c r="D1431" i="13"/>
  <c r="F1431" i="13" s="1"/>
  <c r="E1431" i="13"/>
  <c r="G1431" i="13"/>
  <c r="H1431" i="13"/>
  <c r="B1432" i="13"/>
  <c r="L1432" i="13" s="1"/>
  <c r="C1432" i="13"/>
  <c r="D1432" i="13"/>
  <c r="E1432" i="13"/>
  <c r="F1432" i="13"/>
  <c r="G1432" i="13"/>
  <c r="K1432" i="13"/>
  <c r="M1432" i="13"/>
  <c r="B1433" i="13"/>
  <c r="L1433" i="13" s="1"/>
  <c r="D1433" i="13"/>
  <c r="E1433" i="13"/>
  <c r="F1433" i="13"/>
  <c r="G1433" i="13"/>
  <c r="H1433" i="13"/>
  <c r="J1433" i="13"/>
  <c r="B1434" i="13"/>
  <c r="D1434" i="13"/>
  <c r="F1434" i="13" s="1"/>
  <c r="E1434" i="13"/>
  <c r="G1434" i="13"/>
  <c r="H1434" i="13" s="1"/>
  <c r="L1434" i="13"/>
  <c r="B1435" i="13"/>
  <c r="C1435" i="13" s="1"/>
  <c r="D1435" i="13"/>
  <c r="F1435" i="13" s="1"/>
  <c r="E1435" i="13"/>
  <c r="G1435" i="13"/>
  <c r="J1435" i="13"/>
  <c r="L1435" i="13"/>
  <c r="B1436" i="13"/>
  <c r="L1436" i="13" s="1"/>
  <c r="C1436" i="13"/>
  <c r="D1436" i="13"/>
  <c r="F1436" i="13" s="1"/>
  <c r="E1436" i="13"/>
  <c r="G1436" i="13"/>
  <c r="I1436" i="13"/>
  <c r="J1436" i="13"/>
  <c r="K1436" i="13"/>
  <c r="M1436" i="13"/>
  <c r="B1437" i="13"/>
  <c r="L1437" i="13" s="1"/>
  <c r="D1437" i="13"/>
  <c r="F1437" i="13" s="1"/>
  <c r="E1437" i="13"/>
  <c r="G1437" i="13"/>
  <c r="B1438" i="13"/>
  <c r="K1438" i="13" s="1"/>
  <c r="C1438" i="13"/>
  <c r="D1438" i="13"/>
  <c r="F1438" i="13" s="1"/>
  <c r="E1438" i="13"/>
  <c r="G1438" i="13"/>
  <c r="I1438" i="13"/>
  <c r="J1438" i="13"/>
  <c r="L1438" i="13"/>
  <c r="M1438" i="13"/>
  <c r="B1439" i="13"/>
  <c r="D1439" i="13"/>
  <c r="F1439" i="13" s="1"/>
  <c r="E1439" i="13"/>
  <c r="G1439" i="13"/>
  <c r="H1439" i="13"/>
  <c r="B1440" i="13"/>
  <c r="L1440" i="13" s="1"/>
  <c r="C1440" i="13"/>
  <c r="D1440" i="13"/>
  <c r="E1440" i="13"/>
  <c r="F1440" i="13"/>
  <c r="G1440" i="13"/>
  <c r="K1440" i="13"/>
  <c r="M1440" i="13"/>
  <c r="B1441" i="13"/>
  <c r="L1441" i="13" s="1"/>
  <c r="D1441" i="13"/>
  <c r="E1441" i="13"/>
  <c r="F1441" i="13"/>
  <c r="G1441" i="13"/>
  <c r="H1441" i="13"/>
  <c r="J1441" i="13"/>
  <c r="B1442" i="13"/>
  <c r="D1442" i="13"/>
  <c r="F1442" i="13" s="1"/>
  <c r="E1442" i="13"/>
  <c r="G1442" i="13"/>
  <c r="H1442" i="13" s="1"/>
  <c r="L1442" i="13"/>
  <c r="B1443" i="13"/>
  <c r="C1443" i="13" s="1"/>
  <c r="D1443" i="13"/>
  <c r="F1443" i="13" s="1"/>
  <c r="E1443" i="13"/>
  <c r="G1443" i="13"/>
  <c r="J1443" i="13"/>
  <c r="L1443" i="13"/>
  <c r="B1444" i="13"/>
  <c r="L1444" i="13" s="1"/>
  <c r="C1444" i="13"/>
  <c r="D1444" i="13"/>
  <c r="F1444" i="13" s="1"/>
  <c r="E1444" i="13"/>
  <c r="G1444" i="13"/>
  <c r="I1444" i="13"/>
  <c r="J1444" i="13"/>
  <c r="K1444" i="13"/>
  <c r="M1444" i="13"/>
  <c r="B1445" i="13"/>
  <c r="L1445" i="13" s="1"/>
  <c r="D1445" i="13"/>
  <c r="F1445" i="13" s="1"/>
  <c r="E1445" i="13"/>
  <c r="G1445" i="13"/>
  <c r="H1445" i="13"/>
  <c r="B1446" i="13"/>
  <c r="K1446" i="13" s="1"/>
  <c r="C1446" i="13"/>
  <c r="D1446" i="13"/>
  <c r="F1446" i="13" s="1"/>
  <c r="E1446" i="13"/>
  <c r="G1446" i="13"/>
  <c r="I1446" i="13"/>
  <c r="J1446" i="13"/>
  <c r="L1446" i="13"/>
  <c r="M1446" i="13"/>
  <c r="B1447" i="13"/>
  <c r="D1447" i="13"/>
  <c r="F1447" i="13" s="1"/>
  <c r="E1447" i="13"/>
  <c r="G1447" i="13"/>
  <c r="J1447" i="13"/>
  <c r="B1448" i="13"/>
  <c r="L1448" i="13" s="1"/>
  <c r="C1448" i="13"/>
  <c r="D1448" i="13"/>
  <c r="F1448" i="13" s="1"/>
  <c r="E1448" i="13"/>
  <c r="G1448" i="13"/>
  <c r="I1448" i="13"/>
  <c r="K1448" i="13"/>
  <c r="M1448" i="13"/>
  <c r="B1449" i="13"/>
  <c r="D1449" i="13"/>
  <c r="E1449" i="13"/>
  <c r="F1449" i="13"/>
  <c r="G1449" i="13"/>
  <c r="H1449" i="13" s="1"/>
  <c r="B1450" i="13"/>
  <c r="J1450" i="13" s="1"/>
  <c r="C1450" i="13"/>
  <c r="D1450" i="13"/>
  <c r="F1450" i="13" s="1"/>
  <c r="E1450" i="13"/>
  <c r="G1450" i="13"/>
  <c r="H1450" i="13" s="1"/>
  <c r="I1450" i="13"/>
  <c r="L1450" i="13"/>
  <c r="M1450" i="13"/>
  <c r="B1451" i="13"/>
  <c r="C1451" i="13" s="1"/>
  <c r="D1451" i="13"/>
  <c r="F1451" i="13" s="1"/>
  <c r="E1451" i="13"/>
  <c r="G1451" i="13"/>
  <c r="J1451" i="13"/>
  <c r="L1451" i="13"/>
  <c r="B1452" i="13"/>
  <c r="D1452" i="13"/>
  <c r="E1452" i="13"/>
  <c r="F1452" i="13"/>
  <c r="G1452" i="13"/>
  <c r="K1452" i="13"/>
  <c r="B1453" i="13"/>
  <c r="L1453" i="13" s="1"/>
  <c r="D1453" i="13"/>
  <c r="F1453" i="13" s="1"/>
  <c r="E1453" i="13"/>
  <c r="G1453" i="13"/>
  <c r="H1453" i="13"/>
  <c r="J1453" i="13"/>
  <c r="B1454" i="13"/>
  <c r="C1454" i="13"/>
  <c r="D1454" i="13"/>
  <c r="F1454" i="13" s="1"/>
  <c r="E1454" i="13"/>
  <c r="G1454" i="13"/>
  <c r="I1454" i="13"/>
  <c r="J1454" i="13"/>
  <c r="K1454" i="13"/>
  <c r="L1454" i="13"/>
  <c r="M1454" i="13"/>
  <c r="B1455" i="13"/>
  <c r="C1455" i="13" s="1"/>
  <c r="D1455" i="13"/>
  <c r="E1455" i="13"/>
  <c r="G1455" i="13"/>
  <c r="J1455" i="13"/>
  <c r="B1456" i="13"/>
  <c r="L1456" i="13" s="1"/>
  <c r="C1456" i="13"/>
  <c r="D1456" i="13"/>
  <c r="F1456" i="13" s="1"/>
  <c r="E1456" i="13"/>
  <c r="G1456" i="13"/>
  <c r="I1456" i="13"/>
  <c r="K1456" i="13"/>
  <c r="M1456" i="13"/>
  <c r="B1457" i="13"/>
  <c r="D1457" i="13"/>
  <c r="E1457" i="13"/>
  <c r="F1457" i="13"/>
  <c r="G1457" i="13"/>
  <c r="H1457" i="13" s="1"/>
  <c r="B1458" i="13"/>
  <c r="J1458" i="13" s="1"/>
  <c r="C1458" i="13"/>
  <c r="D1458" i="13"/>
  <c r="F1458" i="13" s="1"/>
  <c r="E1458" i="13"/>
  <c r="G1458" i="13"/>
  <c r="H1458" i="13" s="1"/>
  <c r="I1458" i="13"/>
  <c r="L1458" i="13"/>
  <c r="M1458" i="13"/>
  <c r="B1459" i="13"/>
  <c r="C1459" i="13" s="1"/>
  <c r="D1459" i="13"/>
  <c r="F1459" i="13" s="1"/>
  <c r="E1459" i="13"/>
  <c r="G1459" i="13"/>
  <c r="J1459" i="13"/>
  <c r="L1459" i="13"/>
  <c r="B1460" i="13"/>
  <c r="K1460" i="13" s="1"/>
  <c r="D1460" i="13"/>
  <c r="E1460" i="13"/>
  <c r="F1460" i="13"/>
  <c r="G1460" i="13"/>
  <c r="B1461" i="13"/>
  <c r="L1461" i="13" s="1"/>
  <c r="D1461" i="13"/>
  <c r="F1461" i="13" s="1"/>
  <c r="E1461" i="13"/>
  <c r="G1461" i="13"/>
  <c r="H1461" i="13"/>
  <c r="B1462" i="13"/>
  <c r="D1462" i="13"/>
  <c r="F1462" i="13" s="1"/>
  <c r="E1462" i="13"/>
  <c r="G1462" i="13"/>
  <c r="H1462" i="13" s="1"/>
  <c r="L1462" i="13"/>
  <c r="B1463" i="13"/>
  <c r="C1463" i="13" s="1"/>
  <c r="D1463" i="13"/>
  <c r="H1463" i="13" s="1"/>
  <c r="E1463" i="13"/>
  <c r="G1463" i="13"/>
  <c r="L1463" i="13"/>
  <c r="B1464" i="13"/>
  <c r="L1464" i="13" s="1"/>
  <c r="C1464" i="13"/>
  <c r="D1464" i="13"/>
  <c r="E1464" i="13"/>
  <c r="F1464" i="13"/>
  <c r="G1464" i="13"/>
  <c r="K1464" i="13"/>
  <c r="M1464" i="13"/>
  <c r="B1465" i="13"/>
  <c r="I1465" i="13" s="1"/>
  <c r="D1465" i="13"/>
  <c r="E1465" i="13"/>
  <c r="F1465" i="13"/>
  <c r="G1465" i="13"/>
  <c r="H1465" i="13"/>
  <c r="J1465" i="13"/>
  <c r="B1466" i="13"/>
  <c r="D1466" i="13"/>
  <c r="F1466" i="13" s="1"/>
  <c r="E1466" i="13"/>
  <c r="G1466" i="13"/>
  <c r="H1466" i="13" s="1"/>
  <c r="L1466" i="13"/>
  <c r="B1467" i="13"/>
  <c r="C1467" i="13" s="1"/>
  <c r="D1467" i="13"/>
  <c r="F1467" i="13" s="1"/>
  <c r="E1467" i="13"/>
  <c r="G1467" i="13"/>
  <c r="L1467" i="13"/>
  <c r="B1468" i="13"/>
  <c r="D1468" i="13"/>
  <c r="E1468" i="13"/>
  <c r="F1468" i="13"/>
  <c r="G1468" i="13"/>
  <c r="K1468" i="13"/>
  <c r="B1469" i="13"/>
  <c r="I1469" i="13" s="1"/>
  <c r="D1469" i="13"/>
  <c r="F1469" i="13" s="1"/>
  <c r="E1469" i="13"/>
  <c r="G1469" i="13"/>
  <c r="H1469" i="13"/>
  <c r="B1470" i="13"/>
  <c r="D1470" i="13"/>
  <c r="F1470" i="13" s="1"/>
  <c r="E1470" i="13"/>
  <c r="G1470" i="13"/>
  <c r="H1470" i="13" s="1"/>
  <c r="L1470" i="13"/>
  <c r="B1471" i="13"/>
  <c r="C1471" i="13" s="1"/>
  <c r="D1471" i="13"/>
  <c r="H1471" i="13" s="1"/>
  <c r="E1471" i="13"/>
  <c r="G1471" i="13"/>
  <c r="J1471" i="13"/>
  <c r="L1471" i="13"/>
  <c r="B1472" i="13"/>
  <c r="K1472" i="13" s="1"/>
  <c r="D1472" i="13"/>
  <c r="E1472" i="13"/>
  <c r="F1472" i="13"/>
  <c r="G1472" i="13"/>
  <c r="B1473" i="13"/>
  <c r="I1473" i="13" s="1"/>
  <c r="D1473" i="13"/>
  <c r="F1473" i="13" s="1"/>
  <c r="E1473" i="13"/>
  <c r="G1473" i="13"/>
  <c r="H1473" i="13"/>
  <c r="B1474" i="13"/>
  <c r="L1474" i="13" s="1"/>
  <c r="D1474" i="13"/>
  <c r="F1474" i="13" s="1"/>
  <c r="E1474" i="13"/>
  <c r="G1474" i="13"/>
  <c r="H1474" i="13" s="1"/>
  <c r="B1475" i="13"/>
  <c r="C1475" i="13" s="1"/>
  <c r="D1475" i="13"/>
  <c r="F1475" i="13" s="1"/>
  <c r="E1475" i="13"/>
  <c r="G1475" i="13"/>
  <c r="L1475" i="13"/>
  <c r="B1476" i="13"/>
  <c r="K1476" i="13" s="1"/>
  <c r="D1476" i="13"/>
  <c r="E1476" i="13"/>
  <c r="F1476" i="13"/>
  <c r="G1476" i="13"/>
  <c r="B1477" i="13"/>
  <c r="J1477" i="13" s="1"/>
  <c r="D1477" i="13"/>
  <c r="F1477" i="13" s="1"/>
  <c r="E1477" i="13"/>
  <c r="G1477" i="13"/>
  <c r="H1477" i="13"/>
  <c r="B1478" i="13"/>
  <c r="D1478" i="13"/>
  <c r="F1478" i="13" s="1"/>
  <c r="E1478" i="13"/>
  <c r="G1478" i="13"/>
  <c r="H1478" i="13" s="1"/>
  <c r="L1478" i="13"/>
  <c r="B1479" i="13"/>
  <c r="C1479" i="13" s="1"/>
  <c r="D1479" i="13"/>
  <c r="H1479" i="13" s="1"/>
  <c r="E1479" i="13"/>
  <c r="G1479" i="13"/>
  <c r="B1480" i="13"/>
  <c r="L1480" i="13" s="1"/>
  <c r="C1480" i="13"/>
  <c r="D1480" i="13"/>
  <c r="E1480" i="13"/>
  <c r="F1480" i="13"/>
  <c r="G1480" i="13"/>
  <c r="K1480" i="13"/>
  <c r="M1480" i="13"/>
  <c r="B1481" i="13"/>
  <c r="I1481" i="13" s="1"/>
  <c r="D1481" i="13"/>
  <c r="H1481" i="13" s="1"/>
  <c r="E1481" i="13"/>
  <c r="F1481" i="13"/>
  <c r="G1481" i="13"/>
  <c r="B1482" i="13"/>
  <c r="K1482" i="13" s="1"/>
  <c r="C1482" i="13"/>
  <c r="D1482" i="13"/>
  <c r="F1482" i="13" s="1"/>
  <c r="E1482" i="13"/>
  <c r="G1482" i="13"/>
  <c r="I1482" i="13"/>
  <c r="J1482" i="13"/>
  <c r="L1482" i="13"/>
  <c r="M1482" i="13"/>
  <c r="B1483" i="13"/>
  <c r="D1483" i="13"/>
  <c r="E1483" i="13"/>
  <c r="G1483" i="13"/>
  <c r="J1483" i="13"/>
  <c r="B1484" i="13"/>
  <c r="L1484" i="13" s="1"/>
  <c r="C1484" i="13"/>
  <c r="D1484" i="13"/>
  <c r="F1484" i="13" s="1"/>
  <c r="E1484" i="13"/>
  <c r="G1484" i="13"/>
  <c r="I1484" i="13"/>
  <c r="M1484" i="13"/>
  <c r="B1485" i="13"/>
  <c r="J1485" i="13" s="1"/>
  <c r="D1485" i="13"/>
  <c r="E1485" i="13"/>
  <c r="F1485" i="13"/>
  <c r="G1485" i="13"/>
  <c r="B1486" i="13"/>
  <c r="C1486" i="13"/>
  <c r="D1486" i="13"/>
  <c r="F1486" i="13" s="1"/>
  <c r="E1486" i="13"/>
  <c r="G1486" i="13"/>
  <c r="I1486" i="13"/>
  <c r="J1486" i="13"/>
  <c r="K1486" i="13"/>
  <c r="L1486" i="13"/>
  <c r="M1486" i="13"/>
  <c r="B1487" i="13"/>
  <c r="C1487" i="13" s="1"/>
  <c r="D1487" i="13"/>
  <c r="F1487" i="13" s="1"/>
  <c r="E1487" i="13"/>
  <c r="G1487" i="13"/>
  <c r="L1487" i="13"/>
  <c r="B1488" i="13"/>
  <c r="L1488" i="13" s="1"/>
  <c r="C1488" i="13"/>
  <c r="D1488" i="13"/>
  <c r="F1488" i="13" s="1"/>
  <c r="E1488" i="13"/>
  <c r="G1488" i="13"/>
  <c r="I1488" i="13"/>
  <c r="J1488" i="13"/>
  <c r="K1488" i="13"/>
  <c r="M1488" i="13"/>
  <c r="B1489" i="13"/>
  <c r="I1489" i="13" s="1"/>
  <c r="D1489" i="13"/>
  <c r="E1489" i="13"/>
  <c r="G1489" i="13"/>
  <c r="B1490" i="13"/>
  <c r="L1490" i="13" s="1"/>
  <c r="D1490" i="13"/>
  <c r="F1490" i="13" s="1"/>
  <c r="E1490" i="13"/>
  <c r="G1490" i="13"/>
  <c r="H1490" i="13" s="1"/>
  <c r="B1491" i="13"/>
  <c r="C1491" i="13" s="1"/>
  <c r="D1491" i="13"/>
  <c r="F1491" i="13" s="1"/>
  <c r="E1491" i="13"/>
  <c r="G1491" i="13"/>
  <c r="J1491" i="13"/>
  <c r="L1491" i="13"/>
  <c r="B1492" i="13"/>
  <c r="D1492" i="13"/>
  <c r="E1492" i="13"/>
  <c r="F1492" i="13"/>
  <c r="G1492" i="13"/>
  <c r="K1492" i="13"/>
  <c r="B1493" i="13"/>
  <c r="J1493" i="13" s="1"/>
  <c r="D1493" i="13"/>
  <c r="H1493" i="13" s="1"/>
  <c r="E1493" i="13"/>
  <c r="G1493" i="13"/>
  <c r="B1494" i="13"/>
  <c r="J1494" i="13" s="1"/>
  <c r="C1494" i="13"/>
  <c r="D1494" i="13"/>
  <c r="F1494" i="13" s="1"/>
  <c r="E1494" i="13"/>
  <c r="G1494" i="13"/>
  <c r="H1494" i="13" s="1"/>
  <c r="I1494" i="13"/>
  <c r="L1494" i="13"/>
  <c r="M1494" i="13"/>
  <c r="B1495" i="13"/>
  <c r="C1495" i="13" s="1"/>
  <c r="D1495" i="13"/>
  <c r="E1495" i="13"/>
  <c r="G1495" i="13"/>
  <c r="J1495" i="13"/>
  <c r="L1495" i="13"/>
  <c r="B1496" i="13"/>
  <c r="L1496" i="13" s="1"/>
  <c r="C1496" i="13"/>
  <c r="D1496" i="13"/>
  <c r="E1496" i="13"/>
  <c r="F1496" i="13"/>
  <c r="G1496" i="13"/>
  <c r="M1496" i="13"/>
  <c r="B1497" i="13"/>
  <c r="I1497" i="13" s="1"/>
  <c r="D1497" i="13"/>
  <c r="H1497" i="13" s="1"/>
  <c r="E1497" i="13"/>
  <c r="F1497" i="13"/>
  <c r="G1497" i="13"/>
  <c r="B1498" i="13"/>
  <c r="K1498" i="13" s="1"/>
  <c r="C1498" i="13"/>
  <c r="D1498" i="13"/>
  <c r="F1498" i="13" s="1"/>
  <c r="E1498" i="13"/>
  <c r="G1498" i="13"/>
  <c r="I1498" i="13"/>
  <c r="J1498" i="13"/>
  <c r="L1498" i="13"/>
  <c r="M1498" i="13"/>
  <c r="B1499" i="13"/>
  <c r="J1499" i="13" s="1"/>
  <c r="D1499" i="13"/>
  <c r="E1499" i="13"/>
  <c r="G1499" i="13"/>
  <c r="B1500" i="13"/>
  <c r="L1500" i="13" s="1"/>
  <c r="C1500" i="13"/>
  <c r="D1500" i="13"/>
  <c r="F1500" i="13" s="1"/>
  <c r="E1500" i="13"/>
  <c r="G1500" i="13"/>
  <c r="I1500" i="13"/>
  <c r="M1500" i="13"/>
  <c r="B1501" i="13"/>
  <c r="L1501" i="13" s="1"/>
  <c r="D1501" i="13"/>
  <c r="E1501" i="13"/>
  <c r="F1501" i="13"/>
  <c r="G1501" i="13"/>
  <c r="B1502" i="13"/>
  <c r="C1502" i="13"/>
  <c r="D1502" i="13"/>
  <c r="F1502" i="13" s="1"/>
  <c r="E1502" i="13"/>
  <c r="G1502" i="13"/>
  <c r="I1502" i="13"/>
  <c r="J1502" i="13"/>
  <c r="K1502" i="13"/>
  <c r="L1502" i="13"/>
  <c r="M1502" i="13"/>
  <c r="B1503" i="13"/>
  <c r="C1503" i="13" s="1"/>
  <c r="D1503" i="13"/>
  <c r="H1503" i="13" s="1"/>
  <c r="E1503" i="13"/>
  <c r="G1503" i="13"/>
  <c r="L1503" i="13"/>
  <c r="B1504" i="13"/>
  <c r="L1504" i="13" s="1"/>
  <c r="C1504" i="13"/>
  <c r="D1504" i="13"/>
  <c r="F1504" i="13" s="1"/>
  <c r="E1504" i="13"/>
  <c r="G1504" i="13"/>
  <c r="I1504" i="13"/>
  <c r="J1504" i="13"/>
  <c r="K1504" i="13"/>
  <c r="M1504" i="13"/>
  <c r="B1505" i="13"/>
  <c r="J1505" i="13" s="1"/>
  <c r="D1505" i="13"/>
  <c r="E1505" i="13"/>
  <c r="G1505" i="13"/>
  <c r="B1506" i="13"/>
  <c r="D1506" i="13"/>
  <c r="F1506" i="13" s="1"/>
  <c r="E1506" i="13"/>
  <c r="G1506" i="13"/>
  <c r="H1506" i="13" s="1"/>
  <c r="L1506" i="13"/>
  <c r="B1507" i="13"/>
  <c r="C1507" i="13" s="1"/>
  <c r="D1507" i="13"/>
  <c r="H1507" i="13" s="1"/>
  <c r="E1507" i="13"/>
  <c r="G1507" i="13"/>
  <c r="J1507" i="13"/>
  <c r="L1507" i="13"/>
  <c r="B1508" i="13"/>
  <c r="D1508" i="13"/>
  <c r="E1508" i="13"/>
  <c r="F1508" i="13"/>
  <c r="G1508" i="13"/>
  <c r="K1462" i="13" l="1"/>
  <c r="C1462" i="13"/>
  <c r="I1462" i="13"/>
  <c r="M1462" i="13"/>
  <c r="J1462" i="13"/>
  <c r="L1449" i="13"/>
  <c r="J1449" i="13"/>
  <c r="L1492" i="13"/>
  <c r="C1492" i="13"/>
  <c r="M1492" i="13"/>
  <c r="I1492" i="13"/>
  <c r="J1492" i="13"/>
  <c r="C1483" i="13"/>
  <c r="L1483" i="13"/>
  <c r="K1474" i="13"/>
  <c r="C1474" i="13"/>
  <c r="I1474" i="13"/>
  <c r="M1474" i="13"/>
  <c r="J1474" i="13"/>
  <c r="H1505" i="13"/>
  <c r="F1505" i="13"/>
  <c r="L1468" i="13"/>
  <c r="J1468" i="13"/>
  <c r="C1468" i="13"/>
  <c r="M1468" i="13"/>
  <c r="I1468" i="13"/>
  <c r="L1452" i="13"/>
  <c r="J1452" i="13"/>
  <c r="C1452" i="13"/>
  <c r="M1452" i="13"/>
  <c r="I1452" i="13"/>
  <c r="C1447" i="13"/>
  <c r="L1447" i="13"/>
  <c r="H1437" i="13"/>
  <c r="K1434" i="13"/>
  <c r="C1434" i="13"/>
  <c r="I1434" i="13"/>
  <c r="M1434" i="13"/>
  <c r="J1434" i="13"/>
  <c r="C1431" i="13"/>
  <c r="J1431" i="13"/>
  <c r="L1431" i="13"/>
  <c r="H1421" i="13"/>
  <c r="K1418" i="13"/>
  <c r="C1418" i="13"/>
  <c r="I1418" i="13"/>
  <c r="M1418" i="13"/>
  <c r="J1418" i="13"/>
  <c r="C1415" i="13"/>
  <c r="J1415" i="13"/>
  <c r="L1415" i="13"/>
  <c r="H1405" i="13"/>
  <c r="L1508" i="13"/>
  <c r="C1508" i="13"/>
  <c r="M1508" i="13"/>
  <c r="I1508" i="13"/>
  <c r="J1508" i="13"/>
  <c r="C1499" i="13"/>
  <c r="L1499" i="13"/>
  <c r="K1508" i="13"/>
  <c r="C1506" i="13"/>
  <c r="I1506" i="13"/>
  <c r="M1506" i="13"/>
  <c r="J1506" i="13"/>
  <c r="K1506" i="13"/>
  <c r="H1489" i="13"/>
  <c r="F1489" i="13"/>
  <c r="L1476" i="13"/>
  <c r="J1476" i="13"/>
  <c r="C1476" i="13"/>
  <c r="M1476" i="13"/>
  <c r="I1476" i="13"/>
  <c r="K1470" i="13"/>
  <c r="C1470" i="13"/>
  <c r="I1470" i="13"/>
  <c r="M1470" i="13"/>
  <c r="J1470" i="13"/>
  <c r="L1457" i="13"/>
  <c r="J1457" i="13"/>
  <c r="F1455" i="13"/>
  <c r="H1455" i="13"/>
  <c r="C1490" i="13"/>
  <c r="I1490" i="13"/>
  <c r="M1490" i="13"/>
  <c r="J1490" i="13"/>
  <c r="K1490" i="13"/>
  <c r="K1478" i="13"/>
  <c r="C1478" i="13"/>
  <c r="I1478" i="13"/>
  <c r="M1478" i="13"/>
  <c r="J1478" i="13"/>
  <c r="L1472" i="13"/>
  <c r="J1472" i="13"/>
  <c r="C1472" i="13"/>
  <c r="M1472" i="13"/>
  <c r="I1472" i="13"/>
  <c r="K1466" i="13"/>
  <c r="C1466" i="13"/>
  <c r="I1466" i="13"/>
  <c r="M1466" i="13"/>
  <c r="J1466" i="13"/>
  <c r="L1460" i="13"/>
  <c r="J1460" i="13"/>
  <c r="C1460" i="13"/>
  <c r="M1460" i="13"/>
  <c r="I1460" i="13"/>
  <c r="K1442" i="13"/>
  <c r="C1442" i="13"/>
  <c r="I1442" i="13"/>
  <c r="M1442" i="13"/>
  <c r="J1442" i="13"/>
  <c r="C1439" i="13"/>
  <c r="J1439" i="13"/>
  <c r="L1439" i="13"/>
  <c r="K1426" i="13"/>
  <c r="C1426" i="13"/>
  <c r="I1426" i="13"/>
  <c r="M1426" i="13"/>
  <c r="J1426" i="13"/>
  <c r="C1423" i="13"/>
  <c r="J1423" i="13"/>
  <c r="L1423" i="13"/>
  <c r="N1416" i="13"/>
  <c r="E1416" i="19" s="1"/>
  <c r="K1410" i="13"/>
  <c r="C1410" i="13"/>
  <c r="I1410" i="13"/>
  <c r="M1410" i="13"/>
  <c r="J1410" i="13"/>
  <c r="C1407" i="13"/>
  <c r="J1407" i="13"/>
  <c r="L1407" i="13"/>
  <c r="H1373" i="13"/>
  <c r="J1503" i="13"/>
  <c r="J1487" i="13"/>
  <c r="K1500" i="13"/>
  <c r="H1495" i="13"/>
  <c r="N1488" i="13"/>
  <c r="E1488" i="19" s="1"/>
  <c r="K1484" i="13"/>
  <c r="H1482" i="13"/>
  <c r="J1480" i="13"/>
  <c r="J1464" i="13"/>
  <c r="K1458" i="13"/>
  <c r="K1450" i="13"/>
  <c r="H1446" i="13"/>
  <c r="H1443" i="13"/>
  <c r="J1440" i="13"/>
  <c r="H1438" i="13"/>
  <c r="N1436" i="13"/>
  <c r="E1436" i="19" s="1"/>
  <c r="H1435" i="13"/>
  <c r="J1432" i="13"/>
  <c r="N1432" i="13" s="1"/>
  <c r="E1432" i="19" s="1"/>
  <c r="H1430" i="13"/>
  <c r="H1427" i="13"/>
  <c r="J1424" i="13"/>
  <c r="H1422" i="13"/>
  <c r="N1420" i="13"/>
  <c r="E1420" i="19" s="1"/>
  <c r="H1419" i="13"/>
  <c r="J1416" i="13"/>
  <c r="H1414" i="13"/>
  <c r="H1411" i="13"/>
  <c r="J1408" i="13"/>
  <c r="H1406" i="13"/>
  <c r="N1404" i="13"/>
  <c r="E1404" i="19" s="1"/>
  <c r="H1403" i="13"/>
  <c r="J1402" i="13"/>
  <c r="J1400" i="13"/>
  <c r="L1399" i="13"/>
  <c r="H1398" i="13"/>
  <c r="F1397" i="13"/>
  <c r="H1395" i="13"/>
  <c r="J1394" i="13"/>
  <c r="J1392" i="13"/>
  <c r="L1391" i="13"/>
  <c r="H1390" i="13"/>
  <c r="N1388" i="13"/>
  <c r="E1388" i="19" s="1"/>
  <c r="H1387" i="13"/>
  <c r="J1386" i="13"/>
  <c r="J1384" i="13"/>
  <c r="L1383" i="13"/>
  <c r="H1382" i="13"/>
  <c r="H1379" i="13"/>
  <c r="J1378" i="13"/>
  <c r="J1376" i="13"/>
  <c r="L1375" i="13"/>
  <c r="H1374" i="13"/>
  <c r="N1372" i="13"/>
  <c r="E1372" i="19" s="1"/>
  <c r="J1370" i="13"/>
  <c r="L1367" i="13"/>
  <c r="H1366" i="13"/>
  <c r="J1362" i="13"/>
  <c r="L1359" i="13"/>
  <c r="H1358" i="13"/>
  <c r="N1356" i="13"/>
  <c r="E1356" i="19" s="1"/>
  <c r="J1354" i="13"/>
  <c r="L1351" i="13"/>
  <c r="H1350" i="13"/>
  <c r="J1341" i="13"/>
  <c r="J1340" i="13"/>
  <c r="M1338" i="13"/>
  <c r="I1338" i="13"/>
  <c r="J1335" i="13"/>
  <c r="J1325" i="13"/>
  <c r="J1324" i="13"/>
  <c r="M1322" i="13"/>
  <c r="I1322" i="13"/>
  <c r="J1319" i="13"/>
  <c r="J1315" i="13"/>
  <c r="J1311" i="13"/>
  <c r="N1311" i="13" s="1"/>
  <c r="E1311" i="19" s="1"/>
  <c r="M1309" i="13"/>
  <c r="I1309" i="13"/>
  <c r="J1307" i="13"/>
  <c r="N1307" i="13" s="1"/>
  <c r="E1307" i="19" s="1"/>
  <c r="M1305" i="13"/>
  <c r="I1305" i="13"/>
  <c r="J1297" i="13"/>
  <c r="L1290" i="13"/>
  <c r="I1283" i="13"/>
  <c r="I1279" i="13"/>
  <c r="J1273" i="13"/>
  <c r="J1269" i="13"/>
  <c r="J1268" i="13"/>
  <c r="L1258" i="13"/>
  <c r="I1251" i="13"/>
  <c r="J1249" i="13"/>
  <c r="I1247" i="13"/>
  <c r="J1245" i="13"/>
  <c r="I1243" i="13"/>
  <c r="C1232" i="13"/>
  <c r="J1232" i="13"/>
  <c r="L1232" i="13"/>
  <c r="F1228" i="13"/>
  <c r="H1228" i="13"/>
  <c r="L1227" i="13"/>
  <c r="C1227" i="13"/>
  <c r="M1227" i="13"/>
  <c r="I1227" i="13"/>
  <c r="C1224" i="13"/>
  <c r="J1224" i="13"/>
  <c r="L1224" i="13"/>
  <c r="F1220" i="13"/>
  <c r="H1220" i="13"/>
  <c r="L1219" i="13"/>
  <c r="C1219" i="13"/>
  <c r="M1219" i="13"/>
  <c r="I1219" i="13"/>
  <c r="C1216" i="13"/>
  <c r="J1216" i="13"/>
  <c r="L1216" i="13"/>
  <c r="F1212" i="13"/>
  <c r="H1212" i="13"/>
  <c r="L1211" i="13"/>
  <c r="C1211" i="13"/>
  <c r="M1211" i="13"/>
  <c r="I1211" i="13"/>
  <c r="C1208" i="13"/>
  <c r="J1208" i="13"/>
  <c r="L1208" i="13"/>
  <c r="F1204" i="13"/>
  <c r="H1204" i="13"/>
  <c r="L1203" i="13"/>
  <c r="C1203" i="13"/>
  <c r="M1203" i="13"/>
  <c r="I1203" i="13"/>
  <c r="M1201" i="13"/>
  <c r="C1200" i="13"/>
  <c r="J1200" i="13"/>
  <c r="L1200" i="13"/>
  <c r="H1199" i="13"/>
  <c r="H1190" i="13"/>
  <c r="L1171" i="13"/>
  <c r="J1171" i="13"/>
  <c r="C1171" i="13"/>
  <c r="M1171" i="13"/>
  <c r="I1171" i="13"/>
  <c r="C1168" i="13"/>
  <c r="J1168" i="13"/>
  <c r="L1168" i="13"/>
  <c r="N1500" i="13"/>
  <c r="E1500" i="19" s="1"/>
  <c r="H1498" i="13"/>
  <c r="J1496" i="13"/>
  <c r="N1496" i="13" s="1"/>
  <c r="E1496" i="19" s="1"/>
  <c r="K1494" i="13"/>
  <c r="L1479" i="13"/>
  <c r="J1475" i="13"/>
  <c r="J1467" i="13"/>
  <c r="H1502" i="13"/>
  <c r="H1501" i="13"/>
  <c r="J1500" i="13"/>
  <c r="H1499" i="13"/>
  <c r="I1496" i="13"/>
  <c r="F1493" i="13"/>
  <c r="H1486" i="13"/>
  <c r="H1485" i="13"/>
  <c r="J1484" i="13"/>
  <c r="H1483" i="13"/>
  <c r="I1480" i="13"/>
  <c r="N1476" i="13"/>
  <c r="E1476" i="19" s="1"/>
  <c r="N1472" i="13"/>
  <c r="E1472" i="19" s="1"/>
  <c r="N1468" i="13"/>
  <c r="E1468" i="19" s="1"/>
  <c r="I1464" i="13"/>
  <c r="N1460" i="13"/>
  <c r="E1460" i="19" s="1"/>
  <c r="H1459" i="13"/>
  <c r="J1456" i="13"/>
  <c r="L1455" i="13"/>
  <c r="H1454" i="13"/>
  <c r="H1451" i="13"/>
  <c r="J1448" i="13"/>
  <c r="J1445" i="13"/>
  <c r="I1440" i="13"/>
  <c r="J1437" i="13"/>
  <c r="I1432" i="13"/>
  <c r="J1429" i="13"/>
  <c r="I1424" i="13"/>
  <c r="J1421" i="13"/>
  <c r="I1416" i="13"/>
  <c r="J1413" i="13"/>
  <c r="I1408" i="13"/>
  <c r="J1405" i="13"/>
  <c r="M1402" i="13"/>
  <c r="I1402" i="13"/>
  <c r="C1402" i="13"/>
  <c r="I1400" i="13"/>
  <c r="J1399" i="13"/>
  <c r="J1397" i="13"/>
  <c r="M1394" i="13"/>
  <c r="I1394" i="13"/>
  <c r="C1394" i="13"/>
  <c r="I1392" i="13"/>
  <c r="J1391" i="13"/>
  <c r="J1389" i="13"/>
  <c r="M1386" i="13"/>
  <c r="I1386" i="13"/>
  <c r="C1386" i="13"/>
  <c r="I1384" i="13"/>
  <c r="J1383" i="13"/>
  <c r="J1381" i="13"/>
  <c r="M1378" i="13"/>
  <c r="I1378" i="13"/>
  <c r="C1378" i="13"/>
  <c r="I1376" i="13"/>
  <c r="J1375" i="13"/>
  <c r="K1374" i="13"/>
  <c r="J1373" i="13"/>
  <c r="M1370" i="13"/>
  <c r="I1370" i="13"/>
  <c r="C1370" i="13"/>
  <c r="I1368" i="13"/>
  <c r="J1367" i="13"/>
  <c r="K1366" i="13"/>
  <c r="J1365" i="13"/>
  <c r="M1362" i="13"/>
  <c r="I1362" i="13"/>
  <c r="C1362" i="13"/>
  <c r="I1360" i="13"/>
  <c r="J1359" i="13"/>
  <c r="K1358" i="13"/>
  <c r="M1354" i="13"/>
  <c r="I1354" i="13"/>
  <c r="C1354" i="13"/>
  <c r="J1351" i="13"/>
  <c r="K1350" i="13"/>
  <c r="H1347" i="13"/>
  <c r="J1346" i="13"/>
  <c r="N1346" i="13" s="1"/>
  <c r="E1346" i="19" s="1"/>
  <c r="K1343" i="13"/>
  <c r="C1340" i="13"/>
  <c r="L1338" i="13"/>
  <c r="H1338" i="13"/>
  <c r="C1338" i="13"/>
  <c r="H1335" i="13"/>
  <c r="C1335" i="13"/>
  <c r="K1332" i="13"/>
  <c r="J1330" i="13"/>
  <c r="N1330" i="13" s="1"/>
  <c r="E1330" i="19" s="1"/>
  <c r="K1327" i="13"/>
  <c r="C1324" i="13"/>
  <c r="L1322" i="13"/>
  <c r="H1322" i="13"/>
  <c r="C1322" i="13"/>
  <c r="H1319" i="13"/>
  <c r="C1319" i="13"/>
  <c r="K1316" i="13"/>
  <c r="M1315" i="13"/>
  <c r="H1315" i="13"/>
  <c r="C1315" i="13"/>
  <c r="K1314" i="13"/>
  <c r="H1312" i="13"/>
  <c r="I1311" i="13"/>
  <c r="L1309" i="13"/>
  <c r="H1309" i="13"/>
  <c r="C1309" i="13"/>
  <c r="I1307" i="13"/>
  <c r="L1305" i="13"/>
  <c r="H1305" i="13"/>
  <c r="C1305" i="13"/>
  <c r="M1297" i="13"/>
  <c r="I1297" i="13"/>
  <c r="C1297" i="13"/>
  <c r="K1289" i="13"/>
  <c r="H1288" i="13"/>
  <c r="K1285" i="13"/>
  <c r="M1283" i="13"/>
  <c r="C1283" i="13"/>
  <c r="H1282" i="13"/>
  <c r="M1279" i="13"/>
  <c r="C1279" i="13"/>
  <c r="M1273" i="13"/>
  <c r="I1273" i="13"/>
  <c r="C1273" i="13"/>
  <c r="M1269" i="13"/>
  <c r="I1269" i="13"/>
  <c r="C1269" i="13"/>
  <c r="J1267" i="13"/>
  <c r="J1263" i="13"/>
  <c r="K1257" i="13"/>
  <c r="H1256" i="13"/>
  <c r="K1253" i="13"/>
  <c r="M1251" i="13"/>
  <c r="C1251" i="13"/>
  <c r="M1249" i="13"/>
  <c r="I1249" i="13"/>
  <c r="C1249" i="13"/>
  <c r="M1247" i="13"/>
  <c r="H1247" i="13"/>
  <c r="C1247" i="13"/>
  <c r="M1245" i="13"/>
  <c r="I1245" i="13"/>
  <c r="C1245" i="13"/>
  <c r="M1243" i="13"/>
  <c r="H1243" i="13"/>
  <c r="C1243" i="13"/>
  <c r="H1239" i="13"/>
  <c r="L1235" i="13"/>
  <c r="I1235" i="13"/>
  <c r="H1230" i="13"/>
  <c r="L1230" i="13"/>
  <c r="J1230" i="13"/>
  <c r="H1222" i="13"/>
  <c r="L1222" i="13"/>
  <c r="J1222" i="13"/>
  <c r="H1214" i="13"/>
  <c r="L1214" i="13"/>
  <c r="J1214" i="13"/>
  <c r="H1206" i="13"/>
  <c r="L1206" i="13"/>
  <c r="J1206" i="13"/>
  <c r="H1198" i="13"/>
  <c r="L1198" i="13"/>
  <c r="J1198" i="13"/>
  <c r="L1179" i="13"/>
  <c r="J1179" i="13"/>
  <c r="C1179" i="13"/>
  <c r="M1179" i="13"/>
  <c r="I1179" i="13"/>
  <c r="C1176" i="13"/>
  <c r="J1176" i="13"/>
  <c r="L1176" i="13"/>
  <c r="H1166" i="13"/>
  <c r="F1164" i="13"/>
  <c r="H1164" i="13"/>
  <c r="N1400" i="13"/>
  <c r="E1400" i="19" s="1"/>
  <c r="L1386" i="13"/>
  <c r="N1384" i="13"/>
  <c r="E1384" i="19" s="1"/>
  <c r="N1368" i="13"/>
  <c r="E1368" i="19" s="1"/>
  <c r="N1352" i="13"/>
  <c r="E1352" i="19" s="1"/>
  <c r="N1315" i="13"/>
  <c r="E1315" i="19" s="1"/>
  <c r="K1235" i="13"/>
  <c r="K1227" i="13"/>
  <c r="K1219" i="13"/>
  <c r="K1211" i="13"/>
  <c r="L1187" i="13"/>
  <c r="J1187" i="13"/>
  <c r="C1187" i="13"/>
  <c r="M1187" i="13"/>
  <c r="I1187" i="13"/>
  <c r="C1184" i="13"/>
  <c r="J1184" i="13"/>
  <c r="L1184" i="13"/>
  <c r="K1157" i="13"/>
  <c r="C1157" i="13"/>
  <c r="I1157" i="13"/>
  <c r="M1157" i="13"/>
  <c r="J1157" i="13"/>
  <c r="L1154" i="13"/>
  <c r="J1154" i="13"/>
  <c r="L1402" i="13"/>
  <c r="L1394" i="13"/>
  <c r="L1378" i="13"/>
  <c r="L1362" i="13"/>
  <c r="K1496" i="13"/>
  <c r="N1448" i="13"/>
  <c r="E1448" i="19" s="1"/>
  <c r="M1374" i="13"/>
  <c r="I1374" i="13"/>
  <c r="J1371" i="13"/>
  <c r="M1366" i="13"/>
  <c r="I1366" i="13"/>
  <c r="J1363" i="13"/>
  <c r="M1358" i="13"/>
  <c r="I1358" i="13"/>
  <c r="I1356" i="13"/>
  <c r="J1355" i="13"/>
  <c r="J1353" i="13"/>
  <c r="M1350" i="13"/>
  <c r="I1350" i="13"/>
  <c r="I1348" i="13"/>
  <c r="K1347" i="13"/>
  <c r="L1346" i="13"/>
  <c r="H1346" i="13"/>
  <c r="H1343" i="13"/>
  <c r="C1343" i="13"/>
  <c r="N1342" i="13"/>
  <c r="E1342" i="19" s="1"/>
  <c r="K1340" i="13"/>
  <c r="J1337" i="13"/>
  <c r="J1336" i="13"/>
  <c r="K1335" i="13"/>
  <c r="M1334" i="13"/>
  <c r="C1332" i="13"/>
  <c r="J1331" i="13"/>
  <c r="L1330" i="13"/>
  <c r="H1330" i="13"/>
  <c r="H1327" i="13"/>
  <c r="C1327" i="13"/>
  <c r="N1326" i="13"/>
  <c r="E1326" i="19" s="1"/>
  <c r="K1324" i="13"/>
  <c r="J1321" i="13"/>
  <c r="J1320" i="13"/>
  <c r="K1319" i="13"/>
  <c r="M1318" i="13"/>
  <c r="C1316" i="13"/>
  <c r="K1315" i="13"/>
  <c r="M1314" i="13"/>
  <c r="N1314" i="13" s="1"/>
  <c r="E1314" i="19" s="1"/>
  <c r="I1314" i="13"/>
  <c r="K1311" i="13"/>
  <c r="L1308" i="13"/>
  <c r="K1307" i="13"/>
  <c r="L1304" i="13"/>
  <c r="I1299" i="13"/>
  <c r="H1296" i="13"/>
  <c r="I1295" i="13"/>
  <c r="M1289" i="13"/>
  <c r="I1289" i="13"/>
  <c r="M1285" i="13"/>
  <c r="I1285" i="13"/>
  <c r="J1283" i="13"/>
  <c r="J1279" i="13"/>
  <c r="I1275" i="13"/>
  <c r="H1272" i="13"/>
  <c r="I1271" i="13"/>
  <c r="M1267" i="13"/>
  <c r="C1267" i="13"/>
  <c r="H1266" i="13"/>
  <c r="M1263" i="13"/>
  <c r="C1263" i="13"/>
  <c r="M1257" i="13"/>
  <c r="I1257" i="13"/>
  <c r="M1253" i="13"/>
  <c r="I1253" i="13"/>
  <c r="J1251" i="13"/>
  <c r="L1248" i="13"/>
  <c r="J1247" i="13"/>
  <c r="L1244" i="13"/>
  <c r="J1243" i="13"/>
  <c r="L1240" i="13"/>
  <c r="J1239" i="13"/>
  <c r="J1235" i="13"/>
  <c r="J1233" i="13"/>
  <c r="N1233" i="13" s="1"/>
  <c r="E1233" i="19" s="1"/>
  <c r="K1233" i="13"/>
  <c r="J1227" i="13"/>
  <c r="J1225" i="13"/>
  <c r="K1225" i="13"/>
  <c r="J1219" i="13"/>
  <c r="N1217" i="13"/>
  <c r="E1217" i="19" s="1"/>
  <c r="J1217" i="13"/>
  <c r="K1217" i="13"/>
  <c r="J1211" i="13"/>
  <c r="J1209" i="13"/>
  <c r="K1209" i="13"/>
  <c r="N1201" i="13"/>
  <c r="E1201" i="19" s="1"/>
  <c r="G1201" i="19" s="1"/>
  <c r="J1201" i="13"/>
  <c r="K1201" i="13"/>
  <c r="L1195" i="13"/>
  <c r="J1195" i="13"/>
  <c r="C1195" i="13"/>
  <c r="M1195" i="13"/>
  <c r="I1195" i="13"/>
  <c r="C1192" i="13"/>
  <c r="J1192" i="13"/>
  <c r="L1192" i="13"/>
  <c r="H1182" i="13"/>
  <c r="K1161" i="13"/>
  <c r="C1161" i="13"/>
  <c r="I1161" i="13"/>
  <c r="M1161" i="13"/>
  <c r="J1161" i="13"/>
  <c r="F1152" i="13"/>
  <c r="H1152" i="13"/>
  <c r="H1196" i="13"/>
  <c r="K1193" i="13"/>
  <c r="H1188" i="13"/>
  <c r="K1185" i="13"/>
  <c r="H1180" i="13"/>
  <c r="K1177" i="13"/>
  <c r="H1172" i="13"/>
  <c r="K1169" i="13"/>
  <c r="K1164" i="13"/>
  <c r="H1162" i="13"/>
  <c r="J1159" i="13"/>
  <c r="H1158" i="13"/>
  <c r="J1155" i="13"/>
  <c r="J1145" i="13"/>
  <c r="J1143" i="13"/>
  <c r="H1142" i="13"/>
  <c r="J1141" i="13"/>
  <c r="J1139" i="13"/>
  <c r="J1138" i="13"/>
  <c r="C1135" i="13"/>
  <c r="J1129" i="13"/>
  <c r="J1127" i="13"/>
  <c r="H1126" i="13"/>
  <c r="J1125" i="13"/>
  <c r="J1123" i="13"/>
  <c r="J1122" i="13"/>
  <c r="M1119" i="13"/>
  <c r="C1119" i="13"/>
  <c r="M1115" i="13"/>
  <c r="C1115" i="13"/>
  <c r="J1113" i="13"/>
  <c r="J1111" i="13"/>
  <c r="H1110" i="13"/>
  <c r="J1109" i="13"/>
  <c r="J1107" i="13"/>
  <c r="J1106" i="13"/>
  <c r="M1103" i="13"/>
  <c r="C1103" i="13"/>
  <c r="M1099" i="13"/>
  <c r="C1099" i="13"/>
  <c r="J1097" i="13"/>
  <c r="J1095" i="13"/>
  <c r="H1094" i="13"/>
  <c r="J1093" i="13"/>
  <c r="I1091" i="13"/>
  <c r="J1089" i="13"/>
  <c r="J1088" i="13"/>
  <c r="J1087" i="13"/>
  <c r="M1081" i="13"/>
  <c r="I1081" i="13"/>
  <c r="H1080" i="13"/>
  <c r="I1079" i="13"/>
  <c r="K1077" i="13"/>
  <c r="L1076" i="13"/>
  <c r="M1073" i="13"/>
  <c r="I1073" i="13"/>
  <c r="H1072" i="13"/>
  <c r="I1071" i="13"/>
  <c r="K1069" i="13"/>
  <c r="L1068" i="13"/>
  <c r="M1065" i="13"/>
  <c r="I1065" i="13"/>
  <c r="H1064" i="13"/>
  <c r="I1063" i="13"/>
  <c r="K1061" i="13"/>
  <c r="L1060" i="13"/>
  <c r="M1057" i="13"/>
  <c r="I1057" i="13"/>
  <c r="H1056" i="13"/>
  <c r="I1055" i="13"/>
  <c r="K1053" i="13"/>
  <c r="L1052" i="13"/>
  <c r="M1049" i="13"/>
  <c r="I1049" i="13"/>
  <c r="H1048" i="13"/>
  <c r="I1047" i="13"/>
  <c r="C1045" i="13"/>
  <c r="I1045" i="13"/>
  <c r="M1045" i="13"/>
  <c r="K1043" i="13"/>
  <c r="J1042" i="13"/>
  <c r="J1041" i="13"/>
  <c r="H1040" i="13"/>
  <c r="I1040" i="13"/>
  <c r="L1040" i="13"/>
  <c r="L1037" i="13"/>
  <c r="N1035" i="13"/>
  <c r="E1035" i="19" s="1"/>
  <c r="H1033" i="13"/>
  <c r="J1030" i="13"/>
  <c r="C1029" i="13"/>
  <c r="I1029" i="13"/>
  <c r="M1029" i="13"/>
  <c r="K1027" i="13"/>
  <c r="I1025" i="13"/>
  <c r="H1022" i="13"/>
  <c r="C1022" i="13"/>
  <c r="J1022" i="13"/>
  <c r="F1020" i="13"/>
  <c r="H1020" i="13"/>
  <c r="L1019" i="13"/>
  <c r="C1019" i="13"/>
  <c r="M1019" i="13"/>
  <c r="N1019" i="13" s="1"/>
  <c r="E1019" i="19" s="1"/>
  <c r="I1019" i="13"/>
  <c r="L1009" i="13"/>
  <c r="C1009" i="13"/>
  <c r="J1009" i="13"/>
  <c r="K1009" i="13"/>
  <c r="H1002" i="13"/>
  <c r="J1231" i="13"/>
  <c r="H1227" i="13"/>
  <c r="J1223" i="13"/>
  <c r="H1219" i="13"/>
  <c r="J1215" i="13"/>
  <c r="H1211" i="13"/>
  <c r="J1207" i="13"/>
  <c r="H1203" i="13"/>
  <c r="J1199" i="13"/>
  <c r="H1195" i="13"/>
  <c r="J1191" i="13"/>
  <c r="J1190" i="13"/>
  <c r="H1187" i="13"/>
  <c r="J1183" i="13"/>
  <c r="J1182" i="13"/>
  <c r="H1179" i="13"/>
  <c r="J1175" i="13"/>
  <c r="J1174" i="13"/>
  <c r="H1171" i="13"/>
  <c r="J1167" i="13"/>
  <c r="J1166" i="13"/>
  <c r="J1164" i="13"/>
  <c r="N1164" i="13" s="1"/>
  <c r="E1164" i="19" s="1"/>
  <c r="H1163" i="13"/>
  <c r="H1160" i="13"/>
  <c r="I1159" i="13"/>
  <c r="I1155" i="13"/>
  <c r="M1145" i="13"/>
  <c r="I1145" i="13"/>
  <c r="C1145" i="13"/>
  <c r="H1144" i="13"/>
  <c r="I1143" i="13"/>
  <c r="M1141" i="13"/>
  <c r="I1141" i="13"/>
  <c r="C1141" i="13"/>
  <c r="I1139" i="13"/>
  <c r="M1129" i="13"/>
  <c r="I1129" i="13"/>
  <c r="C1129" i="13"/>
  <c r="I1127" i="13"/>
  <c r="M1125" i="13"/>
  <c r="I1125" i="13"/>
  <c r="C1125" i="13"/>
  <c r="I1123" i="13"/>
  <c r="M1113" i="13"/>
  <c r="I1113" i="13"/>
  <c r="C1113" i="13"/>
  <c r="I1111" i="13"/>
  <c r="M1109" i="13"/>
  <c r="I1109" i="13"/>
  <c r="C1109" i="13"/>
  <c r="I1107" i="13"/>
  <c r="M1097" i="13"/>
  <c r="I1097" i="13"/>
  <c r="C1097" i="13"/>
  <c r="I1095" i="13"/>
  <c r="M1093" i="13"/>
  <c r="I1093" i="13"/>
  <c r="C1093" i="13"/>
  <c r="M1091" i="13"/>
  <c r="C1091" i="13"/>
  <c r="M1089" i="13"/>
  <c r="I1089" i="13"/>
  <c r="C1089" i="13"/>
  <c r="I1087" i="13"/>
  <c r="L1084" i="13"/>
  <c r="J1082" i="13"/>
  <c r="H1081" i="13"/>
  <c r="M1079" i="13"/>
  <c r="C1079" i="13"/>
  <c r="J1076" i="13"/>
  <c r="J1074" i="13"/>
  <c r="H1073" i="13"/>
  <c r="M1071" i="13"/>
  <c r="C1071" i="13"/>
  <c r="J1068" i="13"/>
  <c r="J1066" i="13"/>
  <c r="H1065" i="13"/>
  <c r="M1063" i="13"/>
  <c r="C1063" i="13"/>
  <c r="J1060" i="13"/>
  <c r="J1058" i="13"/>
  <c r="H1057" i="13"/>
  <c r="M1055" i="13"/>
  <c r="C1055" i="13"/>
  <c r="J1052" i="13"/>
  <c r="J1050" i="13"/>
  <c r="H1049" i="13"/>
  <c r="M1047" i="13"/>
  <c r="C1047" i="13"/>
  <c r="H1045" i="13"/>
  <c r="F1044" i="13"/>
  <c r="H1044" i="13"/>
  <c r="I1041" i="13"/>
  <c r="C1041" i="13"/>
  <c r="L1035" i="13"/>
  <c r="I1035" i="13"/>
  <c r="H1029" i="13"/>
  <c r="F1028" i="13"/>
  <c r="H1028" i="13"/>
  <c r="J1025" i="13"/>
  <c r="K1025" i="13"/>
  <c r="F1003" i="13"/>
  <c r="H1003" i="13"/>
  <c r="C1037" i="13"/>
  <c r="I1037" i="13"/>
  <c r="M1037" i="13"/>
  <c r="I1032" i="13"/>
  <c r="L1032" i="13"/>
  <c r="I1024" i="13"/>
  <c r="J1024" i="13"/>
  <c r="L1024" i="13"/>
  <c r="H1191" i="13"/>
  <c r="N1185" i="13"/>
  <c r="E1185" i="19" s="1"/>
  <c r="H1183" i="13"/>
  <c r="H1175" i="13"/>
  <c r="N1169" i="13"/>
  <c r="E1169" i="19" s="1"/>
  <c r="H1167" i="13"/>
  <c r="H1136" i="13"/>
  <c r="H1120" i="13"/>
  <c r="H1104" i="13"/>
  <c r="J1091" i="13"/>
  <c r="J1079" i="13"/>
  <c r="N1079" i="13" s="1"/>
  <c r="E1079" i="19" s="1"/>
  <c r="J1071" i="13"/>
  <c r="N1067" i="13"/>
  <c r="E1067" i="19" s="1"/>
  <c r="J1063" i="13"/>
  <c r="N1063" i="13" s="1"/>
  <c r="E1063" i="19" s="1"/>
  <c r="J1055" i="13"/>
  <c r="N1051" i="13"/>
  <c r="E1051" i="19" s="1"/>
  <c r="J1047" i="13"/>
  <c r="N1047" i="13" s="1"/>
  <c r="E1047" i="19" s="1"/>
  <c r="L1043" i="13"/>
  <c r="I1043" i="13"/>
  <c r="L1041" i="13"/>
  <c r="H1038" i="13"/>
  <c r="F1036" i="13"/>
  <c r="H1036" i="13"/>
  <c r="N1031" i="13"/>
  <c r="E1031" i="19" s="1"/>
  <c r="L1027" i="13"/>
  <c r="I1027" i="13"/>
  <c r="I1016" i="13"/>
  <c r="J1016" i="13"/>
  <c r="L1016" i="13"/>
  <c r="N1015" i="13"/>
  <c r="E1015" i="19" s="1"/>
  <c r="H1000" i="13"/>
  <c r="J999" i="13"/>
  <c r="H995" i="13"/>
  <c r="N991" i="13"/>
  <c r="E991" i="19" s="1"/>
  <c r="N987" i="13"/>
  <c r="E987" i="19" s="1"/>
  <c r="H981" i="13"/>
  <c r="H968" i="13"/>
  <c r="L966" i="13"/>
  <c r="M965" i="13"/>
  <c r="K963" i="13"/>
  <c r="H962" i="13"/>
  <c r="H961" i="13"/>
  <c r="N959" i="13"/>
  <c r="E959" i="19" s="1"/>
  <c r="H952" i="13"/>
  <c r="L950" i="13"/>
  <c r="M949" i="13"/>
  <c r="K947" i="13"/>
  <c r="H946" i="13"/>
  <c r="H945" i="13"/>
  <c r="H936" i="13"/>
  <c r="L934" i="13"/>
  <c r="M933" i="13"/>
  <c r="K931" i="13"/>
  <c r="N930" i="13"/>
  <c r="E930" i="19" s="1"/>
  <c r="G930" i="19" s="1"/>
  <c r="H930" i="13"/>
  <c r="H929" i="13"/>
  <c r="N927" i="13"/>
  <c r="E927" i="19" s="1"/>
  <c r="N917" i="13"/>
  <c r="E917" i="19" s="1"/>
  <c r="G917" i="19" s="1"/>
  <c r="J891" i="13"/>
  <c r="K891" i="13"/>
  <c r="I876" i="13"/>
  <c r="J876" i="13"/>
  <c r="M876" i="13"/>
  <c r="M1021" i="13"/>
  <c r="I1021" i="13"/>
  <c r="K1017" i="13"/>
  <c r="M1013" i="13"/>
  <c r="I1013" i="13"/>
  <c r="H1012" i="13"/>
  <c r="J1011" i="13"/>
  <c r="L1010" i="13"/>
  <c r="H1008" i="13"/>
  <c r="J1007" i="13"/>
  <c r="L1006" i="13"/>
  <c r="J1005" i="13"/>
  <c r="N1005" i="13" s="1"/>
  <c r="E1005" i="19" s="1"/>
  <c r="K1004" i="13"/>
  <c r="M1001" i="13"/>
  <c r="H1001" i="13"/>
  <c r="C1001" i="13"/>
  <c r="M999" i="13"/>
  <c r="I999" i="13"/>
  <c r="J997" i="13"/>
  <c r="K996" i="13"/>
  <c r="N995" i="13"/>
  <c r="E995" i="19" s="1"/>
  <c r="J994" i="13"/>
  <c r="N994" i="13" s="1"/>
  <c r="E994" i="19" s="1"/>
  <c r="H992" i="13"/>
  <c r="K991" i="13"/>
  <c r="M990" i="13"/>
  <c r="N990" i="13" s="1"/>
  <c r="E990" i="19" s="1"/>
  <c r="J989" i="13"/>
  <c r="H988" i="13"/>
  <c r="K987" i="13"/>
  <c r="M986" i="13"/>
  <c r="N986" i="13" s="1"/>
  <c r="E986" i="19" s="1"/>
  <c r="H985" i="13"/>
  <c r="M983" i="13"/>
  <c r="I983" i="13"/>
  <c r="J982" i="13"/>
  <c r="N982" i="13" s="1"/>
  <c r="E982" i="19" s="1"/>
  <c r="K980" i="13"/>
  <c r="M979" i="13"/>
  <c r="I979" i="13"/>
  <c r="J978" i="13"/>
  <c r="I977" i="13"/>
  <c r="H973" i="13"/>
  <c r="I970" i="13"/>
  <c r="I969" i="13"/>
  <c r="M967" i="13"/>
  <c r="I967" i="13"/>
  <c r="J966" i="13"/>
  <c r="J965" i="13"/>
  <c r="H964" i="13"/>
  <c r="J963" i="13"/>
  <c r="L962" i="13"/>
  <c r="M961" i="13"/>
  <c r="J960" i="13"/>
  <c r="K959" i="13"/>
  <c r="N958" i="13"/>
  <c r="E958" i="19" s="1"/>
  <c r="G958" i="19" s="1"/>
  <c r="H958" i="13"/>
  <c r="H957" i="13"/>
  <c r="N955" i="13"/>
  <c r="E955" i="19" s="1"/>
  <c r="I954" i="13"/>
  <c r="I953" i="13"/>
  <c r="M951" i="13"/>
  <c r="I951" i="13"/>
  <c r="J950" i="13"/>
  <c r="J949" i="13"/>
  <c r="H948" i="13"/>
  <c r="J947" i="13"/>
  <c r="L946" i="13"/>
  <c r="M945" i="13"/>
  <c r="N945" i="13" s="1"/>
  <c r="E945" i="19" s="1"/>
  <c r="J944" i="13"/>
  <c r="K943" i="13"/>
  <c r="N942" i="13"/>
  <c r="E942" i="19" s="1"/>
  <c r="G942" i="19" s="1"/>
  <c r="H942" i="13"/>
  <c r="H941" i="13"/>
  <c r="I938" i="13"/>
  <c r="I937" i="13"/>
  <c r="M935" i="13"/>
  <c r="N935" i="13" s="1"/>
  <c r="E935" i="19" s="1"/>
  <c r="I935" i="13"/>
  <c r="J934" i="13"/>
  <c r="J933" i="13"/>
  <c r="H932" i="13"/>
  <c r="J931" i="13"/>
  <c r="L930" i="13"/>
  <c r="M929" i="13"/>
  <c r="J928" i="13"/>
  <c r="K927" i="13"/>
  <c r="N926" i="13"/>
  <c r="E926" i="19" s="1"/>
  <c r="G926" i="19" s="1"/>
  <c r="H926" i="13"/>
  <c r="H925" i="13"/>
  <c r="N923" i="13"/>
  <c r="E923" i="19" s="1"/>
  <c r="I922" i="13"/>
  <c r="I921" i="13"/>
  <c r="M919" i="13"/>
  <c r="I919" i="13"/>
  <c r="J918" i="13"/>
  <c r="J917" i="13"/>
  <c r="H916" i="13"/>
  <c r="J915" i="13"/>
  <c r="L914" i="13"/>
  <c r="M913" i="13"/>
  <c r="J912" i="13"/>
  <c r="K911" i="13"/>
  <c r="N910" i="13"/>
  <c r="E910" i="19" s="1"/>
  <c r="G910" i="19" s="1"/>
  <c r="H910" i="13"/>
  <c r="H909" i="13"/>
  <c r="I906" i="13"/>
  <c r="I905" i="13"/>
  <c r="M903" i="13"/>
  <c r="I903" i="13"/>
  <c r="J902" i="13"/>
  <c r="J901" i="13"/>
  <c r="N901" i="13" s="1"/>
  <c r="E901" i="19" s="1"/>
  <c r="H900" i="13"/>
  <c r="J899" i="13"/>
  <c r="N899" i="13" s="1"/>
  <c r="E899" i="19" s="1"/>
  <c r="H896" i="13"/>
  <c r="J895" i="13"/>
  <c r="K895" i="13"/>
  <c r="H1021" i="13"/>
  <c r="J1014" i="13"/>
  <c r="H1013" i="13"/>
  <c r="M1011" i="13"/>
  <c r="M1007" i="13"/>
  <c r="I1005" i="13"/>
  <c r="L1002" i="13"/>
  <c r="L999" i="13"/>
  <c r="I997" i="13"/>
  <c r="L990" i="13"/>
  <c r="L986" i="13"/>
  <c r="N983" i="13"/>
  <c r="E983" i="19" s="1"/>
  <c r="N979" i="13"/>
  <c r="E979" i="19" s="1"/>
  <c r="N974" i="13"/>
  <c r="E974" i="19" s="1"/>
  <c r="G974" i="19" s="1"/>
  <c r="N973" i="13"/>
  <c r="E973" i="19" s="1"/>
  <c r="J972" i="13"/>
  <c r="N970" i="13"/>
  <c r="E970" i="19" s="1"/>
  <c r="G970" i="19" s="1"/>
  <c r="N967" i="13"/>
  <c r="E967" i="19" s="1"/>
  <c r="I966" i="13"/>
  <c r="I965" i="13"/>
  <c r="M963" i="13"/>
  <c r="I963" i="13"/>
  <c r="J962" i="13"/>
  <c r="N962" i="13" s="1"/>
  <c r="E962" i="19" s="1"/>
  <c r="J961" i="13"/>
  <c r="N957" i="13"/>
  <c r="E957" i="19" s="1"/>
  <c r="J956" i="13"/>
  <c r="N954" i="13"/>
  <c r="E954" i="19" s="1"/>
  <c r="G954" i="19" s="1"/>
  <c r="N951" i="13"/>
  <c r="E951" i="19" s="1"/>
  <c r="G951" i="19" s="1"/>
  <c r="I950" i="13"/>
  <c r="I949" i="13"/>
  <c r="M947" i="13"/>
  <c r="I947" i="13"/>
  <c r="J946" i="13"/>
  <c r="N946" i="13" s="1"/>
  <c r="E946" i="19" s="1"/>
  <c r="J945" i="13"/>
  <c r="N941" i="13"/>
  <c r="E941" i="19" s="1"/>
  <c r="J940" i="13"/>
  <c r="N938" i="13"/>
  <c r="E938" i="19" s="1"/>
  <c r="G938" i="19" s="1"/>
  <c r="I934" i="13"/>
  <c r="I933" i="13"/>
  <c r="M931" i="13"/>
  <c r="I931" i="13"/>
  <c r="J930" i="13"/>
  <c r="J929" i="13"/>
  <c r="N925" i="13"/>
  <c r="E925" i="19" s="1"/>
  <c r="J924" i="13"/>
  <c r="N922" i="13"/>
  <c r="E922" i="19" s="1"/>
  <c r="G922" i="19" s="1"/>
  <c r="N919" i="13"/>
  <c r="E919" i="19" s="1"/>
  <c r="G919" i="19" s="1"/>
  <c r="I918" i="13"/>
  <c r="I917" i="13"/>
  <c r="M915" i="13"/>
  <c r="I915" i="13"/>
  <c r="J914" i="13"/>
  <c r="N914" i="13" s="1"/>
  <c r="E914" i="19" s="1"/>
  <c r="J913" i="13"/>
  <c r="J911" i="13"/>
  <c r="N909" i="13"/>
  <c r="E909" i="19" s="1"/>
  <c r="F909" i="19" s="1"/>
  <c r="J908" i="13"/>
  <c r="N906" i="13"/>
  <c r="E906" i="19" s="1"/>
  <c r="G906" i="19" s="1"/>
  <c r="N903" i="13"/>
  <c r="E903" i="19" s="1"/>
  <c r="I902" i="13"/>
  <c r="I901" i="13"/>
  <c r="M899" i="13"/>
  <c r="I899" i="13"/>
  <c r="F898" i="13"/>
  <c r="H898" i="13"/>
  <c r="C874" i="13"/>
  <c r="I874" i="13"/>
  <c r="M874" i="13"/>
  <c r="N874" i="13" s="1"/>
  <c r="E874" i="19" s="1"/>
  <c r="J874" i="13"/>
  <c r="K874" i="13"/>
  <c r="N978" i="13"/>
  <c r="E978" i="19" s="1"/>
  <c r="G978" i="19" s="1"/>
  <c r="N966" i="13"/>
  <c r="E966" i="19" s="1"/>
  <c r="G966" i="19" s="1"/>
  <c r="N950" i="13"/>
  <c r="E950" i="19" s="1"/>
  <c r="G950" i="19" s="1"/>
  <c r="N934" i="13"/>
  <c r="E934" i="19" s="1"/>
  <c r="G934" i="19" s="1"/>
  <c r="N921" i="13"/>
  <c r="E921" i="19" s="1"/>
  <c r="G921" i="19" s="1"/>
  <c r="J920" i="13"/>
  <c r="N918" i="13"/>
  <c r="E918" i="19" s="1"/>
  <c r="G918" i="19" s="1"/>
  <c r="I914" i="13"/>
  <c r="I913" i="13"/>
  <c r="M911" i="13"/>
  <c r="I911" i="13"/>
  <c r="N905" i="13"/>
  <c r="E905" i="19" s="1"/>
  <c r="J904" i="13"/>
  <c r="N902" i="13"/>
  <c r="E902" i="19" s="1"/>
  <c r="G902" i="19" s="1"/>
  <c r="C887" i="13"/>
  <c r="J887" i="13"/>
  <c r="K887" i="13"/>
  <c r="H884" i="13"/>
  <c r="N882" i="13"/>
  <c r="E882" i="19" s="1"/>
  <c r="G882" i="19" s="1"/>
  <c r="N878" i="13"/>
  <c r="E878" i="19" s="1"/>
  <c r="G878" i="19" s="1"/>
  <c r="H873" i="13"/>
  <c r="H871" i="13"/>
  <c r="K863" i="13"/>
  <c r="L861" i="13"/>
  <c r="K858" i="13"/>
  <c r="H857" i="13"/>
  <c r="H854" i="13"/>
  <c r="H852" i="13"/>
  <c r="J850" i="13"/>
  <c r="H849" i="13"/>
  <c r="H846" i="13"/>
  <c r="H844" i="13"/>
  <c r="J842" i="13"/>
  <c r="H841" i="13"/>
  <c r="H838" i="13"/>
  <c r="H836" i="13"/>
  <c r="J834" i="13"/>
  <c r="H833" i="13"/>
  <c r="H830" i="13"/>
  <c r="H825" i="13"/>
  <c r="H814" i="13"/>
  <c r="N812" i="13"/>
  <c r="E812" i="19" s="1"/>
  <c r="H804" i="13"/>
  <c r="H795" i="13"/>
  <c r="F793" i="13"/>
  <c r="H793" i="13"/>
  <c r="L788" i="13"/>
  <c r="I787" i="13"/>
  <c r="J787" i="13"/>
  <c r="N784" i="13"/>
  <c r="E784" i="19" s="1"/>
  <c r="F784" i="19" s="1"/>
  <c r="H775" i="13"/>
  <c r="I755" i="13"/>
  <c r="J755" i="13"/>
  <c r="L748" i="13"/>
  <c r="I748" i="13"/>
  <c r="J748" i="13"/>
  <c r="N748" i="13" s="1"/>
  <c r="E748" i="19" s="1"/>
  <c r="C748" i="13"/>
  <c r="M748" i="13"/>
  <c r="H743" i="13"/>
  <c r="C737" i="13"/>
  <c r="L737" i="13"/>
  <c r="J737" i="13"/>
  <c r="K726" i="13"/>
  <c r="J726" i="13"/>
  <c r="L726" i="13"/>
  <c r="C726" i="13"/>
  <c r="I726" i="13"/>
  <c r="C722" i="13"/>
  <c r="I722" i="13"/>
  <c r="M722" i="13"/>
  <c r="L722" i="13"/>
  <c r="K722" i="13"/>
  <c r="K882" i="13"/>
  <c r="N881" i="13"/>
  <c r="E881" i="19" s="1"/>
  <c r="H881" i="13"/>
  <c r="H879" i="13"/>
  <c r="K878" i="13"/>
  <c r="M877" i="13"/>
  <c r="N877" i="13" s="1"/>
  <c r="E877" i="19" s="1"/>
  <c r="H875" i="13"/>
  <c r="L873" i="13"/>
  <c r="H872" i="13"/>
  <c r="J870" i="13"/>
  <c r="N870" i="13" s="1"/>
  <c r="E870" i="19" s="1"/>
  <c r="M869" i="13"/>
  <c r="N869" i="13" s="1"/>
  <c r="E869" i="19" s="1"/>
  <c r="J863" i="13"/>
  <c r="H862" i="13"/>
  <c r="J861" i="13"/>
  <c r="H860" i="13"/>
  <c r="J858" i="13"/>
  <c r="L857" i="13"/>
  <c r="C855" i="13"/>
  <c r="I853" i="13"/>
  <c r="K851" i="13"/>
  <c r="M850" i="13"/>
  <c r="N850" i="13" s="1"/>
  <c r="E850" i="19" s="1"/>
  <c r="I850" i="13"/>
  <c r="L849" i="13"/>
  <c r="J848" i="13"/>
  <c r="C847" i="13"/>
  <c r="I845" i="13"/>
  <c r="K843" i="13"/>
  <c r="M842" i="13"/>
  <c r="I842" i="13"/>
  <c r="L841" i="13"/>
  <c r="J840" i="13"/>
  <c r="C839" i="13"/>
  <c r="I837" i="13"/>
  <c r="K835" i="13"/>
  <c r="M834" i="13"/>
  <c r="I834" i="13"/>
  <c r="L833" i="13"/>
  <c r="J832" i="13"/>
  <c r="C831" i="13"/>
  <c r="I829" i="13"/>
  <c r="K828" i="13"/>
  <c r="M827" i="13"/>
  <c r="H826" i="13"/>
  <c r="M824" i="13"/>
  <c r="I824" i="13"/>
  <c r="H823" i="13"/>
  <c r="J821" i="13"/>
  <c r="K820" i="13"/>
  <c r="M819" i="13"/>
  <c r="K818" i="13"/>
  <c r="L817" i="13"/>
  <c r="M816" i="13"/>
  <c r="I816" i="13"/>
  <c r="C810" i="13"/>
  <c r="I809" i="13"/>
  <c r="L809" i="13"/>
  <c r="N804" i="13"/>
  <c r="E804" i="19" s="1"/>
  <c r="L802" i="13"/>
  <c r="C802" i="13"/>
  <c r="H799" i="13"/>
  <c r="I797" i="13"/>
  <c r="L797" i="13"/>
  <c r="K797" i="13"/>
  <c r="H791" i="13"/>
  <c r="I791" i="13"/>
  <c r="J791" i="13"/>
  <c r="K788" i="13"/>
  <c r="I785" i="13"/>
  <c r="K785" i="13"/>
  <c r="J785" i="13"/>
  <c r="F757" i="13"/>
  <c r="H757" i="13"/>
  <c r="L754" i="13"/>
  <c r="J754" i="13"/>
  <c r="K754" i="13"/>
  <c r="C754" i="13"/>
  <c r="F745" i="13"/>
  <c r="H745" i="13"/>
  <c r="H735" i="13"/>
  <c r="F707" i="13"/>
  <c r="H707" i="13"/>
  <c r="C701" i="13"/>
  <c r="L701" i="13"/>
  <c r="J701" i="13"/>
  <c r="H897" i="13"/>
  <c r="N893" i="13"/>
  <c r="E893" i="19" s="1"/>
  <c r="H893" i="13"/>
  <c r="N889" i="13"/>
  <c r="E889" i="19" s="1"/>
  <c r="H889" i="13"/>
  <c r="H887" i="13"/>
  <c r="M885" i="13"/>
  <c r="N885" i="13" s="1"/>
  <c r="E885" i="19" s="1"/>
  <c r="M884" i="13"/>
  <c r="H883" i="13"/>
  <c r="L881" i="13"/>
  <c r="H880" i="13"/>
  <c r="L877" i="13"/>
  <c r="J873" i="13"/>
  <c r="N873" i="13" s="1"/>
  <c r="E873" i="19" s="1"/>
  <c r="M870" i="13"/>
  <c r="L869" i="13"/>
  <c r="H868" i="13"/>
  <c r="N865" i="13"/>
  <c r="E865" i="19" s="1"/>
  <c r="H865" i="13"/>
  <c r="C863" i="13"/>
  <c r="I861" i="13"/>
  <c r="K859" i="13"/>
  <c r="M858" i="13"/>
  <c r="I858" i="13"/>
  <c r="J857" i="13"/>
  <c r="N857" i="13" s="1"/>
  <c r="E857" i="19" s="1"/>
  <c r="H856" i="13"/>
  <c r="N853" i="13"/>
  <c r="E853" i="19" s="1"/>
  <c r="J851" i="13"/>
  <c r="L850" i="13"/>
  <c r="J849" i="13"/>
  <c r="N849" i="13" s="1"/>
  <c r="E849" i="19" s="1"/>
  <c r="N845" i="13"/>
  <c r="E845" i="19" s="1"/>
  <c r="J843" i="13"/>
  <c r="L842" i="13"/>
  <c r="J841" i="13"/>
  <c r="N841" i="13" s="1"/>
  <c r="E841" i="19" s="1"/>
  <c r="N837" i="13"/>
  <c r="E837" i="19" s="1"/>
  <c r="J835" i="13"/>
  <c r="L834" i="13"/>
  <c r="J833" i="13"/>
  <c r="N833" i="13" s="1"/>
  <c r="E833" i="19" s="1"/>
  <c r="N829" i="13"/>
  <c r="E829" i="19" s="1"/>
  <c r="L827" i="13"/>
  <c r="K825" i="13"/>
  <c r="K822" i="13"/>
  <c r="L819" i="13"/>
  <c r="K817" i="13"/>
  <c r="I808" i="13"/>
  <c r="M808" i="13"/>
  <c r="N808" i="13" s="1"/>
  <c r="E808" i="19" s="1"/>
  <c r="I801" i="13"/>
  <c r="K801" i="13"/>
  <c r="C801" i="13"/>
  <c r="J801" i="13"/>
  <c r="F800" i="13"/>
  <c r="H800" i="13"/>
  <c r="L786" i="13"/>
  <c r="J786" i="13"/>
  <c r="C786" i="13"/>
  <c r="I771" i="13"/>
  <c r="J771" i="13"/>
  <c r="I765" i="13"/>
  <c r="J765" i="13"/>
  <c r="K765" i="13"/>
  <c r="C765" i="13"/>
  <c r="J746" i="13"/>
  <c r="K746" i="13"/>
  <c r="C746" i="13"/>
  <c r="I746" i="13"/>
  <c r="M746" i="13"/>
  <c r="F723" i="13"/>
  <c r="H723" i="13"/>
  <c r="C717" i="13"/>
  <c r="L717" i="13"/>
  <c r="J717" i="13"/>
  <c r="N861" i="13"/>
  <c r="E861" i="19" s="1"/>
  <c r="N834" i="13"/>
  <c r="E834" i="19" s="1"/>
  <c r="G834" i="19" s="1"/>
  <c r="L798" i="13"/>
  <c r="K798" i="13"/>
  <c r="J798" i="13"/>
  <c r="I796" i="13"/>
  <c r="M796" i="13"/>
  <c r="N796" i="13" s="1"/>
  <c r="E796" i="19" s="1"/>
  <c r="C796" i="13"/>
  <c r="L796" i="13"/>
  <c r="L790" i="13"/>
  <c r="K790" i="13"/>
  <c r="J790" i="13"/>
  <c r="J788" i="13"/>
  <c r="I788" i="13"/>
  <c r="M788" i="13"/>
  <c r="I784" i="13"/>
  <c r="M784" i="13"/>
  <c r="C784" i="13"/>
  <c r="L784" i="13"/>
  <c r="I781" i="13"/>
  <c r="J781" i="13"/>
  <c r="C781" i="13"/>
  <c r="F780" i="13"/>
  <c r="H780" i="13"/>
  <c r="F777" i="13"/>
  <c r="H777" i="13"/>
  <c r="F773" i="13"/>
  <c r="H773" i="13"/>
  <c r="L770" i="13"/>
  <c r="J770" i="13"/>
  <c r="K770" i="13"/>
  <c r="C770" i="13"/>
  <c r="I768" i="13"/>
  <c r="M768" i="13"/>
  <c r="J768" i="13"/>
  <c r="N768" i="13" s="1"/>
  <c r="E768" i="19" s="1"/>
  <c r="C768" i="13"/>
  <c r="L768" i="13"/>
  <c r="F760" i="13"/>
  <c r="H760" i="13"/>
  <c r="C751" i="13"/>
  <c r="K751" i="13"/>
  <c r="K710" i="13"/>
  <c r="J710" i="13"/>
  <c r="L710" i="13"/>
  <c r="C710" i="13"/>
  <c r="I710" i="13"/>
  <c r="C706" i="13"/>
  <c r="I706" i="13"/>
  <c r="M706" i="13"/>
  <c r="N706" i="13" s="1"/>
  <c r="E706" i="19" s="1"/>
  <c r="L706" i="13"/>
  <c r="K706" i="13"/>
  <c r="N800" i="13"/>
  <c r="E800" i="19" s="1"/>
  <c r="H796" i="13"/>
  <c r="K794" i="13"/>
  <c r="K789" i="13"/>
  <c r="H784" i="13"/>
  <c r="H781" i="13"/>
  <c r="K778" i="13"/>
  <c r="J775" i="13"/>
  <c r="J774" i="13"/>
  <c r="K773" i="13"/>
  <c r="M772" i="13"/>
  <c r="N772" i="13" s="1"/>
  <c r="E772" i="19" s="1"/>
  <c r="I772" i="13"/>
  <c r="J769" i="13"/>
  <c r="H768" i="13"/>
  <c r="H765" i="13"/>
  <c r="N764" i="13"/>
  <c r="E764" i="19" s="1"/>
  <c r="K762" i="13"/>
  <c r="J759" i="13"/>
  <c r="J758" i="13"/>
  <c r="K757" i="13"/>
  <c r="M756" i="13"/>
  <c r="I756" i="13"/>
  <c r="J753" i="13"/>
  <c r="K752" i="13"/>
  <c r="H748" i="13"/>
  <c r="I740" i="13"/>
  <c r="H739" i="13"/>
  <c r="J738" i="13"/>
  <c r="J736" i="13"/>
  <c r="H724" i="13"/>
  <c r="L720" i="13"/>
  <c r="I720" i="13"/>
  <c r="L718" i="13"/>
  <c r="H715" i="13"/>
  <c r="F713" i="13"/>
  <c r="H713" i="13"/>
  <c r="H708" i="13"/>
  <c r="L704" i="13"/>
  <c r="I704" i="13"/>
  <c r="L702" i="13"/>
  <c r="H699" i="13"/>
  <c r="F697" i="13"/>
  <c r="H697" i="13"/>
  <c r="I694" i="13"/>
  <c r="C694" i="13"/>
  <c r="H692" i="13"/>
  <c r="L688" i="13"/>
  <c r="I688" i="13"/>
  <c r="L686" i="13"/>
  <c r="H683" i="13"/>
  <c r="F681" i="13"/>
  <c r="H681" i="13"/>
  <c r="I678" i="13"/>
  <c r="C678" i="13"/>
  <c r="H676" i="13"/>
  <c r="L672" i="13"/>
  <c r="I672" i="13"/>
  <c r="F671" i="13"/>
  <c r="H671" i="13"/>
  <c r="K670" i="13"/>
  <c r="L669" i="13"/>
  <c r="J669" i="13"/>
  <c r="C655" i="13"/>
  <c r="J655" i="13"/>
  <c r="L655" i="13"/>
  <c r="L648" i="13"/>
  <c r="I648" i="13"/>
  <c r="J648" i="13"/>
  <c r="H645" i="13"/>
  <c r="I645" i="13"/>
  <c r="J645" i="13"/>
  <c r="F643" i="13"/>
  <c r="H643" i="13"/>
  <c r="C634" i="13"/>
  <c r="I634" i="13"/>
  <c r="M634" i="13"/>
  <c r="J634" i="13"/>
  <c r="C622" i="13"/>
  <c r="J622" i="13"/>
  <c r="L622" i="13"/>
  <c r="M622" i="13"/>
  <c r="I622" i="13"/>
  <c r="N602" i="13"/>
  <c r="E602" i="19" s="1"/>
  <c r="F602" i="19" s="1"/>
  <c r="K587" i="13"/>
  <c r="J587" i="13"/>
  <c r="L587" i="13"/>
  <c r="C587" i="13"/>
  <c r="I587" i="13"/>
  <c r="H586" i="13"/>
  <c r="I564" i="13"/>
  <c r="K564" i="13"/>
  <c r="C564" i="13"/>
  <c r="J564" i="13"/>
  <c r="I563" i="13"/>
  <c r="M563" i="13"/>
  <c r="J563" i="13"/>
  <c r="K563" i="13"/>
  <c r="L563" i="13"/>
  <c r="C563" i="13"/>
  <c r="F551" i="13"/>
  <c r="H551" i="13"/>
  <c r="C690" i="13"/>
  <c r="I690" i="13"/>
  <c r="M690" i="13"/>
  <c r="C685" i="13"/>
  <c r="L685" i="13"/>
  <c r="C674" i="13"/>
  <c r="I674" i="13"/>
  <c r="M674" i="13"/>
  <c r="L660" i="13"/>
  <c r="C660" i="13"/>
  <c r="M660" i="13"/>
  <c r="I660" i="13"/>
  <c r="C658" i="13"/>
  <c r="I658" i="13"/>
  <c r="M658" i="13"/>
  <c r="J658" i="13"/>
  <c r="C647" i="13"/>
  <c r="J647" i="13"/>
  <c r="L647" i="13"/>
  <c r="L640" i="13"/>
  <c r="I640" i="13"/>
  <c r="J640" i="13"/>
  <c r="I637" i="13"/>
  <c r="J637" i="13"/>
  <c r="F635" i="13"/>
  <c r="H635" i="13"/>
  <c r="L632" i="13"/>
  <c r="I632" i="13"/>
  <c r="C632" i="13"/>
  <c r="J632" i="13"/>
  <c r="N632" i="13" s="1"/>
  <c r="E632" i="19" s="1"/>
  <c r="C625" i="13"/>
  <c r="I625" i="13"/>
  <c r="M625" i="13"/>
  <c r="J625" i="13"/>
  <c r="C617" i="13"/>
  <c r="M617" i="13"/>
  <c r="J617" i="13"/>
  <c r="C612" i="13"/>
  <c r="J612" i="13"/>
  <c r="I599" i="13"/>
  <c r="C599" i="13"/>
  <c r="J599" i="13"/>
  <c r="L599" i="13"/>
  <c r="F593" i="13"/>
  <c r="H593" i="13"/>
  <c r="N587" i="13"/>
  <c r="E587" i="19" s="1"/>
  <c r="F570" i="13"/>
  <c r="H570" i="13"/>
  <c r="L550" i="13"/>
  <c r="C550" i="13"/>
  <c r="M550" i="13"/>
  <c r="J550" i="13"/>
  <c r="K550" i="13"/>
  <c r="I550" i="13"/>
  <c r="F545" i="13"/>
  <c r="H545" i="13"/>
  <c r="J521" i="13"/>
  <c r="L521" i="13"/>
  <c r="H736" i="13"/>
  <c r="H728" i="13"/>
  <c r="N722" i="13"/>
  <c r="E722" i="19" s="1"/>
  <c r="F721" i="13"/>
  <c r="H721" i="13"/>
  <c r="L712" i="13"/>
  <c r="I712" i="13"/>
  <c r="F705" i="13"/>
  <c r="H705" i="13"/>
  <c r="L696" i="13"/>
  <c r="I696" i="13"/>
  <c r="L694" i="13"/>
  <c r="H691" i="13"/>
  <c r="N690" i="13"/>
  <c r="E690" i="19" s="1"/>
  <c r="F689" i="13"/>
  <c r="H689" i="13"/>
  <c r="L680" i="13"/>
  <c r="I680" i="13"/>
  <c r="L678" i="13"/>
  <c r="H675" i="13"/>
  <c r="N674" i="13"/>
  <c r="E674" i="19" s="1"/>
  <c r="F674" i="19" s="1"/>
  <c r="F673" i="13"/>
  <c r="H673" i="13"/>
  <c r="H661" i="13"/>
  <c r="C650" i="13"/>
  <c r="I650" i="13"/>
  <c r="M650" i="13"/>
  <c r="J650" i="13"/>
  <c r="M640" i="13"/>
  <c r="C639" i="13"/>
  <c r="J639" i="13"/>
  <c r="L639" i="13"/>
  <c r="F606" i="13"/>
  <c r="H606" i="13"/>
  <c r="J579" i="13"/>
  <c r="I579" i="13"/>
  <c r="K579" i="13"/>
  <c r="C579" i="13"/>
  <c r="M579" i="13"/>
  <c r="L561" i="13"/>
  <c r="J561" i="13"/>
  <c r="J553" i="13"/>
  <c r="L553" i="13"/>
  <c r="K553" i="13"/>
  <c r="C553" i="13"/>
  <c r="J537" i="13"/>
  <c r="L537" i="13"/>
  <c r="J524" i="13"/>
  <c r="K524" i="13"/>
  <c r="C524" i="13"/>
  <c r="I524" i="13"/>
  <c r="M524" i="13"/>
  <c r="N776" i="13"/>
  <c r="E776" i="19" s="1"/>
  <c r="G776" i="19" s="1"/>
  <c r="K774" i="13"/>
  <c r="K769" i="13"/>
  <c r="H764" i="13"/>
  <c r="H761" i="13"/>
  <c r="K758" i="13"/>
  <c r="K753" i="13"/>
  <c r="M752" i="13"/>
  <c r="H749" i="13"/>
  <c r="H747" i="13"/>
  <c r="J740" i="13"/>
  <c r="H732" i="13"/>
  <c r="L728" i="13"/>
  <c r="J728" i="13"/>
  <c r="H725" i="13"/>
  <c r="C725" i="13"/>
  <c r="L725" i="13"/>
  <c r="N718" i="13"/>
  <c r="E718" i="19" s="1"/>
  <c r="C714" i="13"/>
  <c r="I714" i="13"/>
  <c r="M714" i="13"/>
  <c r="K712" i="13"/>
  <c r="H709" i="13"/>
  <c r="C709" i="13"/>
  <c r="L709" i="13"/>
  <c r="N702" i="13"/>
  <c r="E702" i="19" s="1"/>
  <c r="C698" i="13"/>
  <c r="I698" i="13"/>
  <c r="M698" i="13"/>
  <c r="K696" i="13"/>
  <c r="J694" i="13"/>
  <c r="H693" i="13"/>
  <c r="C693" i="13"/>
  <c r="L693" i="13"/>
  <c r="L690" i="13"/>
  <c r="N686" i="13"/>
  <c r="E686" i="19" s="1"/>
  <c r="C682" i="13"/>
  <c r="I682" i="13"/>
  <c r="M682" i="13"/>
  <c r="K680" i="13"/>
  <c r="J678" i="13"/>
  <c r="N678" i="13" s="1"/>
  <c r="E678" i="19" s="1"/>
  <c r="H677" i="13"/>
  <c r="C677" i="13"/>
  <c r="L677" i="13"/>
  <c r="L674" i="13"/>
  <c r="H667" i="13"/>
  <c r="K660" i="13"/>
  <c r="L656" i="13"/>
  <c r="I656" i="13"/>
  <c r="J656" i="13"/>
  <c r="H653" i="13"/>
  <c r="I653" i="13"/>
  <c r="J653" i="13"/>
  <c r="F651" i="13"/>
  <c r="H651" i="13"/>
  <c r="N648" i="13"/>
  <c r="E648" i="19" s="1"/>
  <c r="C642" i="13"/>
  <c r="I642" i="13"/>
  <c r="M642" i="13"/>
  <c r="J642" i="13"/>
  <c r="K640" i="13"/>
  <c r="M632" i="13"/>
  <c r="C623" i="13"/>
  <c r="I623" i="13"/>
  <c r="M623" i="13"/>
  <c r="L623" i="13"/>
  <c r="K623" i="13"/>
  <c r="C605" i="13"/>
  <c r="J605" i="13"/>
  <c r="M605" i="13"/>
  <c r="I605" i="13"/>
  <c r="C592" i="13"/>
  <c r="I592" i="13"/>
  <c r="M592" i="13"/>
  <c r="L592" i="13"/>
  <c r="K592" i="13"/>
  <c r="N579" i="13"/>
  <c r="E579" i="19" s="1"/>
  <c r="H579" i="13"/>
  <c r="I568" i="13"/>
  <c r="C568" i="13"/>
  <c r="K568" i="13"/>
  <c r="J568" i="13"/>
  <c r="F567" i="13"/>
  <c r="H567" i="13"/>
  <c r="L542" i="13"/>
  <c r="J542" i="13"/>
  <c r="I542" i="13"/>
  <c r="K542" i="13"/>
  <c r="M542" i="13"/>
  <c r="C542" i="13"/>
  <c r="C621" i="13"/>
  <c r="J621" i="13"/>
  <c r="N618" i="13"/>
  <c r="E618" i="19" s="1"/>
  <c r="F618" i="19" s="1"/>
  <c r="N613" i="13"/>
  <c r="E613" i="19" s="1"/>
  <c r="N610" i="13"/>
  <c r="E610" i="19" s="1"/>
  <c r="N609" i="13"/>
  <c r="E609" i="19" s="1"/>
  <c r="F609" i="19" s="1"/>
  <c r="C602" i="13"/>
  <c r="L602" i="13"/>
  <c r="L590" i="13"/>
  <c r="I590" i="13"/>
  <c r="C588" i="13"/>
  <c r="J588" i="13"/>
  <c r="N582" i="13"/>
  <c r="E582" i="19" s="1"/>
  <c r="F578" i="13"/>
  <c r="H578" i="13"/>
  <c r="C574" i="13"/>
  <c r="I574" i="13"/>
  <c r="N570" i="13"/>
  <c r="E570" i="19" s="1"/>
  <c r="C562" i="13"/>
  <c r="L562" i="13"/>
  <c r="J562" i="13"/>
  <c r="C558" i="13"/>
  <c r="I558" i="13"/>
  <c r="J558" i="13"/>
  <c r="F541" i="13"/>
  <c r="H541" i="13"/>
  <c r="L522" i="13"/>
  <c r="I522" i="13"/>
  <c r="J522" i="13"/>
  <c r="C522" i="13"/>
  <c r="M522" i="13"/>
  <c r="M666" i="13"/>
  <c r="I666" i="13"/>
  <c r="M662" i="13"/>
  <c r="I662" i="13"/>
  <c r="H654" i="13"/>
  <c r="M652" i="13"/>
  <c r="N652" i="13" s="1"/>
  <c r="E652" i="19" s="1"/>
  <c r="C652" i="13"/>
  <c r="H646" i="13"/>
  <c r="M644" i="13"/>
  <c r="C644" i="13"/>
  <c r="H638" i="13"/>
  <c r="M636" i="13"/>
  <c r="N636" i="13"/>
  <c r="E636" i="19" s="1"/>
  <c r="F636" i="19" s="1"/>
  <c r="C636" i="13"/>
  <c r="C626" i="13"/>
  <c r="I626" i="13"/>
  <c r="M621" i="13"/>
  <c r="N621" i="13" s="1"/>
  <c r="E621" i="19" s="1"/>
  <c r="F621" i="19" s="1"/>
  <c r="I619" i="13"/>
  <c r="C619" i="13"/>
  <c r="H617" i="13"/>
  <c r="C616" i="13"/>
  <c r="J616" i="13"/>
  <c r="I615" i="13"/>
  <c r="C615" i="13"/>
  <c r="F614" i="13"/>
  <c r="H614" i="13"/>
  <c r="C609" i="13"/>
  <c r="I609" i="13"/>
  <c r="C607" i="13"/>
  <c r="I607" i="13"/>
  <c r="M607" i="13"/>
  <c r="C606" i="13"/>
  <c r="J606" i="13"/>
  <c r="N606" i="13" s="1"/>
  <c r="E606" i="19" s="1"/>
  <c r="K603" i="13"/>
  <c r="J602" i="13"/>
  <c r="C601" i="13"/>
  <c r="M601" i="13"/>
  <c r="N601" i="13" s="1"/>
  <c r="E601" i="19" s="1"/>
  <c r="G601" i="19" s="1"/>
  <c r="H599" i="13"/>
  <c r="J597" i="13"/>
  <c r="N597" i="13" s="1"/>
  <c r="E597" i="19" s="1"/>
  <c r="H596" i="13"/>
  <c r="H592" i="13"/>
  <c r="F591" i="13"/>
  <c r="H591" i="13"/>
  <c r="J590" i="13"/>
  <c r="N590" i="13" s="1"/>
  <c r="E590" i="19" s="1"/>
  <c r="L589" i="13"/>
  <c r="I589" i="13"/>
  <c r="I583" i="13"/>
  <c r="C583" i="13"/>
  <c r="I576" i="13"/>
  <c r="J576" i="13"/>
  <c r="L574" i="13"/>
  <c r="C570" i="13"/>
  <c r="L570" i="13"/>
  <c r="J570" i="13"/>
  <c r="C566" i="13"/>
  <c r="I566" i="13"/>
  <c r="J566" i="13"/>
  <c r="N566" i="13" s="1"/>
  <c r="E566" i="19" s="1"/>
  <c r="M562" i="13"/>
  <c r="M558" i="13"/>
  <c r="N558" i="13" s="1"/>
  <c r="E558" i="19" s="1"/>
  <c r="H557" i="13"/>
  <c r="J551" i="13"/>
  <c r="N551" i="13" s="1"/>
  <c r="E551" i="19" s="1"/>
  <c r="G551" i="19" s="1"/>
  <c r="L551" i="13"/>
  <c r="I548" i="13"/>
  <c r="N630" i="13"/>
  <c r="E630" i="19" s="1"/>
  <c r="G630" i="19" s="1"/>
  <c r="N629" i="13"/>
  <c r="E629" i="19" s="1"/>
  <c r="N626" i="13"/>
  <c r="E626" i="19" s="1"/>
  <c r="H624" i="13"/>
  <c r="I621" i="13"/>
  <c r="C618" i="13"/>
  <c r="L618" i="13"/>
  <c r="H615" i="13"/>
  <c r="C610" i="13"/>
  <c r="I610" i="13"/>
  <c r="H607" i="13"/>
  <c r="I603" i="13"/>
  <c r="C603" i="13"/>
  <c r="I602" i="13"/>
  <c r="H601" i="13"/>
  <c r="C600" i="13"/>
  <c r="J600" i="13"/>
  <c r="I597" i="13"/>
  <c r="I595" i="13"/>
  <c r="L595" i="13"/>
  <c r="C590" i="13"/>
  <c r="L588" i="13"/>
  <c r="N583" i="13"/>
  <c r="E583" i="19" s="1"/>
  <c r="G583" i="19" s="1"/>
  <c r="C582" i="13"/>
  <c r="L582" i="13"/>
  <c r="J574" i="13"/>
  <c r="N574" i="13" s="1"/>
  <c r="E574" i="19" s="1"/>
  <c r="I572" i="13"/>
  <c r="K572" i="13"/>
  <c r="C572" i="13"/>
  <c r="I571" i="13"/>
  <c r="M571" i="13"/>
  <c r="J571" i="13"/>
  <c r="L569" i="13"/>
  <c r="J569" i="13"/>
  <c r="I562" i="13"/>
  <c r="I560" i="13"/>
  <c r="C560" i="13"/>
  <c r="K560" i="13"/>
  <c r="F559" i="13"/>
  <c r="H559" i="13"/>
  <c r="L558" i="13"/>
  <c r="I556" i="13"/>
  <c r="K556" i="13"/>
  <c r="C556" i="13"/>
  <c r="C552" i="13"/>
  <c r="I552" i="13"/>
  <c r="M552" i="13"/>
  <c r="N552" i="13" s="1"/>
  <c r="E552" i="19" s="1"/>
  <c r="L552" i="13"/>
  <c r="C549" i="13"/>
  <c r="K549" i="13"/>
  <c r="K548" i="13"/>
  <c r="J548" i="13"/>
  <c r="L535" i="13"/>
  <c r="J535" i="13"/>
  <c r="K522" i="13"/>
  <c r="J516" i="13"/>
  <c r="K516" i="13"/>
  <c r="C516" i="13"/>
  <c r="I516" i="13"/>
  <c r="M516" i="13"/>
  <c r="J510" i="13"/>
  <c r="K510" i="13"/>
  <c r="C510" i="13"/>
  <c r="I510" i="13"/>
  <c r="M510" i="13"/>
  <c r="H629" i="13"/>
  <c r="H620" i="13"/>
  <c r="N614" i="13"/>
  <c r="E614" i="19" s="1"/>
  <c r="G614" i="19" s="1"/>
  <c r="H613" i="13"/>
  <c r="H611" i="13"/>
  <c r="H604" i="13"/>
  <c r="H585" i="13"/>
  <c r="H584" i="13"/>
  <c r="H581" i="13"/>
  <c r="N578" i="13"/>
  <c r="E578" i="19" s="1"/>
  <c r="J544" i="13"/>
  <c r="C544" i="13"/>
  <c r="I544" i="13"/>
  <c r="M544" i="13"/>
  <c r="J540" i="13"/>
  <c r="C540" i="13"/>
  <c r="I540" i="13"/>
  <c r="M540" i="13"/>
  <c r="L538" i="13"/>
  <c r="I538" i="13"/>
  <c r="C538" i="13"/>
  <c r="M538" i="13"/>
  <c r="J528" i="13"/>
  <c r="K528" i="13"/>
  <c r="C528" i="13"/>
  <c r="I528" i="13"/>
  <c r="M528" i="13"/>
  <c r="F519" i="13"/>
  <c r="H519" i="13"/>
  <c r="N567" i="13"/>
  <c r="E567" i="19" s="1"/>
  <c r="N559" i="13"/>
  <c r="E559" i="19" s="1"/>
  <c r="G559" i="19" s="1"/>
  <c r="H550" i="13"/>
  <c r="H549" i="13"/>
  <c r="J546" i="13"/>
  <c r="H543" i="13"/>
  <c r="J530" i="13"/>
  <c r="H527" i="13"/>
  <c r="I526" i="13"/>
  <c r="L519" i="13"/>
  <c r="M514" i="13"/>
  <c r="I514" i="13"/>
  <c r="J509" i="13"/>
  <c r="N509" i="13"/>
  <c r="E509" i="19" s="1"/>
  <c r="F509" i="19" s="1"/>
  <c r="J526" i="13"/>
  <c r="H525" i="13"/>
  <c r="H511" i="13"/>
  <c r="F629" i="19"/>
  <c r="G629" i="19"/>
  <c r="F1488" i="19"/>
  <c r="G1488" i="19"/>
  <c r="G1303" i="19"/>
  <c r="F1303" i="19"/>
  <c r="G1169" i="19"/>
  <c r="F1169" i="19"/>
  <c r="F1352" i="19"/>
  <c r="G1352" i="19"/>
  <c r="F1448" i="19"/>
  <c r="G1448" i="19"/>
  <c r="F1472" i="19"/>
  <c r="G1472" i="19"/>
  <c r="F1356" i="19"/>
  <c r="G1356" i="19"/>
  <c r="G1067" i="19"/>
  <c r="F1067" i="19"/>
  <c r="F967" i="19"/>
  <c r="G967" i="19"/>
  <c r="G636" i="19"/>
  <c r="G609" i="19"/>
  <c r="N1492" i="13"/>
  <c r="E1492" i="19" s="1"/>
  <c r="N1452" i="13"/>
  <c r="E1452" i="19" s="1"/>
  <c r="N1334" i="13"/>
  <c r="E1334" i="19" s="1"/>
  <c r="N1221" i="13"/>
  <c r="E1221" i="19" s="1"/>
  <c r="N1205" i="13"/>
  <c r="E1205" i="19" s="1"/>
  <c r="N1189" i="13"/>
  <c r="E1189" i="19" s="1"/>
  <c r="N1173" i="13"/>
  <c r="E1173" i="19" s="1"/>
  <c r="N999" i="13"/>
  <c r="E999" i="19" s="1"/>
  <c r="N963" i="13"/>
  <c r="E963" i="19" s="1"/>
  <c r="F953" i="19"/>
  <c r="G953" i="19"/>
  <c r="N931" i="13"/>
  <c r="E931" i="19" s="1"/>
  <c r="F921" i="19"/>
  <c r="N886" i="13"/>
  <c r="E886" i="19" s="1"/>
  <c r="G886" i="19" s="1"/>
  <c r="N854" i="13"/>
  <c r="E854" i="19" s="1"/>
  <c r="G854" i="19" s="1"/>
  <c r="N838" i="13"/>
  <c r="E838" i="19" s="1"/>
  <c r="N788" i="13"/>
  <c r="E788" i="19" s="1"/>
  <c r="N756" i="13"/>
  <c r="E756" i="19" s="1"/>
  <c r="F748" i="19"/>
  <c r="G748" i="19"/>
  <c r="F722" i="19"/>
  <c r="G722" i="19"/>
  <c r="F690" i="19"/>
  <c r="G690" i="19"/>
  <c r="G587" i="19"/>
  <c r="F587" i="19"/>
  <c r="G582" i="19"/>
  <c r="F582" i="19"/>
  <c r="F567" i="19"/>
  <c r="G567" i="19"/>
  <c r="F1388" i="19"/>
  <c r="G1388" i="19"/>
  <c r="F1035" i="19"/>
  <c r="G1035" i="19"/>
  <c r="F983" i="19"/>
  <c r="G983" i="19"/>
  <c r="F903" i="19"/>
  <c r="G903" i="19"/>
  <c r="F812" i="19"/>
  <c r="G812" i="19"/>
  <c r="F1416" i="19"/>
  <c r="G1416" i="19"/>
  <c r="F1400" i="19"/>
  <c r="G1400" i="19"/>
  <c r="F1384" i="19"/>
  <c r="G1384" i="19"/>
  <c r="F1368" i="19"/>
  <c r="G1368" i="19"/>
  <c r="N1322" i="13"/>
  <c r="E1322" i="19" s="1"/>
  <c r="N1309" i="13"/>
  <c r="E1309" i="19" s="1"/>
  <c r="F1031" i="19"/>
  <c r="G1031" i="19"/>
  <c r="F1015" i="19"/>
  <c r="G1015" i="19"/>
  <c r="F991" i="19"/>
  <c r="G991" i="19"/>
  <c r="F987" i="19"/>
  <c r="G987" i="19"/>
  <c r="F959" i="19"/>
  <c r="G959" i="19"/>
  <c r="F927" i="19"/>
  <c r="G927" i="19"/>
  <c r="F865" i="19"/>
  <c r="G865" i="19"/>
  <c r="F845" i="19"/>
  <c r="G845" i="19"/>
  <c r="F804" i="19"/>
  <c r="G804" i="19"/>
  <c r="G648" i="19"/>
  <c r="F648" i="19"/>
  <c r="F630" i="19"/>
  <c r="G578" i="19"/>
  <c r="F578" i="19"/>
  <c r="G558" i="19"/>
  <c r="F558" i="19"/>
  <c r="G1217" i="19"/>
  <c r="F1217" i="19"/>
  <c r="F1005" i="19"/>
  <c r="G1005" i="19"/>
  <c r="F955" i="19"/>
  <c r="G955" i="19"/>
  <c r="F923" i="19"/>
  <c r="G923" i="19"/>
  <c r="F861" i="19"/>
  <c r="G861" i="19"/>
  <c r="F800" i="19"/>
  <c r="G800" i="19"/>
  <c r="F764" i="19"/>
  <c r="G764" i="19"/>
  <c r="F718" i="19"/>
  <c r="G718" i="19"/>
  <c r="F702" i="19"/>
  <c r="G702" i="19"/>
  <c r="F686" i="19"/>
  <c r="G686" i="19"/>
  <c r="G626" i="19"/>
  <c r="F626" i="19"/>
  <c r="G509" i="19"/>
  <c r="F1372" i="19"/>
  <c r="G1372" i="19"/>
  <c r="F979" i="19"/>
  <c r="G979" i="19"/>
  <c r="F1314" i="19"/>
  <c r="G1314" i="19"/>
  <c r="F945" i="19"/>
  <c r="G945" i="19"/>
  <c r="N1444" i="13"/>
  <c r="E1444" i="19" s="1"/>
  <c r="G1311" i="19"/>
  <c r="F1311" i="19"/>
  <c r="N1075" i="13"/>
  <c r="E1075" i="19" s="1"/>
  <c r="N1059" i="13"/>
  <c r="E1059" i="19" s="1"/>
  <c r="N1043" i="13"/>
  <c r="E1043" i="19" s="1"/>
  <c r="N1027" i="13"/>
  <c r="E1027" i="19" s="1"/>
  <c r="F973" i="19"/>
  <c r="G973" i="19"/>
  <c r="F951" i="19"/>
  <c r="F941" i="19"/>
  <c r="G941" i="19"/>
  <c r="F919" i="19"/>
  <c r="G909" i="19"/>
  <c r="G784" i="19"/>
  <c r="N644" i="13"/>
  <c r="E644" i="19" s="1"/>
  <c r="G570" i="19"/>
  <c r="F570" i="19"/>
  <c r="F1420" i="19"/>
  <c r="G1420" i="19"/>
  <c r="F925" i="19"/>
  <c r="G925" i="19"/>
  <c r="F1500" i="19"/>
  <c r="G1500" i="19"/>
  <c r="G1342" i="19"/>
  <c r="F1342" i="19"/>
  <c r="G1185" i="19"/>
  <c r="F1185" i="19"/>
  <c r="N1412" i="13"/>
  <c r="E1412" i="19" s="1"/>
  <c r="N1396" i="13"/>
  <c r="E1396" i="19" s="1"/>
  <c r="N1508" i="13"/>
  <c r="E1508" i="19" s="1"/>
  <c r="F1468" i="19"/>
  <c r="G1468" i="19"/>
  <c r="F1460" i="19"/>
  <c r="G1460" i="19"/>
  <c r="N1318" i="13"/>
  <c r="E1318" i="19" s="1"/>
  <c r="N1229" i="13"/>
  <c r="E1229" i="19" s="1"/>
  <c r="N1213" i="13"/>
  <c r="E1213" i="19" s="1"/>
  <c r="N1197" i="13"/>
  <c r="E1197" i="19" s="1"/>
  <c r="N1181" i="13"/>
  <c r="E1181" i="19" s="1"/>
  <c r="N1165" i="13"/>
  <c r="E1165" i="19" s="1"/>
  <c r="N1001" i="13"/>
  <c r="E1001" i="19" s="1"/>
  <c r="F977" i="19"/>
  <c r="G977" i="19"/>
  <c r="F969" i="19"/>
  <c r="G969" i="19"/>
  <c r="N947" i="13"/>
  <c r="E947" i="19" s="1"/>
  <c r="F937" i="19"/>
  <c r="G937" i="19"/>
  <c r="N915" i="13"/>
  <c r="E915" i="19" s="1"/>
  <c r="F905" i="19"/>
  <c r="G905" i="19"/>
  <c r="F881" i="19"/>
  <c r="G881" i="19"/>
  <c r="F877" i="19"/>
  <c r="G877" i="19"/>
  <c r="F869" i="19"/>
  <c r="G869" i="19"/>
  <c r="N866" i="13"/>
  <c r="E866" i="19" s="1"/>
  <c r="G866" i="19" s="1"/>
  <c r="N846" i="13"/>
  <c r="E846" i="19" s="1"/>
  <c r="G846" i="19" s="1"/>
  <c r="N830" i="13"/>
  <c r="E830" i="19" s="1"/>
  <c r="N714" i="13"/>
  <c r="E714" i="19" s="1"/>
  <c r="N698" i="13"/>
  <c r="E698" i="19" s="1"/>
  <c r="N682" i="13"/>
  <c r="E682" i="19" s="1"/>
  <c r="G618" i="19"/>
  <c r="N594" i="13"/>
  <c r="E594" i="19" s="1"/>
  <c r="F579" i="19"/>
  <c r="G579" i="19"/>
  <c r="F1201" i="19"/>
  <c r="F1404" i="19"/>
  <c r="G1404" i="19"/>
  <c r="G1307" i="19"/>
  <c r="F1307" i="19"/>
  <c r="F957" i="19"/>
  <c r="G957" i="19"/>
  <c r="N1428" i="13"/>
  <c r="E1428" i="19" s="1"/>
  <c r="N1364" i="13"/>
  <c r="E1364" i="19" s="1"/>
  <c r="N1348" i="13"/>
  <c r="E1348" i="19" s="1"/>
  <c r="F1476" i="19"/>
  <c r="G1476" i="19"/>
  <c r="N1480" i="13"/>
  <c r="E1480" i="19" s="1"/>
  <c r="N1464" i="13"/>
  <c r="E1464" i="19" s="1"/>
  <c r="N1440" i="13"/>
  <c r="E1440" i="19" s="1"/>
  <c r="N1424" i="13"/>
  <c r="E1424" i="19" s="1"/>
  <c r="N1408" i="13"/>
  <c r="E1408" i="19" s="1"/>
  <c r="N1392" i="13"/>
  <c r="E1392" i="19" s="1"/>
  <c r="N1376" i="13"/>
  <c r="E1376" i="19" s="1"/>
  <c r="N1360" i="13"/>
  <c r="E1360" i="19" s="1"/>
  <c r="N1338" i="13"/>
  <c r="E1338" i="19" s="1"/>
  <c r="G1315" i="19"/>
  <c r="F1315" i="19"/>
  <c r="N1305" i="13"/>
  <c r="E1305" i="19" s="1"/>
  <c r="N1071" i="13"/>
  <c r="E1071" i="19" s="1"/>
  <c r="N1055" i="13"/>
  <c r="E1055" i="19" s="1"/>
  <c r="N1039" i="13"/>
  <c r="E1039" i="19" s="1"/>
  <c r="N1023" i="13"/>
  <c r="E1023" i="19" s="1"/>
  <c r="N943" i="13"/>
  <c r="E943" i="19" s="1"/>
  <c r="N911" i="13"/>
  <c r="E911" i="19" s="1"/>
  <c r="F893" i="19"/>
  <c r="G893" i="19"/>
  <c r="F889" i="19"/>
  <c r="G889" i="19"/>
  <c r="F885" i="19"/>
  <c r="G885" i="19"/>
  <c r="N876" i="13"/>
  <c r="E876" i="19" s="1"/>
  <c r="G876" i="19" s="1"/>
  <c r="N862" i="13"/>
  <c r="E862" i="19" s="1"/>
  <c r="G862" i="19" s="1"/>
  <c r="F853" i="19"/>
  <c r="G853" i="19"/>
  <c r="N792" i="13"/>
  <c r="E792" i="19" s="1"/>
  <c r="N760" i="13"/>
  <c r="E760" i="19" s="1"/>
  <c r="N656" i="13"/>
  <c r="E656" i="19" s="1"/>
  <c r="N640" i="13"/>
  <c r="E640" i="19" s="1"/>
  <c r="F614" i="19"/>
  <c r="N598" i="13"/>
  <c r="E598" i="19" s="1"/>
  <c r="N575" i="13"/>
  <c r="E575" i="19" s="1"/>
  <c r="F1436" i="19"/>
  <c r="G1436" i="19"/>
  <c r="G1051" i="19"/>
  <c r="F1051" i="19"/>
  <c r="F995" i="19"/>
  <c r="G995" i="19"/>
  <c r="N1504" i="13"/>
  <c r="E1504" i="19" s="1"/>
  <c r="N1380" i="13"/>
  <c r="E1380" i="19" s="1"/>
  <c r="N1484" i="13"/>
  <c r="E1484" i="19" s="1"/>
  <c r="N1456" i="13"/>
  <c r="E1456" i="19" s="1"/>
  <c r="F1326" i="19"/>
  <c r="G1326" i="19"/>
  <c r="N1225" i="13"/>
  <c r="E1225" i="19" s="1"/>
  <c r="N1209" i="13"/>
  <c r="E1209" i="19" s="1"/>
  <c r="N1193" i="13"/>
  <c r="E1193" i="19" s="1"/>
  <c r="N1177" i="13"/>
  <c r="E1177" i="19" s="1"/>
  <c r="N997" i="13"/>
  <c r="E997" i="19" s="1"/>
  <c r="N971" i="13"/>
  <c r="E971" i="19" s="1"/>
  <c r="N939" i="13"/>
  <c r="E939" i="19" s="1"/>
  <c r="N907" i="13"/>
  <c r="E907" i="19" s="1"/>
  <c r="F897" i="19"/>
  <c r="G897" i="19"/>
  <c r="N884" i="13"/>
  <c r="E884" i="19" s="1"/>
  <c r="G884" i="19" s="1"/>
  <c r="N858" i="13"/>
  <c r="E858" i="19" s="1"/>
  <c r="G858" i="19" s="1"/>
  <c r="N842" i="13"/>
  <c r="E842" i="19" s="1"/>
  <c r="N780" i="13"/>
  <c r="E780" i="19" s="1"/>
  <c r="N726" i="13"/>
  <c r="E726" i="19" s="1"/>
  <c r="N710" i="13"/>
  <c r="E710" i="19" s="1"/>
  <c r="N694" i="13"/>
  <c r="E694" i="19" s="1"/>
  <c r="F613" i="19"/>
  <c r="G613" i="19"/>
  <c r="G610" i="19"/>
  <c r="F610" i="19"/>
  <c r="N563" i="13"/>
  <c r="E563" i="19" s="1"/>
  <c r="N571" i="13"/>
  <c r="E571" i="19" s="1"/>
  <c r="N554" i="13"/>
  <c r="E554" i="19" s="1"/>
  <c r="G1457" i="19"/>
  <c r="G1409" i="19"/>
  <c r="G1393" i="19"/>
  <c r="G990" i="19"/>
  <c r="F990" i="19"/>
  <c r="G994" i="19"/>
  <c r="F994" i="19"/>
  <c r="G986" i="19"/>
  <c r="F986" i="19"/>
  <c r="F974" i="19"/>
  <c r="F970" i="19"/>
  <c r="F966" i="19"/>
  <c r="F958" i="19"/>
  <c r="F954" i="19"/>
  <c r="F950" i="19"/>
  <c r="F942" i="19"/>
  <c r="F938" i="19"/>
  <c r="F934" i="19"/>
  <c r="F930" i="19"/>
  <c r="F926" i="19"/>
  <c r="F922" i="19"/>
  <c r="F918" i="19"/>
  <c r="F910" i="19"/>
  <c r="F906" i="19"/>
  <c r="F902" i="19"/>
  <c r="F898" i="19"/>
  <c r="F884" i="19"/>
  <c r="F882" i="19"/>
  <c r="F878" i="19"/>
  <c r="F876" i="19"/>
  <c r="F862" i="19"/>
  <c r="F854" i="19"/>
  <c r="G837" i="19"/>
  <c r="F837" i="19"/>
  <c r="G829" i="19"/>
  <c r="F829" i="19"/>
  <c r="H1491" i="13"/>
  <c r="J1481" i="13"/>
  <c r="H1475" i="13"/>
  <c r="J1473" i="13"/>
  <c r="J1469" i="13"/>
  <c r="H1467" i="13"/>
  <c r="F1507" i="13"/>
  <c r="L1505" i="13"/>
  <c r="F1503" i="13"/>
  <c r="F1499" i="13"/>
  <c r="L1497" i="13"/>
  <c r="F1495" i="13"/>
  <c r="L1493" i="13"/>
  <c r="L1489" i="13"/>
  <c r="L1485" i="13"/>
  <c r="F1483" i="13"/>
  <c r="L1481" i="13"/>
  <c r="J1479" i="13"/>
  <c r="F1479" i="13"/>
  <c r="L1477" i="13"/>
  <c r="L1473" i="13"/>
  <c r="F1471" i="13"/>
  <c r="L1469" i="13"/>
  <c r="L1465" i="13"/>
  <c r="J1463" i="13"/>
  <c r="N1463" i="13" s="1"/>
  <c r="E1463" i="19" s="1"/>
  <c r="F1463" i="19" s="1"/>
  <c r="F1463" i="13"/>
  <c r="H1508" i="13"/>
  <c r="M1507" i="13"/>
  <c r="N1507" i="13" s="1"/>
  <c r="E1507" i="19" s="1"/>
  <c r="F1507" i="19" s="1"/>
  <c r="I1507" i="13"/>
  <c r="N1506" i="13"/>
  <c r="E1506" i="19" s="1"/>
  <c r="K1505" i="13"/>
  <c r="C1505" i="13"/>
  <c r="H1504" i="13"/>
  <c r="M1503" i="13"/>
  <c r="N1503" i="13" s="1"/>
  <c r="E1503" i="19" s="1"/>
  <c r="F1503" i="19" s="1"/>
  <c r="I1503" i="13"/>
  <c r="N1502" i="13"/>
  <c r="E1502" i="19" s="1"/>
  <c r="K1501" i="13"/>
  <c r="C1501" i="13"/>
  <c r="H1500" i="13"/>
  <c r="M1499" i="13"/>
  <c r="N1499" i="13" s="1"/>
  <c r="E1499" i="19" s="1"/>
  <c r="F1499" i="19" s="1"/>
  <c r="I1499" i="13"/>
  <c r="N1498" i="13"/>
  <c r="E1498" i="19" s="1"/>
  <c r="K1497" i="13"/>
  <c r="C1497" i="13"/>
  <c r="H1496" i="13"/>
  <c r="M1495" i="13"/>
  <c r="N1495" i="13" s="1"/>
  <c r="E1495" i="19" s="1"/>
  <c r="F1495" i="19" s="1"/>
  <c r="I1495" i="13"/>
  <c r="N1494" i="13"/>
  <c r="E1494" i="19" s="1"/>
  <c r="K1493" i="13"/>
  <c r="C1493" i="13"/>
  <c r="H1492" i="13"/>
  <c r="M1491" i="13"/>
  <c r="N1491" i="13" s="1"/>
  <c r="E1491" i="19" s="1"/>
  <c r="F1491" i="19" s="1"/>
  <c r="I1491" i="13"/>
  <c r="N1490" i="13"/>
  <c r="E1490" i="19" s="1"/>
  <c r="K1489" i="13"/>
  <c r="C1489" i="13"/>
  <c r="H1488" i="13"/>
  <c r="M1487" i="13"/>
  <c r="N1487" i="13" s="1"/>
  <c r="E1487" i="19" s="1"/>
  <c r="F1487" i="19" s="1"/>
  <c r="I1487" i="13"/>
  <c r="N1486" i="13"/>
  <c r="E1486" i="19" s="1"/>
  <c r="K1485" i="13"/>
  <c r="C1485" i="13"/>
  <c r="H1484" i="13"/>
  <c r="M1483" i="13"/>
  <c r="N1483" i="13" s="1"/>
  <c r="E1483" i="19" s="1"/>
  <c r="F1483" i="19" s="1"/>
  <c r="I1483" i="13"/>
  <c r="N1482" i="13"/>
  <c r="E1482" i="19" s="1"/>
  <c r="K1481" i="13"/>
  <c r="C1481" i="13"/>
  <c r="H1480" i="13"/>
  <c r="M1479" i="13"/>
  <c r="I1479" i="13"/>
  <c r="N1478" i="13"/>
  <c r="E1478" i="19" s="1"/>
  <c r="K1477" i="13"/>
  <c r="C1477" i="13"/>
  <c r="H1476" i="13"/>
  <c r="M1475" i="13"/>
  <c r="N1475" i="13" s="1"/>
  <c r="E1475" i="19" s="1"/>
  <c r="F1475" i="19" s="1"/>
  <c r="I1475" i="13"/>
  <c r="N1474" i="13"/>
  <c r="E1474" i="19" s="1"/>
  <c r="K1473" i="13"/>
  <c r="C1473" i="13"/>
  <c r="H1472" i="13"/>
  <c r="M1471" i="13"/>
  <c r="N1471" i="13" s="1"/>
  <c r="E1471" i="19" s="1"/>
  <c r="F1471" i="19" s="1"/>
  <c r="I1471" i="13"/>
  <c r="N1470" i="13"/>
  <c r="E1470" i="19" s="1"/>
  <c r="K1469" i="13"/>
  <c r="C1469" i="13"/>
  <c r="H1468" i="13"/>
  <c r="M1467" i="13"/>
  <c r="N1467" i="13" s="1"/>
  <c r="E1467" i="19" s="1"/>
  <c r="F1467" i="19" s="1"/>
  <c r="I1467" i="13"/>
  <c r="N1466" i="13"/>
  <c r="E1466" i="19" s="1"/>
  <c r="K1465" i="13"/>
  <c r="C1465" i="13"/>
  <c r="H1464" i="13"/>
  <c r="M1463" i="13"/>
  <c r="I1463" i="13"/>
  <c r="N1462" i="13"/>
  <c r="E1462" i="19" s="1"/>
  <c r="K1461" i="13"/>
  <c r="C1461" i="13"/>
  <c r="H1460" i="13"/>
  <c r="M1459" i="13"/>
  <c r="N1459" i="13" s="1"/>
  <c r="E1459" i="19" s="1"/>
  <c r="F1459" i="19" s="1"/>
  <c r="I1459" i="13"/>
  <c r="N1458" i="13"/>
  <c r="E1458" i="19" s="1"/>
  <c r="K1457" i="13"/>
  <c r="C1457" i="13"/>
  <c r="H1456" i="13"/>
  <c r="M1455" i="13"/>
  <c r="N1455" i="13" s="1"/>
  <c r="E1455" i="19" s="1"/>
  <c r="F1455" i="19" s="1"/>
  <c r="I1455" i="13"/>
  <c r="N1454" i="13"/>
  <c r="E1454" i="19" s="1"/>
  <c r="K1453" i="13"/>
  <c r="C1453" i="13"/>
  <c r="H1452" i="13"/>
  <c r="M1451" i="13"/>
  <c r="N1451" i="13" s="1"/>
  <c r="E1451" i="19" s="1"/>
  <c r="F1451" i="19" s="1"/>
  <c r="I1451" i="13"/>
  <c r="N1450" i="13"/>
  <c r="E1450" i="19" s="1"/>
  <c r="K1449" i="13"/>
  <c r="C1449" i="13"/>
  <c r="H1448" i="13"/>
  <c r="M1447" i="13"/>
  <c r="N1447" i="13" s="1"/>
  <c r="E1447" i="19" s="1"/>
  <c r="F1447" i="19" s="1"/>
  <c r="I1447" i="13"/>
  <c r="N1446" i="13"/>
  <c r="E1446" i="19" s="1"/>
  <c r="K1445" i="13"/>
  <c r="C1445" i="13"/>
  <c r="H1444" i="13"/>
  <c r="M1443" i="13"/>
  <c r="N1443" i="13" s="1"/>
  <c r="E1443" i="19" s="1"/>
  <c r="F1443" i="19" s="1"/>
  <c r="I1443" i="13"/>
  <c r="N1442" i="13"/>
  <c r="E1442" i="19" s="1"/>
  <c r="K1441" i="13"/>
  <c r="C1441" i="13"/>
  <c r="H1440" i="13"/>
  <c r="M1439" i="13"/>
  <c r="N1439" i="13" s="1"/>
  <c r="E1439" i="19" s="1"/>
  <c r="F1439" i="19" s="1"/>
  <c r="I1439" i="13"/>
  <c r="N1438" i="13"/>
  <c r="E1438" i="19" s="1"/>
  <c r="K1437" i="13"/>
  <c r="C1437" i="13"/>
  <c r="H1436" i="13"/>
  <c r="M1435" i="13"/>
  <c r="N1435" i="13" s="1"/>
  <c r="E1435" i="19" s="1"/>
  <c r="F1435" i="19" s="1"/>
  <c r="I1435" i="13"/>
  <c r="N1434" i="13"/>
  <c r="E1434" i="19" s="1"/>
  <c r="K1433" i="13"/>
  <c r="C1433" i="13"/>
  <c r="H1432" i="13"/>
  <c r="M1431" i="13"/>
  <c r="N1431" i="13" s="1"/>
  <c r="E1431" i="19" s="1"/>
  <c r="F1431" i="19" s="1"/>
  <c r="I1431" i="13"/>
  <c r="N1430" i="13"/>
  <c r="E1430" i="19" s="1"/>
  <c r="K1429" i="13"/>
  <c r="C1429" i="13"/>
  <c r="H1428" i="13"/>
  <c r="M1427" i="13"/>
  <c r="N1427" i="13" s="1"/>
  <c r="E1427" i="19" s="1"/>
  <c r="F1427" i="19" s="1"/>
  <c r="I1427" i="13"/>
  <c r="N1426" i="13"/>
  <c r="E1426" i="19" s="1"/>
  <c r="K1425" i="13"/>
  <c r="C1425" i="13"/>
  <c r="H1424" i="13"/>
  <c r="M1423" i="13"/>
  <c r="N1423" i="13" s="1"/>
  <c r="E1423" i="19" s="1"/>
  <c r="F1423" i="19" s="1"/>
  <c r="I1423" i="13"/>
  <c r="N1422" i="13"/>
  <c r="E1422" i="19" s="1"/>
  <c r="K1421" i="13"/>
  <c r="C1421" i="13"/>
  <c r="H1420" i="13"/>
  <c r="M1419" i="13"/>
  <c r="N1419" i="13" s="1"/>
  <c r="E1419" i="19" s="1"/>
  <c r="F1419" i="19" s="1"/>
  <c r="I1419" i="13"/>
  <c r="N1418" i="13"/>
  <c r="E1418" i="19" s="1"/>
  <c r="K1417" i="13"/>
  <c r="C1417" i="13"/>
  <c r="H1416" i="13"/>
  <c r="M1415" i="13"/>
  <c r="N1415" i="13" s="1"/>
  <c r="E1415" i="19" s="1"/>
  <c r="F1415" i="19" s="1"/>
  <c r="I1415" i="13"/>
  <c r="N1414" i="13"/>
  <c r="E1414" i="19" s="1"/>
  <c r="K1413" i="13"/>
  <c r="C1413" i="13"/>
  <c r="H1412" i="13"/>
  <c r="M1411" i="13"/>
  <c r="N1411" i="13" s="1"/>
  <c r="E1411" i="19" s="1"/>
  <c r="F1411" i="19" s="1"/>
  <c r="I1411" i="13"/>
  <c r="N1410" i="13"/>
  <c r="E1410" i="19" s="1"/>
  <c r="K1409" i="13"/>
  <c r="C1409" i="13"/>
  <c r="H1408" i="13"/>
  <c r="M1407" i="13"/>
  <c r="N1407" i="13" s="1"/>
  <c r="E1407" i="19" s="1"/>
  <c r="F1407" i="19" s="1"/>
  <c r="I1407" i="13"/>
  <c r="N1406" i="13"/>
  <c r="E1406" i="19" s="1"/>
  <c r="K1405" i="13"/>
  <c r="C1405" i="13"/>
  <c r="H1404" i="13"/>
  <c r="M1403" i="13"/>
  <c r="N1403" i="13" s="1"/>
  <c r="E1403" i="19" s="1"/>
  <c r="F1403" i="19" s="1"/>
  <c r="I1403" i="13"/>
  <c r="N1402" i="13"/>
  <c r="E1402" i="19" s="1"/>
  <c r="K1401" i="13"/>
  <c r="C1401" i="13"/>
  <c r="H1400" i="13"/>
  <c r="M1399" i="13"/>
  <c r="N1399" i="13" s="1"/>
  <c r="E1399" i="19" s="1"/>
  <c r="F1399" i="19" s="1"/>
  <c r="I1399" i="13"/>
  <c r="N1398" i="13"/>
  <c r="E1398" i="19" s="1"/>
  <c r="K1397" i="13"/>
  <c r="C1397" i="13"/>
  <c r="H1396" i="13"/>
  <c r="M1395" i="13"/>
  <c r="N1395" i="13" s="1"/>
  <c r="E1395" i="19" s="1"/>
  <c r="F1395" i="19" s="1"/>
  <c r="I1395" i="13"/>
  <c r="N1394" i="13"/>
  <c r="E1394" i="19" s="1"/>
  <c r="K1393" i="13"/>
  <c r="C1393" i="13"/>
  <c r="H1392" i="13"/>
  <c r="M1391" i="13"/>
  <c r="N1391" i="13" s="1"/>
  <c r="E1391" i="19" s="1"/>
  <c r="F1391" i="19" s="1"/>
  <c r="I1391" i="13"/>
  <c r="N1390" i="13"/>
  <c r="E1390" i="19" s="1"/>
  <c r="K1389" i="13"/>
  <c r="C1389" i="13"/>
  <c r="H1388" i="13"/>
  <c r="M1387" i="13"/>
  <c r="N1387" i="13" s="1"/>
  <c r="E1387" i="19" s="1"/>
  <c r="F1387" i="19" s="1"/>
  <c r="I1387" i="13"/>
  <c r="N1386" i="13"/>
  <c r="E1386" i="19" s="1"/>
  <c r="K1385" i="13"/>
  <c r="C1385" i="13"/>
  <c r="H1384" i="13"/>
  <c r="M1383" i="13"/>
  <c r="N1383" i="13" s="1"/>
  <c r="E1383" i="19" s="1"/>
  <c r="F1383" i="19" s="1"/>
  <c r="I1383" i="13"/>
  <c r="N1382" i="13"/>
  <c r="E1382" i="19" s="1"/>
  <c r="K1381" i="13"/>
  <c r="C1381" i="13"/>
  <c r="H1380" i="13"/>
  <c r="M1379" i="13"/>
  <c r="N1379" i="13" s="1"/>
  <c r="E1379" i="19" s="1"/>
  <c r="F1379" i="19" s="1"/>
  <c r="I1379" i="13"/>
  <c r="N1378" i="13"/>
  <c r="E1378" i="19" s="1"/>
  <c r="K1377" i="13"/>
  <c r="C1377" i="13"/>
  <c r="H1376" i="13"/>
  <c r="M1375" i="13"/>
  <c r="N1375" i="13" s="1"/>
  <c r="E1375" i="19" s="1"/>
  <c r="F1375" i="19" s="1"/>
  <c r="I1375" i="13"/>
  <c r="N1374" i="13"/>
  <c r="E1374" i="19" s="1"/>
  <c r="K1373" i="13"/>
  <c r="C1373" i="13"/>
  <c r="H1372" i="13"/>
  <c r="M1371" i="13"/>
  <c r="N1371" i="13" s="1"/>
  <c r="E1371" i="19" s="1"/>
  <c r="F1371" i="19" s="1"/>
  <c r="I1371" i="13"/>
  <c r="N1370" i="13"/>
  <c r="E1370" i="19" s="1"/>
  <c r="K1369" i="13"/>
  <c r="C1369" i="13"/>
  <c r="H1368" i="13"/>
  <c r="M1367" i="13"/>
  <c r="N1367" i="13" s="1"/>
  <c r="E1367" i="19" s="1"/>
  <c r="I1367" i="13"/>
  <c r="N1366" i="13"/>
  <c r="E1366" i="19" s="1"/>
  <c r="K1365" i="13"/>
  <c r="C1365" i="13"/>
  <c r="H1364" i="13"/>
  <c r="M1363" i="13"/>
  <c r="N1363" i="13" s="1"/>
  <c r="E1363" i="19" s="1"/>
  <c r="G1363" i="19" s="1"/>
  <c r="I1363" i="13"/>
  <c r="N1362" i="13"/>
  <c r="E1362" i="19" s="1"/>
  <c r="K1361" i="13"/>
  <c r="C1361" i="13"/>
  <c r="H1360" i="13"/>
  <c r="M1359" i="13"/>
  <c r="N1359" i="13" s="1"/>
  <c r="E1359" i="19" s="1"/>
  <c r="I1359" i="13"/>
  <c r="N1358" i="13"/>
  <c r="E1358" i="19" s="1"/>
  <c r="K1357" i="13"/>
  <c r="C1357" i="13"/>
  <c r="H1356" i="13"/>
  <c r="M1355" i="13"/>
  <c r="N1355" i="13" s="1"/>
  <c r="E1355" i="19" s="1"/>
  <c r="G1355" i="19" s="1"/>
  <c r="I1355" i="13"/>
  <c r="N1354" i="13"/>
  <c r="E1354" i="19" s="1"/>
  <c r="K1353" i="13"/>
  <c r="C1353" i="13"/>
  <c r="H1352" i="13"/>
  <c r="M1351" i="13"/>
  <c r="N1351" i="13" s="1"/>
  <c r="E1351" i="19" s="1"/>
  <c r="I1351" i="13"/>
  <c r="N1350" i="13"/>
  <c r="E1350" i="19" s="1"/>
  <c r="K1349" i="13"/>
  <c r="C1349" i="13"/>
  <c r="H1348" i="13"/>
  <c r="M1347" i="13"/>
  <c r="N1347" i="13" s="1"/>
  <c r="E1347" i="19" s="1"/>
  <c r="G1347" i="19" s="1"/>
  <c r="I1347" i="13"/>
  <c r="K1345" i="13"/>
  <c r="C1345" i="13"/>
  <c r="L1344" i="13"/>
  <c r="H1344" i="13"/>
  <c r="M1343" i="13"/>
  <c r="N1343" i="13" s="1"/>
  <c r="E1343" i="19" s="1"/>
  <c r="K1341" i="13"/>
  <c r="C1341" i="13"/>
  <c r="L1340" i="13"/>
  <c r="H1340" i="13"/>
  <c r="M1339" i="13"/>
  <c r="N1339" i="13" s="1"/>
  <c r="E1339" i="19" s="1"/>
  <c r="G1339" i="19" s="1"/>
  <c r="K1337" i="13"/>
  <c r="C1337" i="13"/>
  <c r="L1336" i="13"/>
  <c r="H1336" i="13"/>
  <c r="M1335" i="13"/>
  <c r="N1335" i="13" s="1"/>
  <c r="E1335" i="19" s="1"/>
  <c r="K1333" i="13"/>
  <c r="C1333" i="13"/>
  <c r="L1332" i="13"/>
  <c r="H1332" i="13"/>
  <c r="M1331" i="13"/>
  <c r="N1331" i="13" s="1"/>
  <c r="E1331" i="19" s="1"/>
  <c r="G1331" i="19" s="1"/>
  <c r="K1329" i="13"/>
  <c r="C1329" i="13"/>
  <c r="L1328" i="13"/>
  <c r="H1328" i="13"/>
  <c r="M1327" i="13"/>
  <c r="N1327" i="13" s="1"/>
  <c r="E1327" i="19" s="1"/>
  <c r="K1325" i="13"/>
  <c r="C1325" i="13"/>
  <c r="L1324" i="13"/>
  <c r="H1324" i="13"/>
  <c r="M1323" i="13"/>
  <c r="N1323" i="13" s="1"/>
  <c r="E1323" i="19" s="1"/>
  <c r="G1323" i="19" s="1"/>
  <c r="K1321" i="13"/>
  <c r="C1321" i="13"/>
  <c r="L1320" i="13"/>
  <c r="H1320" i="13"/>
  <c r="M1319" i="13"/>
  <c r="N1319" i="13" s="1"/>
  <c r="E1319" i="19" s="1"/>
  <c r="K1317" i="13"/>
  <c r="C1317" i="13"/>
  <c r="L1316" i="13"/>
  <c r="H1316" i="13"/>
  <c r="K1313" i="13"/>
  <c r="C1313" i="13"/>
  <c r="L1312" i="13"/>
  <c r="C1300" i="13"/>
  <c r="K1300" i="13"/>
  <c r="I1300" i="13"/>
  <c r="M1300" i="13"/>
  <c r="N1300" i="13" s="1"/>
  <c r="E1300" i="19" s="1"/>
  <c r="C1292" i="13"/>
  <c r="K1292" i="13"/>
  <c r="I1292" i="13"/>
  <c r="M1292" i="13"/>
  <c r="N1292" i="13" s="1"/>
  <c r="E1292" i="19" s="1"/>
  <c r="C1284" i="13"/>
  <c r="K1284" i="13"/>
  <c r="I1284" i="13"/>
  <c r="M1284" i="13"/>
  <c r="N1284" i="13" s="1"/>
  <c r="E1284" i="19" s="1"/>
  <c r="C1276" i="13"/>
  <c r="K1276" i="13"/>
  <c r="I1276" i="13"/>
  <c r="M1276" i="13"/>
  <c r="N1276" i="13" s="1"/>
  <c r="E1276" i="19" s="1"/>
  <c r="C1268" i="13"/>
  <c r="K1268" i="13"/>
  <c r="I1268" i="13"/>
  <c r="M1268" i="13"/>
  <c r="N1268" i="13" s="1"/>
  <c r="E1268" i="19" s="1"/>
  <c r="C1260" i="13"/>
  <c r="K1260" i="13"/>
  <c r="I1260" i="13"/>
  <c r="M1260" i="13"/>
  <c r="N1260" i="13" s="1"/>
  <c r="E1260" i="19" s="1"/>
  <c r="C1252" i="13"/>
  <c r="K1252" i="13"/>
  <c r="I1252" i="13"/>
  <c r="M1252" i="13"/>
  <c r="N1252" i="13" s="1"/>
  <c r="E1252" i="19" s="1"/>
  <c r="N1249" i="13"/>
  <c r="E1249" i="19" s="1"/>
  <c r="H1249" i="13"/>
  <c r="L1242" i="13"/>
  <c r="I1242" i="13"/>
  <c r="M1242" i="13"/>
  <c r="C1242" i="13"/>
  <c r="K1242" i="13"/>
  <c r="H1236" i="13"/>
  <c r="J1497" i="13"/>
  <c r="C1308" i="13"/>
  <c r="K1308" i="13"/>
  <c r="C1304" i="13"/>
  <c r="K1304" i="13"/>
  <c r="I1302" i="13"/>
  <c r="M1302" i="13"/>
  <c r="C1302" i="13"/>
  <c r="K1302" i="13"/>
  <c r="H1299" i="13"/>
  <c r="N1299" i="13"/>
  <c r="E1299" i="19" s="1"/>
  <c r="N1297" i="13"/>
  <c r="E1297" i="19" s="1"/>
  <c r="H1297" i="13"/>
  <c r="I1294" i="13"/>
  <c r="M1294" i="13"/>
  <c r="C1294" i="13"/>
  <c r="K1294" i="13"/>
  <c r="H1291" i="13"/>
  <c r="N1291" i="13"/>
  <c r="E1291" i="19" s="1"/>
  <c r="N1289" i="13"/>
  <c r="E1289" i="19" s="1"/>
  <c r="H1289" i="13"/>
  <c r="I1286" i="13"/>
  <c r="M1286" i="13"/>
  <c r="C1286" i="13"/>
  <c r="K1286" i="13"/>
  <c r="H1283" i="13"/>
  <c r="N1283" i="13"/>
  <c r="E1283" i="19" s="1"/>
  <c r="N1281" i="13"/>
  <c r="E1281" i="19" s="1"/>
  <c r="H1281" i="13"/>
  <c r="I1278" i="13"/>
  <c r="M1278" i="13"/>
  <c r="C1278" i="13"/>
  <c r="K1278" i="13"/>
  <c r="H1275" i="13"/>
  <c r="N1275" i="13"/>
  <c r="E1275" i="19" s="1"/>
  <c r="N1273" i="13"/>
  <c r="E1273" i="19" s="1"/>
  <c r="H1273" i="13"/>
  <c r="I1270" i="13"/>
  <c r="M1270" i="13"/>
  <c r="C1270" i="13"/>
  <c r="K1270" i="13"/>
  <c r="H1267" i="13"/>
  <c r="N1267" i="13"/>
  <c r="E1267" i="19" s="1"/>
  <c r="N1265" i="13"/>
  <c r="E1265" i="19" s="1"/>
  <c r="H1265" i="13"/>
  <c r="I1262" i="13"/>
  <c r="M1262" i="13"/>
  <c r="C1262" i="13"/>
  <c r="K1262" i="13"/>
  <c r="H1259" i="13"/>
  <c r="N1259" i="13"/>
  <c r="E1259" i="19" s="1"/>
  <c r="N1257" i="13"/>
  <c r="E1257" i="19" s="1"/>
  <c r="H1257" i="13"/>
  <c r="I1254" i="13"/>
  <c r="M1254" i="13"/>
  <c r="C1254" i="13"/>
  <c r="K1254" i="13"/>
  <c r="H1251" i="13"/>
  <c r="N1251" i="13"/>
  <c r="E1251" i="19" s="1"/>
  <c r="L1246" i="13"/>
  <c r="I1246" i="13"/>
  <c r="M1246" i="13"/>
  <c r="C1246" i="13"/>
  <c r="K1246" i="13"/>
  <c r="H1240" i="13"/>
  <c r="N1237" i="13"/>
  <c r="E1237" i="19" s="1"/>
  <c r="H1237" i="13"/>
  <c r="J1501" i="13"/>
  <c r="J1489" i="13"/>
  <c r="N1473" i="13"/>
  <c r="E1473" i="19" s="1"/>
  <c r="F1473" i="19" s="1"/>
  <c r="J1461" i="13"/>
  <c r="H1447" i="13"/>
  <c r="K1507" i="13"/>
  <c r="M1505" i="13"/>
  <c r="N1505" i="13" s="1"/>
  <c r="E1505" i="19" s="1"/>
  <c r="F1505" i="19" s="1"/>
  <c r="I1505" i="13"/>
  <c r="K1503" i="13"/>
  <c r="M1501" i="13"/>
  <c r="I1501" i="13"/>
  <c r="K1499" i="13"/>
  <c r="M1497" i="13"/>
  <c r="K1495" i="13"/>
  <c r="M1493" i="13"/>
  <c r="N1493" i="13" s="1"/>
  <c r="E1493" i="19" s="1"/>
  <c r="F1493" i="19" s="1"/>
  <c r="I1493" i="13"/>
  <c r="K1491" i="13"/>
  <c r="M1489" i="13"/>
  <c r="K1487" i="13"/>
  <c r="M1485" i="13"/>
  <c r="N1485" i="13" s="1"/>
  <c r="E1485" i="19" s="1"/>
  <c r="I1485" i="13"/>
  <c r="K1483" i="13"/>
  <c r="M1481" i="13"/>
  <c r="K1479" i="13"/>
  <c r="M1477" i="13"/>
  <c r="N1477" i="13" s="1"/>
  <c r="E1477" i="19" s="1"/>
  <c r="F1477" i="19" s="1"/>
  <c r="I1477" i="13"/>
  <c r="K1475" i="13"/>
  <c r="M1473" i="13"/>
  <c r="K1471" i="13"/>
  <c r="M1469" i="13"/>
  <c r="K1467" i="13"/>
  <c r="M1465" i="13"/>
  <c r="N1465" i="13" s="1"/>
  <c r="E1465" i="19" s="1"/>
  <c r="F1465" i="19" s="1"/>
  <c r="K1463" i="13"/>
  <c r="M1461" i="13"/>
  <c r="I1461" i="13"/>
  <c r="K1459" i="13"/>
  <c r="M1457" i="13"/>
  <c r="N1457" i="13" s="1"/>
  <c r="E1457" i="19" s="1"/>
  <c r="F1457" i="19" s="1"/>
  <c r="I1457" i="13"/>
  <c r="K1455" i="13"/>
  <c r="M1453" i="13"/>
  <c r="N1453" i="13" s="1"/>
  <c r="E1453" i="19" s="1"/>
  <c r="F1453" i="19" s="1"/>
  <c r="I1453" i="13"/>
  <c r="K1451" i="13"/>
  <c r="M1449" i="13"/>
  <c r="N1449" i="13" s="1"/>
  <c r="E1449" i="19" s="1"/>
  <c r="F1449" i="19" s="1"/>
  <c r="I1449" i="13"/>
  <c r="K1447" i="13"/>
  <c r="M1445" i="13"/>
  <c r="N1445" i="13" s="1"/>
  <c r="E1445" i="19" s="1"/>
  <c r="F1445" i="19" s="1"/>
  <c r="I1445" i="13"/>
  <c r="K1443" i="13"/>
  <c r="M1441" i="13"/>
  <c r="N1441" i="13" s="1"/>
  <c r="E1441" i="19" s="1"/>
  <c r="F1441" i="19" s="1"/>
  <c r="I1441" i="13"/>
  <c r="K1439" i="13"/>
  <c r="M1437" i="13"/>
  <c r="N1437" i="13" s="1"/>
  <c r="E1437" i="19" s="1"/>
  <c r="F1437" i="19" s="1"/>
  <c r="I1437" i="13"/>
  <c r="K1435" i="13"/>
  <c r="M1433" i="13"/>
  <c r="N1433" i="13" s="1"/>
  <c r="E1433" i="19" s="1"/>
  <c r="F1433" i="19" s="1"/>
  <c r="I1433" i="13"/>
  <c r="K1431" i="13"/>
  <c r="M1429" i="13"/>
  <c r="N1429" i="13" s="1"/>
  <c r="E1429" i="19" s="1"/>
  <c r="F1429" i="19" s="1"/>
  <c r="I1429" i="13"/>
  <c r="K1427" i="13"/>
  <c r="M1425" i="13"/>
  <c r="N1425" i="13" s="1"/>
  <c r="E1425" i="19" s="1"/>
  <c r="F1425" i="19" s="1"/>
  <c r="I1425" i="13"/>
  <c r="K1423" i="13"/>
  <c r="M1421" i="13"/>
  <c r="N1421" i="13" s="1"/>
  <c r="E1421" i="19" s="1"/>
  <c r="F1421" i="19" s="1"/>
  <c r="I1421" i="13"/>
  <c r="K1419" i="13"/>
  <c r="M1417" i="13"/>
  <c r="N1417" i="13" s="1"/>
  <c r="E1417" i="19" s="1"/>
  <c r="F1417" i="19" s="1"/>
  <c r="I1417" i="13"/>
  <c r="K1415" i="13"/>
  <c r="M1413" i="13"/>
  <c r="N1413" i="13" s="1"/>
  <c r="E1413" i="19" s="1"/>
  <c r="F1413" i="19" s="1"/>
  <c r="I1413" i="13"/>
  <c r="K1411" i="13"/>
  <c r="M1409" i="13"/>
  <c r="N1409" i="13" s="1"/>
  <c r="E1409" i="19" s="1"/>
  <c r="F1409" i="19" s="1"/>
  <c r="I1409" i="13"/>
  <c r="K1407" i="13"/>
  <c r="M1405" i="13"/>
  <c r="N1405" i="13" s="1"/>
  <c r="E1405" i="19" s="1"/>
  <c r="F1405" i="19" s="1"/>
  <c r="I1405" i="13"/>
  <c r="K1403" i="13"/>
  <c r="M1401" i="13"/>
  <c r="N1401" i="13" s="1"/>
  <c r="E1401" i="19" s="1"/>
  <c r="F1401" i="19" s="1"/>
  <c r="I1401" i="13"/>
  <c r="K1399" i="13"/>
  <c r="M1397" i="13"/>
  <c r="N1397" i="13" s="1"/>
  <c r="E1397" i="19" s="1"/>
  <c r="F1397" i="19" s="1"/>
  <c r="I1397" i="13"/>
  <c r="K1395" i="13"/>
  <c r="M1393" i="13"/>
  <c r="N1393" i="13" s="1"/>
  <c r="E1393" i="19" s="1"/>
  <c r="F1393" i="19" s="1"/>
  <c r="I1393" i="13"/>
  <c r="K1391" i="13"/>
  <c r="M1389" i="13"/>
  <c r="N1389" i="13" s="1"/>
  <c r="E1389" i="19" s="1"/>
  <c r="F1389" i="19" s="1"/>
  <c r="I1389" i="13"/>
  <c r="K1387" i="13"/>
  <c r="M1385" i="13"/>
  <c r="N1385" i="13" s="1"/>
  <c r="E1385" i="19" s="1"/>
  <c r="F1385" i="19" s="1"/>
  <c r="I1385" i="13"/>
  <c r="K1383" i="13"/>
  <c r="M1381" i="13"/>
  <c r="N1381" i="13" s="1"/>
  <c r="E1381" i="19" s="1"/>
  <c r="F1381" i="19" s="1"/>
  <c r="I1381" i="13"/>
  <c r="K1379" i="13"/>
  <c r="M1377" i="13"/>
  <c r="N1377" i="13" s="1"/>
  <c r="E1377" i="19" s="1"/>
  <c r="F1377" i="19" s="1"/>
  <c r="I1377" i="13"/>
  <c r="K1375" i="13"/>
  <c r="M1373" i="13"/>
  <c r="N1373" i="13" s="1"/>
  <c r="E1373" i="19" s="1"/>
  <c r="F1373" i="19" s="1"/>
  <c r="I1373" i="13"/>
  <c r="K1371" i="13"/>
  <c r="M1369" i="13"/>
  <c r="N1369" i="13" s="1"/>
  <c r="E1369" i="19" s="1"/>
  <c r="I1369" i="13"/>
  <c r="K1367" i="13"/>
  <c r="M1365" i="13"/>
  <c r="N1365" i="13" s="1"/>
  <c r="E1365" i="19" s="1"/>
  <c r="G1365" i="19" s="1"/>
  <c r="I1365" i="13"/>
  <c r="K1363" i="13"/>
  <c r="M1361" i="13"/>
  <c r="N1361" i="13" s="1"/>
  <c r="E1361" i="19" s="1"/>
  <c r="I1361" i="13"/>
  <c r="K1359" i="13"/>
  <c r="M1357" i="13"/>
  <c r="N1357" i="13" s="1"/>
  <c r="E1357" i="19" s="1"/>
  <c r="G1357" i="19" s="1"/>
  <c r="I1357" i="13"/>
  <c r="K1355" i="13"/>
  <c r="M1353" i="13"/>
  <c r="N1353" i="13" s="1"/>
  <c r="E1353" i="19" s="1"/>
  <c r="I1353" i="13"/>
  <c r="K1351" i="13"/>
  <c r="M1349" i="13"/>
  <c r="N1349" i="13" s="1"/>
  <c r="E1349" i="19" s="1"/>
  <c r="G1349" i="19" s="1"/>
  <c r="I1349" i="13"/>
  <c r="M1345" i="13"/>
  <c r="N1345" i="13" s="1"/>
  <c r="E1345" i="19" s="1"/>
  <c r="I1345" i="13"/>
  <c r="M1341" i="13"/>
  <c r="N1341" i="13" s="1"/>
  <c r="E1341" i="19" s="1"/>
  <c r="G1341" i="19" s="1"/>
  <c r="I1341" i="13"/>
  <c r="M1337" i="13"/>
  <c r="N1337" i="13" s="1"/>
  <c r="E1337" i="19" s="1"/>
  <c r="I1337" i="13"/>
  <c r="M1333" i="13"/>
  <c r="N1333" i="13" s="1"/>
  <c r="E1333" i="19" s="1"/>
  <c r="G1333" i="19" s="1"/>
  <c r="I1333" i="13"/>
  <c r="M1329" i="13"/>
  <c r="N1329" i="13" s="1"/>
  <c r="E1329" i="19" s="1"/>
  <c r="I1329" i="13"/>
  <c r="M1325" i="13"/>
  <c r="N1325" i="13" s="1"/>
  <c r="E1325" i="19" s="1"/>
  <c r="G1325" i="19" s="1"/>
  <c r="I1325" i="13"/>
  <c r="M1321" i="13"/>
  <c r="N1321" i="13" s="1"/>
  <c r="E1321" i="19" s="1"/>
  <c r="I1321" i="13"/>
  <c r="M1317" i="13"/>
  <c r="N1317" i="13" s="1"/>
  <c r="E1317" i="19" s="1"/>
  <c r="I1317" i="13"/>
  <c r="M1313" i="13"/>
  <c r="N1313" i="13" s="1"/>
  <c r="E1313" i="19" s="1"/>
  <c r="I1313" i="13"/>
  <c r="J1312" i="13"/>
  <c r="J1308" i="13"/>
  <c r="J1304" i="13"/>
  <c r="N1304" i="13" s="1"/>
  <c r="E1304" i="19" s="1"/>
  <c r="L1302" i="13"/>
  <c r="C1296" i="13"/>
  <c r="K1296" i="13"/>
  <c r="I1296" i="13"/>
  <c r="M1296" i="13"/>
  <c r="N1296" i="13" s="1"/>
  <c r="E1296" i="19" s="1"/>
  <c r="L1294" i="13"/>
  <c r="C1288" i="13"/>
  <c r="K1288" i="13"/>
  <c r="I1288" i="13"/>
  <c r="M1288" i="13"/>
  <c r="N1288" i="13" s="1"/>
  <c r="E1288" i="19" s="1"/>
  <c r="C1280" i="13"/>
  <c r="K1280" i="13"/>
  <c r="I1280" i="13"/>
  <c r="M1280" i="13"/>
  <c r="N1280" i="13" s="1"/>
  <c r="E1280" i="19" s="1"/>
  <c r="C1272" i="13"/>
  <c r="K1272" i="13"/>
  <c r="I1272" i="13"/>
  <c r="M1272" i="13"/>
  <c r="N1272" i="13" s="1"/>
  <c r="E1272" i="19" s="1"/>
  <c r="C1264" i="13"/>
  <c r="K1264" i="13"/>
  <c r="I1264" i="13"/>
  <c r="M1264" i="13"/>
  <c r="N1264" i="13" s="1"/>
  <c r="E1264" i="19" s="1"/>
  <c r="C1256" i="13"/>
  <c r="K1256" i="13"/>
  <c r="I1256" i="13"/>
  <c r="M1256" i="13"/>
  <c r="N1256" i="13" s="1"/>
  <c r="E1256" i="19" s="1"/>
  <c r="L1250" i="13"/>
  <c r="I1250" i="13"/>
  <c r="M1250" i="13"/>
  <c r="C1250" i="13"/>
  <c r="K1250" i="13"/>
  <c r="H1244" i="13"/>
  <c r="J1242" i="13"/>
  <c r="N1241" i="13"/>
  <c r="E1241" i="19" s="1"/>
  <c r="H1241" i="13"/>
  <c r="L1234" i="13"/>
  <c r="I1234" i="13"/>
  <c r="M1234" i="13"/>
  <c r="C1234" i="13"/>
  <c r="K1234" i="13"/>
  <c r="H1487" i="13"/>
  <c r="M1344" i="13"/>
  <c r="N1344" i="13" s="1"/>
  <c r="E1344" i="19" s="1"/>
  <c r="M1340" i="13"/>
  <c r="N1340" i="13" s="1"/>
  <c r="E1340" i="19" s="1"/>
  <c r="M1336" i="13"/>
  <c r="N1336" i="13" s="1"/>
  <c r="E1336" i="19" s="1"/>
  <c r="M1332" i="13"/>
  <c r="N1332" i="13" s="1"/>
  <c r="E1332" i="19" s="1"/>
  <c r="M1328" i="13"/>
  <c r="N1328" i="13" s="1"/>
  <c r="E1328" i="19" s="1"/>
  <c r="M1324" i="13"/>
  <c r="N1324" i="13" s="1"/>
  <c r="E1324" i="19" s="1"/>
  <c r="M1320" i="13"/>
  <c r="N1320" i="13" s="1"/>
  <c r="E1320" i="19" s="1"/>
  <c r="M1316" i="13"/>
  <c r="N1316" i="13" s="1"/>
  <c r="E1316" i="19" s="1"/>
  <c r="M1312" i="13"/>
  <c r="I1312" i="13"/>
  <c r="C1311" i="13"/>
  <c r="I1310" i="13"/>
  <c r="M1310" i="13"/>
  <c r="N1310" i="13" s="1"/>
  <c r="E1310" i="19" s="1"/>
  <c r="N1308" i="13"/>
  <c r="E1308" i="19" s="1"/>
  <c r="I1308" i="13"/>
  <c r="C1307" i="13"/>
  <c r="I1306" i="13"/>
  <c r="M1306" i="13"/>
  <c r="N1306" i="13" s="1"/>
  <c r="E1306" i="19" s="1"/>
  <c r="I1304" i="13"/>
  <c r="J1302" i="13"/>
  <c r="N1301" i="13"/>
  <c r="E1301" i="19" s="1"/>
  <c r="H1301" i="13"/>
  <c r="I1298" i="13"/>
  <c r="M1298" i="13"/>
  <c r="N1298" i="13" s="1"/>
  <c r="E1298" i="19" s="1"/>
  <c r="C1298" i="13"/>
  <c r="K1298" i="13"/>
  <c r="L1296" i="13"/>
  <c r="H1295" i="13"/>
  <c r="N1295" i="13"/>
  <c r="E1295" i="19" s="1"/>
  <c r="J1294" i="13"/>
  <c r="N1294" i="13" s="1"/>
  <c r="E1294" i="19" s="1"/>
  <c r="N1293" i="13"/>
  <c r="E1293" i="19" s="1"/>
  <c r="H1293" i="13"/>
  <c r="I1290" i="13"/>
  <c r="M1290" i="13"/>
  <c r="N1290" i="13" s="1"/>
  <c r="E1290" i="19" s="1"/>
  <c r="C1290" i="13"/>
  <c r="K1290" i="13"/>
  <c r="L1288" i="13"/>
  <c r="H1287" i="13"/>
  <c r="N1287" i="13"/>
  <c r="E1287" i="19" s="1"/>
  <c r="J1286" i="13"/>
  <c r="N1285" i="13"/>
  <c r="E1285" i="19" s="1"/>
  <c r="H1285" i="13"/>
  <c r="I1282" i="13"/>
  <c r="M1282" i="13"/>
  <c r="N1282" i="13" s="1"/>
  <c r="E1282" i="19" s="1"/>
  <c r="C1282" i="13"/>
  <c r="K1282" i="13"/>
  <c r="L1280" i="13"/>
  <c r="H1279" i="13"/>
  <c r="N1279" i="13"/>
  <c r="E1279" i="19" s="1"/>
  <c r="J1278" i="13"/>
  <c r="N1278" i="13" s="1"/>
  <c r="E1278" i="19" s="1"/>
  <c r="N1277" i="13"/>
  <c r="E1277" i="19" s="1"/>
  <c r="H1277" i="13"/>
  <c r="I1274" i="13"/>
  <c r="M1274" i="13"/>
  <c r="N1274" i="13" s="1"/>
  <c r="E1274" i="19" s="1"/>
  <c r="C1274" i="13"/>
  <c r="K1274" i="13"/>
  <c r="L1272" i="13"/>
  <c r="H1271" i="13"/>
  <c r="N1271" i="13"/>
  <c r="E1271" i="19" s="1"/>
  <c r="J1270" i="13"/>
  <c r="N1269" i="13"/>
  <c r="E1269" i="19" s="1"/>
  <c r="H1269" i="13"/>
  <c r="I1266" i="13"/>
  <c r="M1266" i="13"/>
  <c r="N1266" i="13" s="1"/>
  <c r="E1266" i="19" s="1"/>
  <c r="C1266" i="13"/>
  <c r="K1266" i="13"/>
  <c r="L1264" i="13"/>
  <c r="H1263" i="13"/>
  <c r="N1263" i="13"/>
  <c r="E1263" i="19" s="1"/>
  <c r="J1262" i="13"/>
  <c r="N1262" i="13" s="1"/>
  <c r="E1262" i="19" s="1"/>
  <c r="N1261" i="13"/>
  <c r="E1261" i="19" s="1"/>
  <c r="H1261" i="13"/>
  <c r="I1258" i="13"/>
  <c r="M1258" i="13"/>
  <c r="N1258" i="13" s="1"/>
  <c r="E1258" i="19" s="1"/>
  <c r="C1258" i="13"/>
  <c r="K1258" i="13"/>
  <c r="L1256" i="13"/>
  <c r="H1255" i="13"/>
  <c r="N1255" i="13"/>
  <c r="E1255" i="19" s="1"/>
  <c r="J1254" i="13"/>
  <c r="N1253" i="13"/>
  <c r="E1253" i="19" s="1"/>
  <c r="H1253" i="13"/>
  <c r="N1250" i="13"/>
  <c r="E1250" i="19" s="1"/>
  <c r="H1248" i="13"/>
  <c r="J1246" i="13"/>
  <c r="N1246" i="13" s="1"/>
  <c r="E1246" i="19" s="1"/>
  <c r="N1245" i="13"/>
  <c r="E1245" i="19" s="1"/>
  <c r="H1245" i="13"/>
  <c r="L1238" i="13"/>
  <c r="I1238" i="13"/>
  <c r="M1238" i="13"/>
  <c r="N1238" i="13" s="1"/>
  <c r="E1238" i="19" s="1"/>
  <c r="C1238" i="13"/>
  <c r="K1238" i="13"/>
  <c r="N1234" i="13"/>
  <c r="E1234" i="19" s="1"/>
  <c r="M1248" i="13"/>
  <c r="N1248" i="13" s="1"/>
  <c r="E1248" i="19" s="1"/>
  <c r="I1248" i="13"/>
  <c r="N1247" i="13"/>
  <c r="E1247" i="19" s="1"/>
  <c r="M1244" i="13"/>
  <c r="N1244" i="13" s="1"/>
  <c r="E1244" i="19" s="1"/>
  <c r="I1244" i="13"/>
  <c r="N1243" i="13"/>
  <c r="E1243" i="19" s="1"/>
  <c r="M1240" i="13"/>
  <c r="N1240" i="13" s="1"/>
  <c r="E1240" i="19" s="1"/>
  <c r="I1240" i="13"/>
  <c r="N1239" i="13"/>
  <c r="E1239" i="19" s="1"/>
  <c r="M1236" i="13"/>
  <c r="N1236" i="13" s="1"/>
  <c r="E1236" i="19" s="1"/>
  <c r="I1236" i="13"/>
  <c r="N1235" i="13"/>
  <c r="E1235" i="19" s="1"/>
  <c r="H1233" i="13"/>
  <c r="M1232" i="13"/>
  <c r="N1232" i="13" s="1"/>
  <c r="E1232" i="19" s="1"/>
  <c r="I1232" i="13"/>
  <c r="N1231" i="13"/>
  <c r="E1231" i="19" s="1"/>
  <c r="K1230" i="13"/>
  <c r="C1230" i="13"/>
  <c r="H1229" i="13"/>
  <c r="M1228" i="13"/>
  <c r="N1228" i="13" s="1"/>
  <c r="E1228" i="19" s="1"/>
  <c r="I1228" i="13"/>
  <c r="N1227" i="13"/>
  <c r="E1227" i="19" s="1"/>
  <c r="K1226" i="13"/>
  <c r="C1226" i="13"/>
  <c r="H1225" i="13"/>
  <c r="M1224" i="13"/>
  <c r="N1224" i="13" s="1"/>
  <c r="E1224" i="19" s="1"/>
  <c r="I1224" i="13"/>
  <c r="N1223" i="13"/>
  <c r="E1223" i="19" s="1"/>
  <c r="K1222" i="13"/>
  <c r="C1222" i="13"/>
  <c r="H1221" i="13"/>
  <c r="M1220" i="13"/>
  <c r="N1220" i="13" s="1"/>
  <c r="E1220" i="19" s="1"/>
  <c r="I1220" i="13"/>
  <c r="N1219" i="13"/>
  <c r="E1219" i="19" s="1"/>
  <c r="K1218" i="13"/>
  <c r="C1218" i="13"/>
  <c r="H1217" i="13"/>
  <c r="M1216" i="13"/>
  <c r="N1216" i="13" s="1"/>
  <c r="E1216" i="19" s="1"/>
  <c r="I1216" i="13"/>
  <c r="N1215" i="13"/>
  <c r="E1215" i="19" s="1"/>
  <c r="K1214" i="13"/>
  <c r="C1214" i="13"/>
  <c r="H1213" i="13"/>
  <c r="M1212" i="13"/>
  <c r="N1212" i="13" s="1"/>
  <c r="E1212" i="19" s="1"/>
  <c r="I1212" i="13"/>
  <c r="N1211" i="13"/>
  <c r="E1211" i="19" s="1"/>
  <c r="K1210" i="13"/>
  <c r="C1210" i="13"/>
  <c r="H1209" i="13"/>
  <c r="M1208" i="13"/>
  <c r="N1208" i="13" s="1"/>
  <c r="E1208" i="19" s="1"/>
  <c r="I1208" i="13"/>
  <c r="N1207" i="13"/>
  <c r="E1207" i="19" s="1"/>
  <c r="K1206" i="13"/>
  <c r="C1206" i="13"/>
  <c r="H1205" i="13"/>
  <c r="M1204" i="13"/>
  <c r="N1204" i="13" s="1"/>
  <c r="E1204" i="19" s="1"/>
  <c r="I1204" i="13"/>
  <c r="N1203" i="13"/>
  <c r="E1203" i="19" s="1"/>
  <c r="K1202" i="13"/>
  <c r="C1202" i="13"/>
  <c r="H1201" i="13"/>
  <c r="M1200" i="13"/>
  <c r="N1200" i="13" s="1"/>
  <c r="E1200" i="19" s="1"/>
  <c r="I1200" i="13"/>
  <c r="N1199" i="13"/>
  <c r="E1199" i="19" s="1"/>
  <c r="K1198" i="13"/>
  <c r="C1198" i="13"/>
  <c r="H1197" i="13"/>
  <c r="M1196" i="13"/>
  <c r="N1196" i="13" s="1"/>
  <c r="E1196" i="19" s="1"/>
  <c r="I1196" i="13"/>
  <c r="N1195" i="13"/>
  <c r="E1195" i="19" s="1"/>
  <c r="K1194" i="13"/>
  <c r="C1194" i="13"/>
  <c r="H1193" i="13"/>
  <c r="M1192" i="13"/>
  <c r="N1192" i="13" s="1"/>
  <c r="E1192" i="19" s="1"/>
  <c r="I1192" i="13"/>
  <c r="N1191" i="13"/>
  <c r="E1191" i="19" s="1"/>
  <c r="K1190" i="13"/>
  <c r="C1190" i="13"/>
  <c r="H1189" i="13"/>
  <c r="M1188" i="13"/>
  <c r="N1188" i="13" s="1"/>
  <c r="E1188" i="19" s="1"/>
  <c r="I1188" i="13"/>
  <c r="N1187" i="13"/>
  <c r="E1187" i="19" s="1"/>
  <c r="K1186" i="13"/>
  <c r="C1186" i="13"/>
  <c r="H1185" i="13"/>
  <c r="M1184" i="13"/>
  <c r="N1184" i="13" s="1"/>
  <c r="E1184" i="19" s="1"/>
  <c r="I1184" i="13"/>
  <c r="N1183" i="13"/>
  <c r="E1183" i="19" s="1"/>
  <c r="K1182" i="13"/>
  <c r="C1182" i="13"/>
  <c r="H1181" i="13"/>
  <c r="M1180" i="13"/>
  <c r="N1180" i="13" s="1"/>
  <c r="E1180" i="19" s="1"/>
  <c r="I1180" i="13"/>
  <c r="N1179" i="13"/>
  <c r="E1179" i="19" s="1"/>
  <c r="K1178" i="13"/>
  <c r="C1178" i="13"/>
  <c r="H1177" i="13"/>
  <c r="M1176" i="13"/>
  <c r="N1176" i="13" s="1"/>
  <c r="E1176" i="19" s="1"/>
  <c r="I1176" i="13"/>
  <c r="N1175" i="13"/>
  <c r="E1175" i="19" s="1"/>
  <c r="K1174" i="13"/>
  <c r="C1174" i="13"/>
  <c r="H1173" i="13"/>
  <c r="M1172" i="13"/>
  <c r="N1172" i="13" s="1"/>
  <c r="E1172" i="19" s="1"/>
  <c r="I1172" i="13"/>
  <c r="N1171" i="13"/>
  <c r="E1171" i="19" s="1"/>
  <c r="K1170" i="13"/>
  <c r="C1170" i="13"/>
  <c r="H1169" i="13"/>
  <c r="M1168" i="13"/>
  <c r="N1168" i="13" s="1"/>
  <c r="E1168" i="19" s="1"/>
  <c r="I1168" i="13"/>
  <c r="N1167" i="13"/>
  <c r="E1167" i="19" s="1"/>
  <c r="K1166" i="13"/>
  <c r="C1166" i="13"/>
  <c r="H1165" i="13"/>
  <c r="M1163" i="13"/>
  <c r="C1163" i="13"/>
  <c r="K1162" i="13"/>
  <c r="I1156" i="13"/>
  <c r="M1156" i="13"/>
  <c r="C1156" i="13"/>
  <c r="K1156" i="13"/>
  <c r="I1148" i="13"/>
  <c r="M1148" i="13"/>
  <c r="C1148" i="13"/>
  <c r="K1148" i="13"/>
  <c r="I1140" i="13"/>
  <c r="M1140" i="13"/>
  <c r="C1140" i="13"/>
  <c r="K1140" i="13"/>
  <c r="I1132" i="13"/>
  <c r="M1132" i="13"/>
  <c r="C1132" i="13"/>
  <c r="K1132" i="13"/>
  <c r="I1124" i="13"/>
  <c r="M1124" i="13"/>
  <c r="C1124" i="13"/>
  <c r="K1124" i="13"/>
  <c r="I1116" i="13"/>
  <c r="M1116" i="13"/>
  <c r="C1116" i="13"/>
  <c r="K1116" i="13"/>
  <c r="I1108" i="13"/>
  <c r="M1108" i="13"/>
  <c r="C1108" i="13"/>
  <c r="K1108" i="13"/>
  <c r="I1100" i="13"/>
  <c r="M1100" i="13"/>
  <c r="C1100" i="13"/>
  <c r="K1100" i="13"/>
  <c r="C1090" i="13"/>
  <c r="K1090" i="13"/>
  <c r="L1090" i="13"/>
  <c r="I1090" i="13"/>
  <c r="M1090" i="13"/>
  <c r="H1084" i="13"/>
  <c r="H1161" i="13"/>
  <c r="N1161" i="13"/>
  <c r="E1161" i="19" s="1"/>
  <c r="C1158" i="13"/>
  <c r="K1158" i="13"/>
  <c r="I1158" i="13"/>
  <c r="M1158" i="13"/>
  <c r="N1155" i="13"/>
  <c r="E1155" i="19" s="1"/>
  <c r="H1155" i="13"/>
  <c r="H1153" i="13"/>
  <c r="N1153" i="13"/>
  <c r="E1153" i="19" s="1"/>
  <c r="C1150" i="13"/>
  <c r="K1150" i="13"/>
  <c r="I1150" i="13"/>
  <c r="M1150" i="13"/>
  <c r="N1147" i="13"/>
  <c r="E1147" i="19" s="1"/>
  <c r="H1147" i="13"/>
  <c r="H1145" i="13"/>
  <c r="N1145" i="13"/>
  <c r="E1145" i="19" s="1"/>
  <c r="C1142" i="13"/>
  <c r="K1142" i="13"/>
  <c r="I1142" i="13"/>
  <c r="M1142" i="13"/>
  <c r="N1139" i="13"/>
  <c r="E1139" i="19" s="1"/>
  <c r="H1139" i="13"/>
  <c r="H1137" i="13"/>
  <c r="N1137" i="13"/>
  <c r="E1137" i="19" s="1"/>
  <c r="C1134" i="13"/>
  <c r="K1134" i="13"/>
  <c r="I1134" i="13"/>
  <c r="M1134" i="13"/>
  <c r="N1131" i="13"/>
  <c r="E1131" i="19" s="1"/>
  <c r="H1131" i="13"/>
  <c r="H1129" i="13"/>
  <c r="N1129" i="13"/>
  <c r="E1129" i="19" s="1"/>
  <c r="C1126" i="13"/>
  <c r="K1126" i="13"/>
  <c r="I1126" i="13"/>
  <c r="M1126" i="13"/>
  <c r="N1123" i="13"/>
  <c r="E1123" i="19" s="1"/>
  <c r="H1123" i="13"/>
  <c r="H1121" i="13"/>
  <c r="N1121" i="13"/>
  <c r="E1121" i="19" s="1"/>
  <c r="C1118" i="13"/>
  <c r="K1118" i="13"/>
  <c r="I1118" i="13"/>
  <c r="M1118" i="13"/>
  <c r="N1115" i="13"/>
  <c r="E1115" i="19" s="1"/>
  <c r="H1115" i="13"/>
  <c r="H1113" i="13"/>
  <c r="N1113" i="13"/>
  <c r="E1113" i="19" s="1"/>
  <c r="C1110" i="13"/>
  <c r="K1110" i="13"/>
  <c r="I1110" i="13"/>
  <c r="M1110" i="13"/>
  <c r="N1107" i="13"/>
  <c r="E1107" i="19" s="1"/>
  <c r="H1107" i="13"/>
  <c r="H1105" i="13"/>
  <c r="N1105" i="13"/>
  <c r="E1105" i="19" s="1"/>
  <c r="C1102" i="13"/>
  <c r="K1102" i="13"/>
  <c r="I1102" i="13"/>
  <c r="M1102" i="13"/>
  <c r="N1099" i="13"/>
  <c r="E1099" i="19" s="1"/>
  <c r="H1099" i="13"/>
  <c r="H1097" i="13"/>
  <c r="N1097" i="13"/>
  <c r="E1097" i="19" s="1"/>
  <c r="C1094" i="13"/>
  <c r="K1094" i="13"/>
  <c r="I1094" i="13"/>
  <c r="M1094" i="13"/>
  <c r="H1085" i="13"/>
  <c r="N1085" i="13"/>
  <c r="E1085" i="19" s="1"/>
  <c r="N1083" i="13"/>
  <c r="E1083" i="19" s="1"/>
  <c r="K1248" i="13"/>
  <c r="K1244" i="13"/>
  <c r="K1240" i="13"/>
  <c r="K1236" i="13"/>
  <c r="K1232" i="13"/>
  <c r="M1230" i="13"/>
  <c r="N1230" i="13" s="1"/>
  <c r="E1230" i="19" s="1"/>
  <c r="I1230" i="13"/>
  <c r="K1228" i="13"/>
  <c r="M1226" i="13"/>
  <c r="N1226" i="13" s="1"/>
  <c r="E1226" i="19" s="1"/>
  <c r="I1226" i="13"/>
  <c r="K1224" i="13"/>
  <c r="M1222" i="13"/>
  <c r="N1222" i="13" s="1"/>
  <c r="E1222" i="19" s="1"/>
  <c r="I1222" i="13"/>
  <c r="K1220" i="13"/>
  <c r="M1218" i="13"/>
  <c r="N1218" i="13" s="1"/>
  <c r="E1218" i="19" s="1"/>
  <c r="I1218" i="13"/>
  <c r="K1216" i="13"/>
  <c r="M1214" i="13"/>
  <c r="N1214" i="13" s="1"/>
  <c r="E1214" i="19" s="1"/>
  <c r="I1214" i="13"/>
  <c r="K1212" i="13"/>
  <c r="M1210" i="13"/>
  <c r="N1210" i="13" s="1"/>
  <c r="E1210" i="19" s="1"/>
  <c r="I1210" i="13"/>
  <c r="K1208" i="13"/>
  <c r="M1206" i="13"/>
  <c r="N1206" i="13" s="1"/>
  <c r="E1206" i="19" s="1"/>
  <c r="I1206" i="13"/>
  <c r="K1204" i="13"/>
  <c r="M1202" i="13"/>
  <c r="N1202" i="13" s="1"/>
  <c r="E1202" i="19" s="1"/>
  <c r="I1202" i="13"/>
  <c r="K1200" i="13"/>
  <c r="M1198" i="13"/>
  <c r="N1198" i="13" s="1"/>
  <c r="E1198" i="19" s="1"/>
  <c r="I1198" i="13"/>
  <c r="K1196" i="13"/>
  <c r="M1194" i="13"/>
  <c r="N1194" i="13" s="1"/>
  <c r="E1194" i="19" s="1"/>
  <c r="I1194" i="13"/>
  <c r="K1192" i="13"/>
  <c r="M1190" i="13"/>
  <c r="N1190" i="13" s="1"/>
  <c r="E1190" i="19" s="1"/>
  <c r="I1190" i="13"/>
  <c r="K1188" i="13"/>
  <c r="M1186" i="13"/>
  <c r="N1186" i="13" s="1"/>
  <c r="E1186" i="19" s="1"/>
  <c r="I1186" i="13"/>
  <c r="K1184" i="13"/>
  <c r="M1182" i="13"/>
  <c r="N1182" i="13" s="1"/>
  <c r="E1182" i="19" s="1"/>
  <c r="I1182" i="13"/>
  <c r="K1180" i="13"/>
  <c r="M1178" i="13"/>
  <c r="N1178" i="13" s="1"/>
  <c r="E1178" i="19" s="1"/>
  <c r="I1178" i="13"/>
  <c r="K1176" i="13"/>
  <c r="M1174" i="13"/>
  <c r="N1174" i="13" s="1"/>
  <c r="E1174" i="19" s="1"/>
  <c r="I1174" i="13"/>
  <c r="K1172" i="13"/>
  <c r="M1170" i="13"/>
  <c r="N1170" i="13" s="1"/>
  <c r="E1170" i="19" s="1"/>
  <c r="I1170" i="13"/>
  <c r="K1168" i="13"/>
  <c r="M1166" i="13"/>
  <c r="N1166" i="13" s="1"/>
  <c r="E1166" i="19" s="1"/>
  <c r="I1166" i="13"/>
  <c r="J1163" i="13"/>
  <c r="I1160" i="13"/>
  <c r="M1160" i="13"/>
  <c r="N1160" i="13" s="1"/>
  <c r="E1160" i="19" s="1"/>
  <c r="C1160" i="13"/>
  <c r="K1160" i="13"/>
  <c r="L1158" i="13"/>
  <c r="J1156" i="13"/>
  <c r="I1152" i="13"/>
  <c r="M1152" i="13"/>
  <c r="N1152" i="13" s="1"/>
  <c r="E1152" i="19" s="1"/>
  <c r="C1152" i="13"/>
  <c r="K1152" i="13"/>
  <c r="L1150" i="13"/>
  <c r="J1148" i="13"/>
  <c r="I1144" i="13"/>
  <c r="M1144" i="13"/>
  <c r="N1144" i="13" s="1"/>
  <c r="E1144" i="19" s="1"/>
  <c r="C1144" i="13"/>
  <c r="K1144" i="13"/>
  <c r="L1142" i="13"/>
  <c r="J1140" i="13"/>
  <c r="I1136" i="13"/>
  <c r="M1136" i="13"/>
  <c r="N1136" i="13" s="1"/>
  <c r="E1136" i="19" s="1"/>
  <c r="C1136" i="13"/>
  <c r="K1136" i="13"/>
  <c r="L1134" i="13"/>
  <c r="J1132" i="13"/>
  <c r="I1128" i="13"/>
  <c r="M1128" i="13"/>
  <c r="N1128" i="13" s="1"/>
  <c r="E1128" i="19" s="1"/>
  <c r="C1128" i="13"/>
  <c r="K1128" i="13"/>
  <c r="L1126" i="13"/>
  <c r="J1124" i="13"/>
  <c r="I1120" i="13"/>
  <c r="M1120" i="13"/>
  <c r="N1120" i="13" s="1"/>
  <c r="E1120" i="19" s="1"/>
  <c r="C1120" i="13"/>
  <c r="K1120" i="13"/>
  <c r="L1118" i="13"/>
  <c r="J1116" i="13"/>
  <c r="I1112" i="13"/>
  <c r="M1112" i="13"/>
  <c r="N1112" i="13" s="1"/>
  <c r="E1112" i="19" s="1"/>
  <c r="C1112" i="13"/>
  <c r="K1112" i="13"/>
  <c r="L1110" i="13"/>
  <c r="J1108" i="13"/>
  <c r="I1104" i="13"/>
  <c r="M1104" i="13"/>
  <c r="N1104" i="13" s="1"/>
  <c r="E1104" i="19" s="1"/>
  <c r="C1104" i="13"/>
  <c r="K1104" i="13"/>
  <c r="L1102" i="13"/>
  <c r="J1100" i="13"/>
  <c r="I1096" i="13"/>
  <c r="M1096" i="13"/>
  <c r="N1096" i="13" s="1"/>
  <c r="E1096" i="19" s="1"/>
  <c r="C1096" i="13"/>
  <c r="K1096" i="13"/>
  <c r="L1094" i="13"/>
  <c r="H1092" i="13"/>
  <c r="J1090" i="13"/>
  <c r="N1090" i="13" s="1"/>
  <c r="E1090" i="19" s="1"/>
  <c r="H1089" i="13"/>
  <c r="N1089" i="13"/>
  <c r="E1089" i="19" s="1"/>
  <c r="N1087" i="13"/>
  <c r="E1087" i="19" s="1"/>
  <c r="N1163" i="13"/>
  <c r="E1163" i="19" s="1"/>
  <c r="I1163" i="13"/>
  <c r="C1162" i="13"/>
  <c r="I1162" i="13"/>
  <c r="M1162" i="13"/>
  <c r="N1162" i="13" s="1"/>
  <c r="E1162" i="19" s="1"/>
  <c r="N1159" i="13"/>
  <c r="E1159" i="19" s="1"/>
  <c r="H1159" i="13"/>
  <c r="J1158" i="13"/>
  <c r="H1157" i="13"/>
  <c r="N1157" i="13"/>
  <c r="E1157" i="19" s="1"/>
  <c r="C1154" i="13"/>
  <c r="K1154" i="13"/>
  <c r="I1154" i="13"/>
  <c r="M1154" i="13"/>
  <c r="N1154" i="13" s="1"/>
  <c r="E1154" i="19" s="1"/>
  <c r="N1151" i="13"/>
  <c r="E1151" i="19" s="1"/>
  <c r="H1151" i="13"/>
  <c r="J1150" i="13"/>
  <c r="N1150" i="13" s="1"/>
  <c r="E1150" i="19" s="1"/>
  <c r="H1149" i="13"/>
  <c r="N1149" i="13"/>
  <c r="E1149" i="19" s="1"/>
  <c r="C1146" i="13"/>
  <c r="K1146" i="13"/>
  <c r="I1146" i="13"/>
  <c r="M1146" i="13"/>
  <c r="N1146" i="13" s="1"/>
  <c r="E1146" i="19" s="1"/>
  <c r="N1143" i="13"/>
  <c r="E1143" i="19" s="1"/>
  <c r="H1143" i="13"/>
  <c r="J1142" i="13"/>
  <c r="N1142" i="13" s="1"/>
  <c r="E1142" i="19" s="1"/>
  <c r="H1141" i="13"/>
  <c r="N1141" i="13"/>
  <c r="E1141" i="19" s="1"/>
  <c r="C1138" i="13"/>
  <c r="K1138" i="13"/>
  <c r="I1138" i="13"/>
  <c r="M1138" i="13"/>
  <c r="N1138" i="13" s="1"/>
  <c r="E1138" i="19" s="1"/>
  <c r="N1135" i="13"/>
  <c r="E1135" i="19" s="1"/>
  <c r="H1135" i="13"/>
  <c r="J1134" i="13"/>
  <c r="N1134" i="13" s="1"/>
  <c r="E1134" i="19" s="1"/>
  <c r="H1133" i="13"/>
  <c r="N1133" i="13"/>
  <c r="E1133" i="19" s="1"/>
  <c r="C1130" i="13"/>
  <c r="K1130" i="13"/>
  <c r="I1130" i="13"/>
  <c r="M1130" i="13"/>
  <c r="N1130" i="13" s="1"/>
  <c r="E1130" i="19" s="1"/>
  <c r="N1127" i="13"/>
  <c r="E1127" i="19" s="1"/>
  <c r="H1127" i="13"/>
  <c r="J1126" i="13"/>
  <c r="H1125" i="13"/>
  <c r="N1125" i="13"/>
  <c r="E1125" i="19" s="1"/>
  <c r="C1122" i="13"/>
  <c r="K1122" i="13"/>
  <c r="I1122" i="13"/>
  <c r="M1122" i="13"/>
  <c r="N1122" i="13" s="1"/>
  <c r="E1122" i="19" s="1"/>
  <c r="N1119" i="13"/>
  <c r="E1119" i="19" s="1"/>
  <c r="H1119" i="13"/>
  <c r="J1118" i="13"/>
  <c r="N1118" i="13" s="1"/>
  <c r="E1118" i="19" s="1"/>
  <c r="H1117" i="13"/>
  <c r="N1117" i="13"/>
  <c r="E1117" i="19" s="1"/>
  <c r="C1114" i="13"/>
  <c r="K1114" i="13"/>
  <c r="I1114" i="13"/>
  <c r="M1114" i="13"/>
  <c r="N1114" i="13" s="1"/>
  <c r="E1114" i="19" s="1"/>
  <c r="N1111" i="13"/>
  <c r="E1111" i="19" s="1"/>
  <c r="H1111" i="13"/>
  <c r="J1110" i="13"/>
  <c r="N1110" i="13" s="1"/>
  <c r="E1110" i="19" s="1"/>
  <c r="H1109" i="13"/>
  <c r="N1109" i="13"/>
  <c r="E1109" i="19" s="1"/>
  <c r="C1106" i="13"/>
  <c r="K1106" i="13"/>
  <c r="I1106" i="13"/>
  <c r="M1106" i="13"/>
  <c r="N1106" i="13" s="1"/>
  <c r="E1106" i="19" s="1"/>
  <c r="N1103" i="13"/>
  <c r="E1103" i="19" s="1"/>
  <c r="H1103" i="13"/>
  <c r="J1102" i="13"/>
  <c r="N1102" i="13" s="1"/>
  <c r="E1102" i="19" s="1"/>
  <c r="H1101" i="13"/>
  <c r="N1101" i="13"/>
  <c r="E1101" i="19" s="1"/>
  <c r="C1098" i="13"/>
  <c r="K1098" i="13"/>
  <c r="I1098" i="13"/>
  <c r="M1098" i="13"/>
  <c r="N1098" i="13" s="1"/>
  <c r="E1098" i="19" s="1"/>
  <c r="N1095" i="13"/>
  <c r="E1095" i="19" s="1"/>
  <c r="H1095" i="13"/>
  <c r="J1094" i="13"/>
  <c r="H1093" i="13"/>
  <c r="N1093" i="13"/>
  <c r="E1093" i="19" s="1"/>
  <c r="N1091" i="13"/>
  <c r="E1091" i="19" s="1"/>
  <c r="C1086" i="13"/>
  <c r="K1086" i="13"/>
  <c r="L1086" i="13"/>
  <c r="I1086" i="13"/>
  <c r="M1086" i="13"/>
  <c r="N1086" i="13" s="1"/>
  <c r="E1086" i="19" s="1"/>
  <c r="K1092" i="13"/>
  <c r="C1092" i="13"/>
  <c r="H1091" i="13"/>
  <c r="K1088" i="13"/>
  <c r="C1088" i="13"/>
  <c r="H1087" i="13"/>
  <c r="K1084" i="13"/>
  <c r="C1084" i="13"/>
  <c r="H1083" i="13"/>
  <c r="M1082" i="13"/>
  <c r="N1082" i="13" s="1"/>
  <c r="E1082" i="19" s="1"/>
  <c r="I1082" i="13"/>
  <c r="N1081" i="13"/>
  <c r="E1081" i="19" s="1"/>
  <c r="K1080" i="13"/>
  <c r="C1080" i="13"/>
  <c r="H1079" i="13"/>
  <c r="M1078" i="13"/>
  <c r="N1078" i="13" s="1"/>
  <c r="E1078" i="19" s="1"/>
  <c r="I1078" i="13"/>
  <c r="N1077" i="13"/>
  <c r="E1077" i="19" s="1"/>
  <c r="K1076" i="13"/>
  <c r="C1076" i="13"/>
  <c r="H1075" i="13"/>
  <c r="M1074" i="13"/>
  <c r="N1074" i="13" s="1"/>
  <c r="E1074" i="19" s="1"/>
  <c r="I1074" i="13"/>
  <c r="N1073" i="13"/>
  <c r="E1073" i="19" s="1"/>
  <c r="K1072" i="13"/>
  <c r="C1072" i="13"/>
  <c r="H1071" i="13"/>
  <c r="M1070" i="13"/>
  <c r="N1070" i="13" s="1"/>
  <c r="E1070" i="19" s="1"/>
  <c r="I1070" i="13"/>
  <c r="N1069" i="13"/>
  <c r="E1069" i="19" s="1"/>
  <c r="K1068" i="13"/>
  <c r="C1068" i="13"/>
  <c r="H1067" i="13"/>
  <c r="M1066" i="13"/>
  <c r="N1066" i="13" s="1"/>
  <c r="E1066" i="19" s="1"/>
  <c r="I1066" i="13"/>
  <c r="N1065" i="13"/>
  <c r="E1065" i="19" s="1"/>
  <c r="K1064" i="13"/>
  <c r="C1064" i="13"/>
  <c r="H1063" i="13"/>
  <c r="M1062" i="13"/>
  <c r="N1062" i="13" s="1"/>
  <c r="E1062" i="19" s="1"/>
  <c r="I1062" i="13"/>
  <c r="N1061" i="13"/>
  <c r="E1061" i="19" s="1"/>
  <c r="K1060" i="13"/>
  <c r="C1060" i="13"/>
  <c r="H1059" i="13"/>
  <c r="M1058" i="13"/>
  <c r="N1058" i="13" s="1"/>
  <c r="E1058" i="19" s="1"/>
  <c r="I1058" i="13"/>
  <c r="N1057" i="13"/>
  <c r="E1057" i="19" s="1"/>
  <c r="K1056" i="13"/>
  <c r="C1056" i="13"/>
  <c r="H1055" i="13"/>
  <c r="M1054" i="13"/>
  <c r="N1054" i="13" s="1"/>
  <c r="E1054" i="19" s="1"/>
  <c r="I1054" i="13"/>
  <c r="N1053" i="13"/>
  <c r="E1053" i="19" s="1"/>
  <c r="K1052" i="13"/>
  <c r="C1052" i="13"/>
  <c r="H1051" i="13"/>
  <c r="M1050" i="13"/>
  <c r="N1050" i="13" s="1"/>
  <c r="E1050" i="19" s="1"/>
  <c r="F1050" i="19" s="1"/>
  <c r="I1050" i="13"/>
  <c r="N1049" i="13"/>
  <c r="E1049" i="19" s="1"/>
  <c r="K1048" i="13"/>
  <c r="C1048" i="13"/>
  <c r="H1047" i="13"/>
  <c r="M1046" i="13"/>
  <c r="N1046" i="13" s="1"/>
  <c r="E1046" i="19" s="1"/>
  <c r="F1046" i="19" s="1"/>
  <c r="I1046" i="13"/>
  <c r="N1045" i="13"/>
  <c r="E1045" i="19" s="1"/>
  <c r="K1044" i="13"/>
  <c r="C1044" i="13"/>
  <c r="H1043" i="13"/>
  <c r="M1042" i="13"/>
  <c r="N1042" i="13" s="1"/>
  <c r="E1042" i="19" s="1"/>
  <c r="F1042" i="19" s="1"/>
  <c r="I1042" i="13"/>
  <c r="N1041" i="13"/>
  <c r="E1041" i="19" s="1"/>
  <c r="K1040" i="13"/>
  <c r="C1040" i="13"/>
  <c r="H1039" i="13"/>
  <c r="M1038" i="13"/>
  <c r="N1038" i="13" s="1"/>
  <c r="E1038" i="19" s="1"/>
  <c r="F1038" i="19" s="1"/>
  <c r="I1038" i="13"/>
  <c r="N1037" i="13"/>
  <c r="E1037" i="19" s="1"/>
  <c r="K1036" i="13"/>
  <c r="C1036" i="13"/>
  <c r="H1035" i="13"/>
  <c r="M1034" i="13"/>
  <c r="N1034" i="13" s="1"/>
  <c r="E1034" i="19" s="1"/>
  <c r="F1034" i="19" s="1"/>
  <c r="I1034" i="13"/>
  <c r="N1033" i="13"/>
  <c r="E1033" i="19" s="1"/>
  <c r="K1032" i="13"/>
  <c r="C1032" i="13"/>
  <c r="H1031" i="13"/>
  <c r="M1030" i="13"/>
  <c r="N1030" i="13" s="1"/>
  <c r="E1030" i="19" s="1"/>
  <c r="F1030" i="19" s="1"/>
  <c r="I1030" i="13"/>
  <c r="N1029" i="13"/>
  <c r="E1029" i="19" s="1"/>
  <c r="K1028" i="13"/>
  <c r="C1028" i="13"/>
  <c r="H1027" i="13"/>
  <c r="M1026" i="13"/>
  <c r="N1026" i="13" s="1"/>
  <c r="E1026" i="19" s="1"/>
  <c r="F1026" i="19" s="1"/>
  <c r="I1026" i="13"/>
  <c r="N1025" i="13"/>
  <c r="E1025" i="19" s="1"/>
  <c r="K1024" i="13"/>
  <c r="C1024" i="13"/>
  <c r="H1023" i="13"/>
  <c r="M1022" i="13"/>
  <c r="N1022" i="13" s="1"/>
  <c r="E1022" i="19" s="1"/>
  <c r="F1022" i="19" s="1"/>
  <c r="I1022" i="13"/>
  <c r="N1021" i="13"/>
  <c r="E1021" i="19" s="1"/>
  <c r="K1020" i="13"/>
  <c r="C1020" i="13"/>
  <c r="H1019" i="13"/>
  <c r="M1018" i="13"/>
  <c r="N1018" i="13" s="1"/>
  <c r="E1018" i="19" s="1"/>
  <c r="F1018" i="19" s="1"/>
  <c r="I1018" i="13"/>
  <c r="N1017" i="13"/>
  <c r="E1017" i="19" s="1"/>
  <c r="K1016" i="13"/>
  <c r="C1016" i="13"/>
  <c r="H1015" i="13"/>
  <c r="M1014" i="13"/>
  <c r="N1014" i="13" s="1"/>
  <c r="E1014" i="19" s="1"/>
  <c r="F1014" i="19" s="1"/>
  <c r="I1014" i="13"/>
  <c r="N1013" i="13"/>
  <c r="E1013" i="19" s="1"/>
  <c r="K1012" i="13"/>
  <c r="C1012" i="13"/>
  <c r="N1011" i="13"/>
  <c r="E1011" i="19" s="1"/>
  <c r="J1010" i="13"/>
  <c r="N1009" i="13"/>
  <c r="E1009" i="19" s="1"/>
  <c r="I1009" i="13"/>
  <c r="L1008" i="13"/>
  <c r="N1007" i="13"/>
  <c r="E1007" i="19" s="1"/>
  <c r="J1006" i="13"/>
  <c r="L1004" i="13"/>
  <c r="N1003" i="13"/>
  <c r="E1003" i="19" s="1"/>
  <c r="J1002" i="13"/>
  <c r="L1000" i="13"/>
  <c r="J998" i="13"/>
  <c r="L996" i="13"/>
  <c r="M993" i="13"/>
  <c r="L992" i="13"/>
  <c r="I992" i="13"/>
  <c r="M992" i="13"/>
  <c r="H990" i="13"/>
  <c r="H987" i="13"/>
  <c r="M985" i="13"/>
  <c r="L984" i="13"/>
  <c r="I984" i="13"/>
  <c r="M984" i="13"/>
  <c r="H982" i="13"/>
  <c r="H979" i="13"/>
  <c r="H974" i="13"/>
  <c r="L1082" i="13"/>
  <c r="L1078" i="13"/>
  <c r="L1074" i="13"/>
  <c r="L1070" i="13"/>
  <c r="L1066" i="13"/>
  <c r="L1062" i="13"/>
  <c r="L1058" i="13"/>
  <c r="L1054" i="13"/>
  <c r="L1050" i="13"/>
  <c r="L1046" i="13"/>
  <c r="L1042" i="13"/>
  <c r="L1038" i="13"/>
  <c r="L1034" i="13"/>
  <c r="L1030" i="13"/>
  <c r="L1026" i="13"/>
  <c r="L1022" i="13"/>
  <c r="L1018" i="13"/>
  <c r="L1014" i="13"/>
  <c r="N1010" i="13"/>
  <c r="E1010" i="19" s="1"/>
  <c r="G1010" i="19" s="1"/>
  <c r="I1010" i="13"/>
  <c r="I1008" i="13"/>
  <c r="M1008" i="13"/>
  <c r="N1006" i="13"/>
  <c r="E1006" i="19" s="1"/>
  <c r="G1006" i="19" s="1"/>
  <c r="I1006" i="13"/>
  <c r="I1004" i="13"/>
  <c r="M1004" i="13"/>
  <c r="N1002" i="13"/>
  <c r="E1002" i="19" s="1"/>
  <c r="F1002" i="19" s="1"/>
  <c r="I1002" i="13"/>
  <c r="I1000" i="13"/>
  <c r="M1000" i="13"/>
  <c r="N998" i="13"/>
  <c r="E998" i="19" s="1"/>
  <c r="G998" i="19" s="1"/>
  <c r="I998" i="13"/>
  <c r="I996" i="13"/>
  <c r="M996" i="13"/>
  <c r="J993" i="13"/>
  <c r="N993" i="13" s="1"/>
  <c r="E993" i="19" s="1"/>
  <c r="C989" i="13"/>
  <c r="K989" i="13"/>
  <c r="L989" i="13"/>
  <c r="J985" i="13"/>
  <c r="C981" i="13"/>
  <c r="K981" i="13"/>
  <c r="L981" i="13"/>
  <c r="L976" i="13"/>
  <c r="I976" i="13"/>
  <c r="M976" i="13"/>
  <c r="N976" i="13" s="1"/>
  <c r="E976" i="19" s="1"/>
  <c r="G976" i="19" s="1"/>
  <c r="C976" i="13"/>
  <c r="K976" i="13"/>
  <c r="N860" i="13"/>
  <c r="E860" i="19" s="1"/>
  <c r="G860" i="19" s="1"/>
  <c r="M1092" i="13"/>
  <c r="N1092" i="13" s="1"/>
  <c r="E1092" i="19" s="1"/>
  <c r="M1088" i="13"/>
  <c r="N1088" i="13" s="1"/>
  <c r="E1088" i="19" s="1"/>
  <c r="M1084" i="13"/>
  <c r="N1084" i="13" s="1"/>
  <c r="E1084" i="19" s="1"/>
  <c r="K1082" i="13"/>
  <c r="M1080" i="13"/>
  <c r="N1080" i="13" s="1"/>
  <c r="E1080" i="19" s="1"/>
  <c r="K1078" i="13"/>
  <c r="M1076" i="13"/>
  <c r="N1076" i="13" s="1"/>
  <c r="E1076" i="19" s="1"/>
  <c r="K1074" i="13"/>
  <c r="M1072" i="13"/>
  <c r="N1072" i="13" s="1"/>
  <c r="E1072" i="19" s="1"/>
  <c r="K1070" i="13"/>
  <c r="M1068" i="13"/>
  <c r="N1068" i="13" s="1"/>
  <c r="E1068" i="19" s="1"/>
  <c r="K1066" i="13"/>
  <c r="M1064" i="13"/>
  <c r="N1064" i="13" s="1"/>
  <c r="E1064" i="19" s="1"/>
  <c r="K1062" i="13"/>
  <c r="M1060" i="13"/>
  <c r="N1060" i="13" s="1"/>
  <c r="E1060" i="19" s="1"/>
  <c r="K1058" i="13"/>
  <c r="M1056" i="13"/>
  <c r="N1056" i="13" s="1"/>
  <c r="E1056" i="19" s="1"/>
  <c r="K1054" i="13"/>
  <c r="M1052" i="13"/>
  <c r="N1052" i="13" s="1"/>
  <c r="E1052" i="19" s="1"/>
  <c r="K1050" i="13"/>
  <c r="M1048" i="13"/>
  <c r="N1048" i="13" s="1"/>
  <c r="E1048" i="19" s="1"/>
  <c r="F1048" i="19" s="1"/>
  <c r="K1046" i="13"/>
  <c r="M1044" i="13"/>
  <c r="N1044" i="13" s="1"/>
  <c r="E1044" i="19" s="1"/>
  <c r="F1044" i="19" s="1"/>
  <c r="K1042" i="13"/>
  <c r="M1040" i="13"/>
  <c r="N1040" i="13" s="1"/>
  <c r="E1040" i="19" s="1"/>
  <c r="F1040" i="19" s="1"/>
  <c r="K1038" i="13"/>
  <c r="M1036" i="13"/>
  <c r="N1036" i="13" s="1"/>
  <c r="E1036" i="19" s="1"/>
  <c r="F1036" i="19" s="1"/>
  <c r="K1034" i="13"/>
  <c r="M1032" i="13"/>
  <c r="N1032" i="13" s="1"/>
  <c r="E1032" i="19" s="1"/>
  <c r="F1032" i="19" s="1"/>
  <c r="K1030" i="13"/>
  <c r="M1028" i="13"/>
  <c r="N1028" i="13" s="1"/>
  <c r="E1028" i="19" s="1"/>
  <c r="F1028" i="19" s="1"/>
  <c r="K1026" i="13"/>
  <c r="M1024" i="13"/>
  <c r="N1024" i="13" s="1"/>
  <c r="E1024" i="19" s="1"/>
  <c r="F1024" i="19" s="1"/>
  <c r="K1022" i="13"/>
  <c r="M1020" i="13"/>
  <c r="N1020" i="13" s="1"/>
  <c r="E1020" i="19" s="1"/>
  <c r="F1020" i="19" s="1"/>
  <c r="K1018" i="13"/>
  <c r="M1016" i="13"/>
  <c r="N1016" i="13" s="1"/>
  <c r="E1016" i="19" s="1"/>
  <c r="F1016" i="19" s="1"/>
  <c r="K1014" i="13"/>
  <c r="M1012" i="13"/>
  <c r="N1012" i="13" s="1"/>
  <c r="E1012" i="19" s="1"/>
  <c r="G1012" i="19" s="1"/>
  <c r="J1008" i="13"/>
  <c r="N1008" i="13" s="1"/>
  <c r="E1008" i="19" s="1"/>
  <c r="G1008" i="19" s="1"/>
  <c r="J1004" i="13"/>
  <c r="N1004" i="13" s="1"/>
  <c r="E1004" i="19" s="1"/>
  <c r="G1004" i="19" s="1"/>
  <c r="J1000" i="13"/>
  <c r="N1000" i="13" s="1"/>
  <c r="E1000" i="19" s="1"/>
  <c r="G1000" i="19" s="1"/>
  <c r="J996" i="13"/>
  <c r="N996" i="13" s="1"/>
  <c r="E996" i="19" s="1"/>
  <c r="F996" i="19" s="1"/>
  <c r="H994" i="13"/>
  <c r="J992" i="13"/>
  <c r="H991" i="13"/>
  <c r="M989" i="13"/>
  <c r="N989" i="13" s="1"/>
  <c r="E989" i="19" s="1"/>
  <c r="L988" i="13"/>
  <c r="I988" i="13"/>
  <c r="M988" i="13"/>
  <c r="N988" i="13" s="1"/>
  <c r="E988" i="19" s="1"/>
  <c r="G988" i="19" s="1"/>
  <c r="H986" i="13"/>
  <c r="J984" i="13"/>
  <c r="N984" i="13" s="1"/>
  <c r="E984" i="19" s="1"/>
  <c r="F984" i="19" s="1"/>
  <c r="H983" i="13"/>
  <c r="M981" i="13"/>
  <c r="N981" i="13" s="1"/>
  <c r="E981" i="19" s="1"/>
  <c r="L980" i="13"/>
  <c r="I980" i="13"/>
  <c r="M980" i="13"/>
  <c r="N980" i="13" s="1"/>
  <c r="E980" i="19" s="1"/>
  <c r="G980" i="19" s="1"/>
  <c r="H978" i="13"/>
  <c r="C1010" i="13"/>
  <c r="K1010" i="13"/>
  <c r="C1006" i="13"/>
  <c r="K1006" i="13"/>
  <c r="C1002" i="13"/>
  <c r="K1002" i="13"/>
  <c r="C998" i="13"/>
  <c r="K998" i="13"/>
  <c r="C993" i="13"/>
  <c r="K993" i="13"/>
  <c r="L993" i="13"/>
  <c r="C985" i="13"/>
  <c r="K985" i="13"/>
  <c r="L985" i="13"/>
  <c r="N975" i="13"/>
  <c r="E975" i="19" s="1"/>
  <c r="H975" i="13"/>
  <c r="K972" i="13"/>
  <c r="C972" i="13"/>
  <c r="H971" i="13"/>
  <c r="K968" i="13"/>
  <c r="C968" i="13"/>
  <c r="H967" i="13"/>
  <c r="K964" i="13"/>
  <c r="C964" i="13"/>
  <c r="H963" i="13"/>
  <c r="K960" i="13"/>
  <c r="C960" i="13"/>
  <c r="H959" i="13"/>
  <c r="K956" i="13"/>
  <c r="C956" i="13"/>
  <c r="H955" i="13"/>
  <c r="K952" i="13"/>
  <c r="C952" i="13"/>
  <c r="H951" i="13"/>
  <c r="K948" i="13"/>
  <c r="C948" i="13"/>
  <c r="H947" i="13"/>
  <c r="K944" i="13"/>
  <c r="C944" i="13"/>
  <c r="H943" i="13"/>
  <c r="K940" i="13"/>
  <c r="C940" i="13"/>
  <c r="H939" i="13"/>
  <c r="K936" i="13"/>
  <c r="C936" i="13"/>
  <c r="H935" i="13"/>
  <c r="K932" i="13"/>
  <c r="C932" i="13"/>
  <c r="H931" i="13"/>
  <c r="K928" i="13"/>
  <c r="C928" i="13"/>
  <c r="H927" i="13"/>
  <c r="K924" i="13"/>
  <c r="C924" i="13"/>
  <c r="H923" i="13"/>
  <c r="K920" i="13"/>
  <c r="C920" i="13"/>
  <c r="H919" i="13"/>
  <c r="K916" i="13"/>
  <c r="C916" i="13"/>
  <c r="H915" i="13"/>
  <c r="K912" i="13"/>
  <c r="C912" i="13"/>
  <c r="H911" i="13"/>
  <c r="K908" i="13"/>
  <c r="C908" i="13"/>
  <c r="H907" i="13"/>
  <c r="K904" i="13"/>
  <c r="C904" i="13"/>
  <c r="H903" i="13"/>
  <c r="K900" i="13"/>
  <c r="C900" i="13"/>
  <c r="H899" i="13"/>
  <c r="K896" i="13"/>
  <c r="C896" i="13"/>
  <c r="I895" i="13"/>
  <c r="M895" i="13"/>
  <c r="N895" i="13" s="1"/>
  <c r="E895" i="19" s="1"/>
  <c r="M892" i="13"/>
  <c r="C892" i="13"/>
  <c r="I891" i="13"/>
  <c r="M891" i="13"/>
  <c r="N891" i="13" s="1"/>
  <c r="E891" i="19" s="1"/>
  <c r="H886" i="13"/>
  <c r="L883" i="13"/>
  <c r="I883" i="13"/>
  <c r="M883" i="13"/>
  <c r="H878" i="13"/>
  <c r="L875" i="13"/>
  <c r="I875" i="13"/>
  <c r="M875" i="13"/>
  <c r="L867" i="13"/>
  <c r="I867" i="13"/>
  <c r="M867" i="13"/>
  <c r="H863" i="13"/>
  <c r="I860" i="13"/>
  <c r="M860" i="13"/>
  <c r="C860" i="13"/>
  <c r="K860" i="13"/>
  <c r="L860" i="13"/>
  <c r="C888" i="13"/>
  <c r="K888" i="13"/>
  <c r="L888" i="13"/>
  <c r="C880" i="13"/>
  <c r="K880" i="13"/>
  <c r="L880" i="13"/>
  <c r="C872" i="13"/>
  <c r="K872" i="13"/>
  <c r="L872" i="13"/>
  <c r="J868" i="13"/>
  <c r="N868" i="13" s="1"/>
  <c r="E868" i="19" s="1"/>
  <c r="G868" i="19" s="1"/>
  <c r="K867" i="13"/>
  <c r="C864" i="13"/>
  <c r="K864" i="13"/>
  <c r="L864" i="13"/>
  <c r="K994" i="13"/>
  <c r="K990" i="13"/>
  <c r="K986" i="13"/>
  <c r="K982" i="13"/>
  <c r="K978" i="13"/>
  <c r="L977" i="13"/>
  <c r="K974" i="13"/>
  <c r="L973" i="13"/>
  <c r="M972" i="13"/>
  <c r="N972" i="13" s="1"/>
  <c r="E972" i="19" s="1"/>
  <c r="G972" i="19" s="1"/>
  <c r="I972" i="13"/>
  <c r="K970" i="13"/>
  <c r="L969" i="13"/>
  <c r="M968" i="13"/>
  <c r="N968" i="13" s="1"/>
  <c r="E968" i="19" s="1"/>
  <c r="G968" i="19" s="1"/>
  <c r="I968" i="13"/>
  <c r="K966" i="13"/>
  <c r="L965" i="13"/>
  <c r="M964" i="13"/>
  <c r="N964" i="13" s="1"/>
  <c r="E964" i="19" s="1"/>
  <c r="G964" i="19" s="1"/>
  <c r="I964" i="13"/>
  <c r="K962" i="13"/>
  <c r="L961" i="13"/>
  <c r="M960" i="13"/>
  <c r="N960" i="13" s="1"/>
  <c r="E960" i="19" s="1"/>
  <c r="G960" i="19" s="1"/>
  <c r="I960" i="13"/>
  <c r="K958" i="13"/>
  <c r="L957" i="13"/>
  <c r="M956" i="13"/>
  <c r="N956" i="13" s="1"/>
  <c r="E956" i="19" s="1"/>
  <c r="G956" i="19" s="1"/>
  <c r="I956" i="13"/>
  <c r="K954" i="13"/>
  <c r="L953" i="13"/>
  <c r="M952" i="13"/>
  <c r="N952" i="13" s="1"/>
  <c r="E952" i="19" s="1"/>
  <c r="G952" i="19" s="1"/>
  <c r="I952" i="13"/>
  <c r="K950" i="13"/>
  <c r="L949" i="13"/>
  <c r="M948" i="13"/>
  <c r="N948" i="13" s="1"/>
  <c r="E948" i="19" s="1"/>
  <c r="G948" i="19" s="1"/>
  <c r="I948" i="13"/>
  <c r="K946" i="13"/>
  <c r="L945" i="13"/>
  <c r="M944" i="13"/>
  <c r="N944" i="13" s="1"/>
  <c r="E944" i="19" s="1"/>
  <c r="G944" i="19" s="1"/>
  <c r="I944" i="13"/>
  <c r="K942" i="13"/>
  <c r="L941" i="13"/>
  <c r="M940" i="13"/>
  <c r="N940" i="13" s="1"/>
  <c r="E940" i="19" s="1"/>
  <c r="G940" i="19" s="1"/>
  <c r="I940" i="13"/>
  <c r="K938" i="13"/>
  <c r="L937" i="13"/>
  <c r="M936" i="13"/>
  <c r="N936" i="13" s="1"/>
  <c r="E936" i="19" s="1"/>
  <c r="G936" i="19" s="1"/>
  <c r="I936" i="13"/>
  <c r="K934" i="13"/>
  <c r="L933" i="13"/>
  <c r="M932" i="13"/>
  <c r="N932" i="13" s="1"/>
  <c r="E932" i="19" s="1"/>
  <c r="G932" i="19" s="1"/>
  <c r="I932" i="13"/>
  <c r="K930" i="13"/>
  <c r="L929" i="13"/>
  <c r="M928" i="13"/>
  <c r="N928" i="13" s="1"/>
  <c r="E928" i="19" s="1"/>
  <c r="G928" i="19" s="1"/>
  <c r="I928" i="13"/>
  <c r="K926" i="13"/>
  <c r="L925" i="13"/>
  <c r="M924" i="13"/>
  <c r="N924" i="13" s="1"/>
  <c r="E924" i="19" s="1"/>
  <c r="G924" i="19" s="1"/>
  <c r="I924" i="13"/>
  <c r="K922" i="13"/>
  <c r="L921" i="13"/>
  <c r="M920" i="13"/>
  <c r="N920" i="13" s="1"/>
  <c r="E920" i="19" s="1"/>
  <c r="G920" i="19" s="1"/>
  <c r="I920" i="13"/>
  <c r="K918" i="13"/>
  <c r="L917" i="13"/>
  <c r="M916" i="13"/>
  <c r="N916" i="13" s="1"/>
  <c r="E916" i="19" s="1"/>
  <c r="G916" i="19" s="1"/>
  <c r="I916" i="13"/>
  <c r="K914" i="13"/>
  <c r="L913" i="13"/>
  <c r="M912" i="13"/>
  <c r="N912" i="13" s="1"/>
  <c r="E912" i="19" s="1"/>
  <c r="G912" i="19" s="1"/>
  <c r="I912" i="13"/>
  <c r="K910" i="13"/>
  <c r="L909" i="13"/>
  <c r="M908" i="13"/>
  <c r="N908" i="13" s="1"/>
  <c r="E908" i="19" s="1"/>
  <c r="G908" i="19" s="1"/>
  <c r="I908" i="13"/>
  <c r="K906" i="13"/>
  <c r="L905" i="13"/>
  <c r="M904" i="13"/>
  <c r="N904" i="13" s="1"/>
  <c r="E904" i="19" s="1"/>
  <c r="G904" i="19" s="1"/>
  <c r="I904" i="13"/>
  <c r="K902" i="13"/>
  <c r="L901" i="13"/>
  <c r="M900" i="13"/>
  <c r="N900" i="13" s="1"/>
  <c r="E900" i="19" s="1"/>
  <c r="G900" i="19" s="1"/>
  <c r="I900" i="13"/>
  <c r="K898" i="13"/>
  <c r="L897" i="13"/>
  <c r="M896" i="13"/>
  <c r="N896" i="13" s="1"/>
  <c r="E896" i="19" s="1"/>
  <c r="G896" i="19" s="1"/>
  <c r="I896" i="13"/>
  <c r="H894" i="13"/>
  <c r="C893" i="13"/>
  <c r="K893" i="13"/>
  <c r="J892" i="13"/>
  <c r="H890" i="13"/>
  <c r="M888" i="13"/>
  <c r="L887" i="13"/>
  <c r="I887" i="13"/>
  <c r="M887" i="13"/>
  <c r="N887" i="13" s="1"/>
  <c r="E887" i="19" s="1"/>
  <c r="H885" i="13"/>
  <c r="J883" i="13"/>
  <c r="H882" i="13"/>
  <c r="M880" i="13"/>
  <c r="L879" i="13"/>
  <c r="I879" i="13"/>
  <c r="M879" i="13"/>
  <c r="N879" i="13" s="1"/>
  <c r="E879" i="19" s="1"/>
  <c r="H877" i="13"/>
  <c r="J875" i="13"/>
  <c r="H874" i="13"/>
  <c r="M872" i="13"/>
  <c r="L871" i="13"/>
  <c r="I871" i="13"/>
  <c r="M871" i="13"/>
  <c r="N871" i="13" s="1"/>
  <c r="E871" i="19" s="1"/>
  <c r="H869" i="13"/>
  <c r="J867" i="13"/>
  <c r="N867" i="13" s="1"/>
  <c r="E867" i="19" s="1"/>
  <c r="H866" i="13"/>
  <c r="M864" i="13"/>
  <c r="H858" i="13"/>
  <c r="K977" i="13"/>
  <c r="K973" i="13"/>
  <c r="K969" i="13"/>
  <c r="K965" i="13"/>
  <c r="K961" i="13"/>
  <c r="K957" i="13"/>
  <c r="K953" i="13"/>
  <c r="K949" i="13"/>
  <c r="K945" i="13"/>
  <c r="K941" i="13"/>
  <c r="K937" i="13"/>
  <c r="K933" i="13"/>
  <c r="K929" i="13"/>
  <c r="K925" i="13"/>
  <c r="K921" i="13"/>
  <c r="K917" i="13"/>
  <c r="K913" i="13"/>
  <c r="K909" i="13"/>
  <c r="K905" i="13"/>
  <c r="K901" i="13"/>
  <c r="K897" i="13"/>
  <c r="L895" i="13"/>
  <c r="C895" i="13"/>
  <c r="N894" i="13"/>
  <c r="E894" i="19" s="1"/>
  <c r="G894" i="19" s="1"/>
  <c r="I892" i="13"/>
  <c r="L891" i="13"/>
  <c r="C891" i="13"/>
  <c r="N890" i="13"/>
  <c r="E890" i="19" s="1"/>
  <c r="G890" i="19" s="1"/>
  <c r="J888" i="13"/>
  <c r="C884" i="13"/>
  <c r="K884" i="13"/>
  <c r="L884" i="13"/>
  <c r="C883" i="13"/>
  <c r="J880" i="13"/>
  <c r="N880" i="13" s="1"/>
  <c r="E880" i="19" s="1"/>
  <c r="G880" i="19" s="1"/>
  <c r="C876" i="13"/>
  <c r="K876" i="13"/>
  <c r="L876" i="13"/>
  <c r="C875" i="13"/>
  <c r="J872" i="13"/>
  <c r="N872" i="13" s="1"/>
  <c r="E872" i="19" s="1"/>
  <c r="G872" i="19" s="1"/>
  <c r="C868" i="13"/>
  <c r="K868" i="13"/>
  <c r="L868" i="13"/>
  <c r="C867" i="13"/>
  <c r="J864" i="13"/>
  <c r="H859" i="13"/>
  <c r="I856" i="13"/>
  <c r="M856" i="13"/>
  <c r="N856" i="13" s="1"/>
  <c r="E856" i="19" s="1"/>
  <c r="G856" i="19" s="1"/>
  <c r="C856" i="13"/>
  <c r="K856" i="13"/>
  <c r="L856" i="13"/>
  <c r="K889" i="13"/>
  <c r="K885" i="13"/>
  <c r="K881" i="13"/>
  <c r="K877" i="13"/>
  <c r="K873" i="13"/>
  <c r="K869" i="13"/>
  <c r="K865" i="13"/>
  <c r="M863" i="13"/>
  <c r="N863" i="13" s="1"/>
  <c r="E863" i="19" s="1"/>
  <c r="I863" i="13"/>
  <c r="K861" i="13"/>
  <c r="M859" i="13"/>
  <c r="N859" i="13" s="1"/>
  <c r="E859" i="19" s="1"/>
  <c r="I859" i="13"/>
  <c r="K857" i="13"/>
  <c r="M855" i="13"/>
  <c r="N855" i="13" s="1"/>
  <c r="E855" i="19" s="1"/>
  <c r="I855" i="13"/>
  <c r="K853" i="13"/>
  <c r="L852" i="13"/>
  <c r="M851" i="13"/>
  <c r="N851" i="13" s="1"/>
  <c r="E851" i="19" s="1"/>
  <c r="I851" i="13"/>
  <c r="K849" i="13"/>
  <c r="L848" i="13"/>
  <c r="M847" i="13"/>
  <c r="N847" i="13" s="1"/>
  <c r="E847" i="19" s="1"/>
  <c r="I847" i="13"/>
  <c r="K845" i="13"/>
  <c r="L844" i="13"/>
  <c r="M843" i="13"/>
  <c r="N843" i="13" s="1"/>
  <c r="E843" i="19" s="1"/>
  <c r="F843" i="19" s="1"/>
  <c r="I843" i="13"/>
  <c r="K841" i="13"/>
  <c r="L840" i="13"/>
  <c r="M839" i="13"/>
  <c r="N839" i="13" s="1"/>
  <c r="E839" i="19" s="1"/>
  <c r="F839" i="19" s="1"/>
  <c r="I839" i="13"/>
  <c r="K837" i="13"/>
  <c r="L836" i="13"/>
  <c r="M835" i="13"/>
  <c r="N835" i="13" s="1"/>
  <c r="E835" i="19" s="1"/>
  <c r="G835" i="19" s="1"/>
  <c r="I835" i="13"/>
  <c r="K833" i="13"/>
  <c r="L832" i="13"/>
  <c r="M831" i="13"/>
  <c r="N831" i="13" s="1"/>
  <c r="E831" i="19" s="1"/>
  <c r="G831" i="19" s="1"/>
  <c r="I831" i="13"/>
  <c r="K829" i="13"/>
  <c r="N828" i="13"/>
  <c r="E828" i="19" s="1"/>
  <c r="J827" i="13"/>
  <c r="I826" i="13"/>
  <c r="L825" i="13"/>
  <c r="N824" i="13"/>
  <c r="E824" i="19" s="1"/>
  <c r="J823" i="13"/>
  <c r="I822" i="13"/>
  <c r="L821" i="13"/>
  <c r="N820" i="13"/>
  <c r="E820" i="19" s="1"/>
  <c r="J819" i="13"/>
  <c r="N819" i="13" s="1"/>
  <c r="E819" i="19" s="1"/>
  <c r="G819" i="19" s="1"/>
  <c r="L818" i="13"/>
  <c r="I818" i="13"/>
  <c r="M818" i="13"/>
  <c r="N818" i="13" s="1"/>
  <c r="E818" i="19" s="1"/>
  <c r="H817" i="13"/>
  <c r="N816" i="13"/>
  <c r="E816" i="19" s="1"/>
  <c r="I815" i="13"/>
  <c r="H855" i="13"/>
  <c r="K852" i="13"/>
  <c r="C852" i="13"/>
  <c r="H851" i="13"/>
  <c r="K848" i="13"/>
  <c r="C848" i="13"/>
  <c r="H847" i="13"/>
  <c r="K844" i="13"/>
  <c r="C844" i="13"/>
  <c r="H843" i="13"/>
  <c r="K840" i="13"/>
  <c r="C840" i="13"/>
  <c r="H839" i="13"/>
  <c r="K836" i="13"/>
  <c r="C836" i="13"/>
  <c r="H835" i="13"/>
  <c r="K832" i="13"/>
  <c r="C832" i="13"/>
  <c r="H831" i="13"/>
  <c r="N827" i="13"/>
  <c r="E827" i="19" s="1"/>
  <c r="G827" i="19" s="1"/>
  <c r="M826" i="13"/>
  <c r="C826" i="13"/>
  <c r="I825" i="13"/>
  <c r="M825" i="13"/>
  <c r="N825" i="13" s="1"/>
  <c r="E825" i="19" s="1"/>
  <c r="G825" i="19" s="1"/>
  <c r="N823" i="13"/>
  <c r="E823" i="19" s="1"/>
  <c r="G823" i="19" s="1"/>
  <c r="M822" i="13"/>
  <c r="C822" i="13"/>
  <c r="I821" i="13"/>
  <c r="M821" i="13"/>
  <c r="N821" i="13" s="1"/>
  <c r="E821" i="19" s="1"/>
  <c r="G821" i="19" s="1"/>
  <c r="C815" i="13"/>
  <c r="K815" i="13"/>
  <c r="L815" i="13"/>
  <c r="H810" i="13"/>
  <c r="H806" i="13"/>
  <c r="H802" i="13"/>
  <c r="H798" i="13"/>
  <c r="H794" i="13"/>
  <c r="M852" i="13"/>
  <c r="N852" i="13" s="1"/>
  <c r="E852" i="19" s="1"/>
  <c r="G852" i="19" s="1"/>
  <c r="M848" i="13"/>
  <c r="N848" i="13" s="1"/>
  <c r="E848" i="19" s="1"/>
  <c r="G848" i="19" s="1"/>
  <c r="M844" i="13"/>
  <c r="N844" i="13" s="1"/>
  <c r="E844" i="19" s="1"/>
  <c r="M840" i="13"/>
  <c r="N840" i="13" s="1"/>
  <c r="E840" i="19" s="1"/>
  <c r="M836" i="13"/>
  <c r="N836" i="13" s="1"/>
  <c r="E836" i="19" s="1"/>
  <c r="M832" i="13"/>
  <c r="N832" i="13" s="1"/>
  <c r="E832" i="19" s="1"/>
  <c r="H828" i="13"/>
  <c r="C827" i="13"/>
  <c r="K827" i="13"/>
  <c r="J826" i="13"/>
  <c r="H824" i="13"/>
  <c r="C823" i="13"/>
  <c r="K823" i="13"/>
  <c r="J822" i="13"/>
  <c r="N822" i="13" s="1"/>
  <c r="E822" i="19" s="1"/>
  <c r="H820" i="13"/>
  <c r="C819" i="13"/>
  <c r="K819" i="13"/>
  <c r="H816" i="13"/>
  <c r="J815" i="13"/>
  <c r="N815" i="13" s="1"/>
  <c r="E815" i="19" s="1"/>
  <c r="G815" i="19" s="1"/>
  <c r="H813" i="13"/>
  <c r="I811" i="13"/>
  <c r="M811" i="13"/>
  <c r="N811" i="13" s="1"/>
  <c r="E811" i="19" s="1"/>
  <c r="G811" i="19" s="1"/>
  <c r="C811" i="13"/>
  <c r="K811" i="13"/>
  <c r="L811" i="13"/>
  <c r="H809" i="13"/>
  <c r="I807" i="13"/>
  <c r="M807" i="13"/>
  <c r="N807" i="13" s="1"/>
  <c r="E807" i="19" s="1"/>
  <c r="F807" i="19" s="1"/>
  <c r="C807" i="13"/>
  <c r="K807" i="13"/>
  <c r="L807" i="13"/>
  <c r="H805" i="13"/>
  <c r="I803" i="13"/>
  <c r="M803" i="13"/>
  <c r="N803" i="13" s="1"/>
  <c r="E803" i="19" s="1"/>
  <c r="G803" i="19" s="1"/>
  <c r="C803" i="13"/>
  <c r="K803" i="13"/>
  <c r="L803" i="13"/>
  <c r="H801" i="13"/>
  <c r="I799" i="13"/>
  <c r="M799" i="13"/>
  <c r="N799" i="13" s="1"/>
  <c r="E799" i="19" s="1"/>
  <c r="G799" i="19" s="1"/>
  <c r="C799" i="13"/>
  <c r="K799" i="13"/>
  <c r="L799" i="13"/>
  <c r="H797" i="13"/>
  <c r="I795" i="13"/>
  <c r="M795" i="13"/>
  <c r="N795" i="13" s="1"/>
  <c r="E795" i="19" s="1"/>
  <c r="G795" i="19" s="1"/>
  <c r="C795" i="13"/>
  <c r="K795" i="13"/>
  <c r="L795" i="13"/>
  <c r="M814" i="13"/>
  <c r="N814" i="13" s="1"/>
  <c r="E814" i="19" s="1"/>
  <c r="I814" i="13"/>
  <c r="M810" i="13"/>
  <c r="N810" i="13" s="1"/>
  <c r="E810" i="19" s="1"/>
  <c r="I810" i="13"/>
  <c r="M806" i="13"/>
  <c r="N806" i="13" s="1"/>
  <c r="E806" i="19" s="1"/>
  <c r="I806" i="13"/>
  <c r="M802" i="13"/>
  <c r="N802" i="13" s="1"/>
  <c r="E802" i="19" s="1"/>
  <c r="I802" i="13"/>
  <c r="M798" i="13"/>
  <c r="N798" i="13" s="1"/>
  <c r="E798" i="19" s="1"/>
  <c r="I798" i="13"/>
  <c r="M794" i="13"/>
  <c r="N794" i="13" s="1"/>
  <c r="E794" i="19" s="1"/>
  <c r="I794" i="13"/>
  <c r="L791" i="13"/>
  <c r="M790" i="13"/>
  <c r="N790" i="13" s="1"/>
  <c r="E790" i="19" s="1"/>
  <c r="I790" i="13"/>
  <c r="L787" i="13"/>
  <c r="M786" i="13"/>
  <c r="N786" i="13" s="1"/>
  <c r="E786" i="19" s="1"/>
  <c r="I786" i="13"/>
  <c r="L783" i="13"/>
  <c r="M782" i="13"/>
  <c r="N782" i="13" s="1"/>
  <c r="E782" i="19" s="1"/>
  <c r="I782" i="13"/>
  <c r="L779" i="13"/>
  <c r="M778" i="13"/>
  <c r="N778" i="13" s="1"/>
  <c r="E778" i="19" s="1"/>
  <c r="I778" i="13"/>
  <c r="L775" i="13"/>
  <c r="M774" i="13"/>
  <c r="N774" i="13" s="1"/>
  <c r="E774" i="19" s="1"/>
  <c r="I774" i="13"/>
  <c r="L771" i="13"/>
  <c r="M770" i="13"/>
  <c r="N770" i="13" s="1"/>
  <c r="E770" i="19" s="1"/>
  <c r="I770" i="13"/>
  <c r="L767" i="13"/>
  <c r="M766" i="13"/>
  <c r="N766" i="13" s="1"/>
  <c r="E766" i="19" s="1"/>
  <c r="I766" i="13"/>
  <c r="L763" i="13"/>
  <c r="M762" i="13"/>
  <c r="N762" i="13" s="1"/>
  <c r="E762" i="19" s="1"/>
  <c r="I762" i="13"/>
  <c r="L759" i="13"/>
  <c r="M758" i="13"/>
  <c r="N758" i="13" s="1"/>
  <c r="E758" i="19" s="1"/>
  <c r="I758" i="13"/>
  <c r="L755" i="13"/>
  <c r="M754" i="13"/>
  <c r="N754" i="13" s="1"/>
  <c r="E754" i="19" s="1"/>
  <c r="I754" i="13"/>
  <c r="J752" i="13"/>
  <c r="N752" i="13" s="1"/>
  <c r="E752" i="19" s="1"/>
  <c r="H750" i="13"/>
  <c r="C749" i="13"/>
  <c r="K749" i="13"/>
  <c r="I747" i="13"/>
  <c r="M747" i="13"/>
  <c r="N747" i="13" s="1"/>
  <c r="E747" i="19" s="1"/>
  <c r="G747" i="19" s="1"/>
  <c r="C747" i="13"/>
  <c r="K747" i="13"/>
  <c r="L745" i="13"/>
  <c r="H744" i="13"/>
  <c r="N744" i="13"/>
  <c r="E744" i="19" s="1"/>
  <c r="N742" i="13"/>
  <c r="E742" i="19" s="1"/>
  <c r="H742" i="13"/>
  <c r="I739" i="13"/>
  <c r="M739" i="13"/>
  <c r="N739" i="13" s="1"/>
  <c r="E739" i="19" s="1"/>
  <c r="G739" i="19" s="1"/>
  <c r="C739" i="13"/>
  <c r="K739" i="13"/>
  <c r="L735" i="13"/>
  <c r="I735" i="13"/>
  <c r="M735" i="13"/>
  <c r="N735" i="13" s="1"/>
  <c r="E735" i="19" s="1"/>
  <c r="G735" i="19" s="1"/>
  <c r="C735" i="13"/>
  <c r="K735" i="13"/>
  <c r="H729" i="13"/>
  <c r="M817" i="13"/>
  <c r="N817" i="13" s="1"/>
  <c r="E817" i="19" s="1"/>
  <c r="M813" i="13"/>
  <c r="N813" i="13" s="1"/>
  <c r="E813" i="19" s="1"/>
  <c r="G813" i="19" s="1"/>
  <c r="M809" i="13"/>
  <c r="N809" i="13" s="1"/>
  <c r="E809" i="19" s="1"/>
  <c r="M805" i="13"/>
  <c r="N805" i="13" s="1"/>
  <c r="E805" i="19" s="1"/>
  <c r="G805" i="19" s="1"/>
  <c r="M801" i="13"/>
  <c r="N801" i="13" s="1"/>
  <c r="E801" i="19" s="1"/>
  <c r="M797" i="13"/>
  <c r="N797" i="13" s="1"/>
  <c r="E797" i="19" s="1"/>
  <c r="G797" i="19" s="1"/>
  <c r="M793" i="13"/>
  <c r="N793" i="13" s="1"/>
  <c r="E793" i="19" s="1"/>
  <c r="K791" i="13"/>
  <c r="C791" i="13"/>
  <c r="H790" i="13"/>
  <c r="M789" i="13"/>
  <c r="N789" i="13" s="1"/>
  <c r="E789" i="19" s="1"/>
  <c r="K787" i="13"/>
  <c r="C787" i="13"/>
  <c r="H786" i="13"/>
  <c r="M785" i="13"/>
  <c r="N785" i="13" s="1"/>
  <c r="E785" i="19" s="1"/>
  <c r="G785" i="19" s="1"/>
  <c r="K783" i="13"/>
  <c r="C783" i="13"/>
  <c r="H782" i="13"/>
  <c r="M781" i="13"/>
  <c r="N781" i="13" s="1"/>
  <c r="E781" i="19" s="1"/>
  <c r="K779" i="13"/>
  <c r="C779" i="13"/>
  <c r="H778" i="13"/>
  <c r="M777" i="13"/>
  <c r="N777" i="13" s="1"/>
  <c r="E777" i="19" s="1"/>
  <c r="K775" i="13"/>
  <c r="C775" i="13"/>
  <c r="H774" i="13"/>
  <c r="M773" i="13"/>
  <c r="N773" i="13" s="1"/>
  <c r="E773" i="19" s="1"/>
  <c r="K771" i="13"/>
  <c r="C771" i="13"/>
  <c r="H770" i="13"/>
  <c r="M769" i="13"/>
  <c r="N769" i="13" s="1"/>
  <c r="E769" i="19" s="1"/>
  <c r="G769" i="19" s="1"/>
  <c r="K767" i="13"/>
  <c r="C767" i="13"/>
  <c r="H766" i="13"/>
  <c r="M765" i="13"/>
  <c r="N765" i="13" s="1"/>
  <c r="E765" i="19" s="1"/>
  <c r="K763" i="13"/>
  <c r="C763" i="13"/>
  <c r="H762" i="13"/>
  <c r="M761" i="13"/>
  <c r="N761" i="13" s="1"/>
  <c r="E761" i="19" s="1"/>
  <c r="G761" i="19" s="1"/>
  <c r="K759" i="13"/>
  <c r="C759" i="13"/>
  <c r="H758" i="13"/>
  <c r="M757" i="13"/>
  <c r="N757" i="13" s="1"/>
  <c r="E757" i="19" s="1"/>
  <c r="K755" i="13"/>
  <c r="C755" i="13"/>
  <c r="H754" i="13"/>
  <c r="M753" i="13"/>
  <c r="N753" i="13" s="1"/>
  <c r="E753" i="19" s="1"/>
  <c r="G753" i="19" s="1"/>
  <c r="I752" i="13"/>
  <c r="L751" i="13"/>
  <c r="N750" i="13"/>
  <c r="E750" i="19" s="1"/>
  <c r="J749" i="13"/>
  <c r="N749" i="13" s="1"/>
  <c r="E749" i="19" s="1"/>
  <c r="G749" i="19" s="1"/>
  <c r="L747" i="13"/>
  <c r="C741" i="13"/>
  <c r="K741" i="13"/>
  <c r="I741" i="13"/>
  <c r="M741" i="13"/>
  <c r="N741" i="13" s="1"/>
  <c r="E741" i="19" s="1"/>
  <c r="G741" i="19" s="1"/>
  <c r="L739" i="13"/>
  <c r="H733" i="13"/>
  <c r="N730" i="13"/>
  <c r="E730" i="19" s="1"/>
  <c r="H730" i="13"/>
  <c r="I751" i="13"/>
  <c r="M751" i="13"/>
  <c r="N746" i="13"/>
  <c r="E746" i="19" s="1"/>
  <c r="H746" i="13"/>
  <c r="I743" i="13"/>
  <c r="M743" i="13"/>
  <c r="N743" i="13" s="1"/>
  <c r="E743" i="19" s="1"/>
  <c r="C743" i="13"/>
  <c r="K743" i="13"/>
  <c r="H740" i="13"/>
  <c r="N740" i="13"/>
  <c r="E740" i="19" s="1"/>
  <c r="N738" i="13"/>
  <c r="E738" i="19" s="1"/>
  <c r="H738" i="13"/>
  <c r="N734" i="13"/>
  <c r="E734" i="19" s="1"/>
  <c r="H734" i="13"/>
  <c r="L727" i="13"/>
  <c r="I727" i="13"/>
  <c r="M727" i="13"/>
  <c r="C727" i="13"/>
  <c r="K727" i="13"/>
  <c r="M791" i="13"/>
  <c r="N791" i="13" s="1"/>
  <c r="E791" i="19" s="1"/>
  <c r="G791" i="19" s="1"/>
  <c r="M787" i="13"/>
  <c r="N787" i="13" s="1"/>
  <c r="E787" i="19" s="1"/>
  <c r="G787" i="19" s="1"/>
  <c r="M783" i="13"/>
  <c r="N783" i="13" s="1"/>
  <c r="E783" i="19" s="1"/>
  <c r="G783" i="19" s="1"/>
  <c r="M779" i="13"/>
  <c r="N779" i="13" s="1"/>
  <c r="E779" i="19" s="1"/>
  <c r="G779" i="19" s="1"/>
  <c r="M775" i="13"/>
  <c r="N775" i="13" s="1"/>
  <c r="E775" i="19" s="1"/>
  <c r="G775" i="19" s="1"/>
  <c r="M771" i="13"/>
  <c r="N771" i="13" s="1"/>
  <c r="E771" i="19" s="1"/>
  <c r="G771" i="19" s="1"/>
  <c r="M767" i="13"/>
  <c r="N767" i="13" s="1"/>
  <c r="E767" i="19" s="1"/>
  <c r="G767" i="19" s="1"/>
  <c r="M763" i="13"/>
  <c r="N763" i="13" s="1"/>
  <c r="E763" i="19" s="1"/>
  <c r="G763" i="19" s="1"/>
  <c r="M759" i="13"/>
  <c r="N759" i="13" s="1"/>
  <c r="E759" i="19" s="1"/>
  <c r="G759" i="19" s="1"/>
  <c r="M755" i="13"/>
  <c r="N755" i="13" s="1"/>
  <c r="E755" i="19" s="1"/>
  <c r="G755" i="19" s="1"/>
  <c r="J751" i="13"/>
  <c r="N751" i="13" s="1"/>
  <c r="E751" i="19" s="1"/>
  <c r="G751" i="19" s="1"/>
  <c r="C745" i="13"/>
  <c r="K745" i="13"/>
  <c r="I745" i="13"/>
  <c r="M745" i="13"/>
  <c r="N745" i="13" s="1"/>
  <c r="E745" i="19" s="1"/>
  <c r="G745" i="19" s="1"/>
  <c r="L743" i="13"/>
  <c r="L731" i="13"/>
  <c r="I731" i="13"/>
  <c r="M731" i="13"/>
  <c r="N731" i="13" s="1"/>
  <c r="E731" i="19" s="1"/>
  <c r="G731" i="19" s="1"/>
  <c r="C731" i="13"/>
  <c r="K731" i="13"/>
  <c r="N727" i="13"/>
  <c r="E727" i="19" s="1"/>
  <c r="G727" i="19" s="1"/>
  <c r="M737" i="13"/>
  <c r="N737" i="13" s="1"/>
  <c r="E737" i="19" s="1"/>
  <c r="G737" i="19" s="1"/>
  <c r="I737" i="13"/>
  <c r="N736" i="13"/>
  <c r="E736" i="19" s="1"/>
  <c r="M733" i="13"/>
  <c r="N733" i="13" s="1"/>
  <c r="E733" i="19" s="1"/>
  <c r="G733" i="19" s="1"/>
  <c r="I733" i="13"/>
  <c r="N732" i="13"/>
  <c r="E732" i="19" s="1"/>
  <c r="M729" i="13"/>
  <c r="N729" i="13" s="1"/>
  <c r="E729" i="19" s="1"/>
  <c r="G729" i="19" s="1"/>
  <c r="I729" i="13"/>
  <c r="N728" i="13"/>
  <c r="E728" i="19" s="1"/>
  <c r="H726" i="13"/>
  <c r="M725" i="13"/>
  <c r="N725" i="13" s="1"/>
  <c r="E725" i="19" s="1"/>
  <c r="G725" i="19" s="1"/>
  <c r="I725" i="13"/>
  <c r="N724" i="13"/>
  <c r="E724" i="19" s="1"/>
  <c r="K723" i="13"/>
  <c r="C723" i="13"/>
  <c r="H722" i="13"/>
  <c r="M721" i="13"/>
  <c r="N721" i="13" s="1"/>
  <c r="E721" i="19" s="1"/>
  <c r="G721" i="19" s="1"/>
  <c r="I721" i="13"/>
  <c r="N720" i="13"/>
  <c r="E720" i="19" s="1"/>
  <c r="K719" i="13"/>
  <c r="C719" i="13"/>
  <c r="H718" i="13"/>
  <c r="M717" i="13"/>
  <c r="N717" i="13" s="1"/>
  <c r="E717" i="19" s="1"/>
  <c r="G717" i="19" s="1"/>
  <c r="I717" i="13"/>
  <c r="N716" i="13"/>
  <c r="E716" i="19" s="1"/>
  <c r="K715" i="13"/>
  <c r="C715" i="13"/>
  <c r="H714" i="13"/>
  <c r="M713" i="13"/>
  <c r="N713" i="13" s="1"/>
  <c r="E713" i="19" s="1"/>
  <c r="G713" i="19" s="1"/>
  <c r="I713" i="13"/>
  <c r="N712" i="13"/>
  <c r="E712" i="19" s="1"/>
  <c r="K711" i="13"/>
  <c r="C711" i="13"/>
  <c r="H710" i="13"/>
  <c r="M709" i="13"/>
  <c r="N709" i="13" s="1"/>
  <c r="E709" i="19" s="1"/>
  <c r="G709" i="19" s="1"/>
  <c r="I709" i="13"/>
  <c r="N708" i="13"/>
  <c r="E708" i="19" s="1"/>
  <c r="K707" i="13"/>
  <c r="C707" i="13"/>
  <c r="H706" i="13"/>
  <c r="M705" i="13"/>
  <c r="N705" i="13" s="1"/>
  <c r="E705" i="19" s="1"/>
  <c r="G705" i="19" s="1"/>
  <c r="I705" i="13"/>
  <c r="N704" i="13"/>
  <c r="E704" i="19" s="1"/>
  <c r="K703" i="13"/>
  <c r="C703" i="13"/>
  <c r="H702" i="13"/>
  <c r="M701" i="13"/>
  <c r="N701" i="13" s="1"/>
  <c r="E701" i="19" s="1"/>
  <c r="G701" i="19" s="1"/>
  <c r="I701" i="13"/>
  <c r="N700" i="13"/>
  <c r="E700" i="19" s="1"/>
  <c r="K699" i="13"/>
  <c r="C699" i="13"/>
  <c r="H698" i="13"/>
  <c r="M697" i="13"/>
  <c r="N697" i="13" s="1"/>
  <c r="E697" i="19" s="1"/>
  <c r="G697" i="19" s="1"/>
  <c r="I697" i="13"/>
  <c r="N696" i="13"/>
  <c r="E696" i="19" s="1"/>
  <c r="K695" i="13"/>
  <c r="C695" i="13"/>
  <c r="H694" i="13"/>
  <c r="M693" i="13"/>
  <c r="N693" i="13" s="1"/>
  <c r="E693" i="19" s="1"/>
  <c r="G693" i="19" s="1"/>
  <c r="I693" i="13"/>
  <c r="N692" i="13"/>
  <c r="E692" i="19" s="1"/>
  <c r="K691" i="13"/>
  <c r="C691" i="13"/>
  <c r="H690" i="13"/>
  <c r="M689" i="13"/>
  <c r="N689" i="13" s="1"/>
  <c r="E689" i="19" s="1"/>
  <c r="G689" i="19" s="1"/>
  <c r="I689" i="13"/>
  <c r="N688" i="13"/>
  <c r="E688" i="19" s="1"/>
  <c r="K687" i="13"/>
  <c r="C687" i="13"/>
  <c r="H686" i="13"/>
  <c r="M685" i="13"/>
  <c r="N685" i="13" s="1"/>
  <c r="E685" i="19" s="1"/>
  <c r="G685" i="19" s="1"/>
  <c r="I685" i="13"/>
  <c r="N684" i="13"/>
  <c r="E684" i="19" s="1"/>
  <c r="K683" i="13"/>
  <c r="C683" i="13"/>
  <c r="H682" i="13"/>
  <c r="M681" i="13"/>
  <c r="N681" i="13" s="1"/>
  <c r="E681" i="19" s="1"/>
  <c r="I681" i="13"/>
  <c r="N680" i="13"/>
  <c r="E680" i="19" s="1"/>
  <c r="F680" i="19" s="1"/>
  <c r="K679" i="13"/>
  <c r="C679" i="13"/>
  <c r="H678" i="13"/>
  <c r="M677" i="13"/>
  <c r="N677" i="13" s="1"/>
  <c r="E677" i="19" s="1"/>
  <c r="I677" i="13"/>
  <c r="N676" i="13"/>
  <c r="E676" i="19" s="1"/>
  <c r="G676" i="19" s="1"/>
  <c r="K675" i="13"/>
  <c r="C675" i="13"/>
  <c r="H674" i="13"/>
  <c r="M673" i="13"/>
  <c r="N673" i="13" s="1"/>
  <c r="E673" i="19" s="1"/>
  <c r="I673" i="13"/>
  <c r="N672" i="13"/>
  <c r="E672" i="19" s="1"/>
  <c r="G672" i="19" s="1"/>
  <c r="J671" i="13"/>
  <c r="N668" i="13"/>
  <c r="E668" i="19" s="1"/>
  <c r="G668" i="19" s="1"/>
  <c r="H668" i="13"/>
  <c r="H666" i="13"/>
  <c r="N666" i="13"/>
  <c r="E666" i="19" s="1"/>
  <c r="C663" i="13"/>
  <c r="K663" i="13"/>
  <c r="I663" i="13"/>
  <c r="M663" i="13"/>
  <c r="N660" i="13"/>
  <c r="E660" i="19" s="1"/>
  <c r="H660" i="13"/>
  <c r="H659" i="13"/>
  <c r="I665" i="13"/>
  <c r="M665" i="13"/>
  <c r="C665" i="13"/>
  <c r="K665" i="13"/>
  <c r="K737" i="13"/>
  <c r="K733" i="13"/>
  <c r="K729" i="13"/>
  <c r="K725" i="13"/>
  <c r="M723" i="13"/>
  <c r="N723" i="13" s="1"/>
  <c r="E723" i="19" s="1"/>
  <c r="G723" i="19" s="1"/>
  <c r="I723" i="13"/>
  <c r="K721" i="13"/>
  <c r="M719" i="13"/>
  <c r="N719" i="13" s="1"/>
  <c r="E719" i="19" s="1"/>
  <c r="G719" i="19" s="1"/>
  <c r="I719" i="13"/>
  <c r="K717" i="13"/>
  <c r="M715" i="13"/>
  <c r="N715" i="13" s="1"/>
  <c r="E715" i="19" s="1"/>
  <c r="G715" i="19" s="1"/>
  <c r="I715" i="13"/>
  <c r="K713" i="13"/>
  <c r="M711" i="13"/>
  <c r="N711" i="13" s="1"/>
  <c r="E711" i="19" s="1"/>
  <c r="G711" i="19" s="1"/>
  <c r="I711" i="13"/>
  <c r="K709" i="13"/>
  <c r="M707" i="13"/>
  <c r="N707" i="13" s="1"/>
  <c r="E707" i="19" s="1"/>
  <c r="G707" i="19" s="1"/>
  <c r="I707" i="13"/>
  <c r="K705" i="13"/>
  <c r="M703" i="13"/>
  <c r="N703" i="13" s="1"/>
  <c r="E703" i="19" s="1"/>
  <c r="G703" i="19" s="1"/>
  <c r="I703" i="13"/>
  <c r="K701" i="13"/>
  <c r="M699" i="13"/>
  <c r="N699" i="13" s="1"/>
  <c r="E699" i="19" s="1"/>
  <c r="G699" i="19" s="1"/>
  <c r="I699" i="13"/>
  <c r="K697" i="13"/>
  <c r="M695" i="13"/>
  <c r="N695" i="13" s="1"/>
  <c r="E695" i="19" s="1"/>
  <c r="G695" i="19" s="1"/>
  <c r="I695" i="13"/>
  <c r="K693" i="13"/>
  <c r="M691" i="13"/>
  <c r="N691" i="13" s="1"/>
  <c r="E691" i="19" s="1"/>
  <c r="G691" i="19" s="1"/>
  <c r="I691" i="13"/>
  <c r="K689" i="13"/>
  <c r="M687" i="13"/>
  <c r="N687" i="13" s="1"/>
  <c r="E687" i="19" s="1"/>
  <c r="G687" i="19" s="1"/>
  <c r="I687" i="13"/>
  <c r="K685" i="13"/>
  <c r="M683" i="13"/>
  <c r="N683" i="13" s="1"/>
  <c r="E683" i="19" s="1"/>
  <c r="G683" i="19" s="1"/>
  <c r="I683" i="13"/>
  <c r="K681" i="13"/>
  <c r="M679" i="13"/>
  <c r="N679" i="13" s="1"/>
  <c r="E679" i="19" s="1"/>
  <c r="G679" i="19" s="1"/>
  <c r="I679" i="13"/>
  <c r="K677" i="13"/>
  <c r="M675" i="13"/>
  <c r="N675" i="13" s="1"/>
  <c r="E675" i="19" s="1"/>
  <c r="I675" i="13"/>
  <c r="K673" i="13"/>
  <c r="L671" i="13"/>
  <c r="N670" i="13"/>
  <c r="E670" i="19" s="1"/>
  <c r="C667" i="13"/>
  <c r="K667" i="13"/>
  <c r="I667" i="13"/>
  <c r="M667" i="13"/>
  <c r="N667" i="13" s="1"/>
  <c r="E667" i="19" s="1"/>
  <c r="L665" i="13"/>
  <c r="N664" i="13"/>
  <c r="E664" i="19" s="1"/>
  <c r="G664" i="19" s="1"/>
  <c r="H664" i="13"/>
  <c r="J663" i="13"/>
  <c r="N663" i="13" s="1"/>
  <c r="E663" i="19" s="1"/>
  <c r="H662" i="13"/>
  <c r="N662" i="13"/>
  <c r="E662" i="19" s="1"/>
  <c r="I671" i="13"/>
  <c r="M671" i="13"/>
  <c r="I669" i="13"/>
  <c r="M669" i="13"/>
  <c r="N669" i="13" s="1"/>
  <c r="E669" i="19" s="1"/>
  <c r="C669" i="13"/>
  <c r="K669" i="13"/>
  <c r="J665" i="13"/>
  <c r="N665" i="13" s="1"/>
  <c r="E665" i="19" s="1"/>
  <c r="I661" i="13"/>
  <c r="M661" i="13"/>
  <c r="N661" i="13" s="1"/>
  <c r="E661" i="19" s="1"/>
  <c r="C661" i="13"/>
  <c r="K661" i="13"/>
  <c r="L657" i="13"/>
  <c r="L653" i="13"/>
  <c r="L649" i="13"/>
  <c r="L645" i="13"/>
  <c r="L641" i="13"/>
  <c r="L637" i="13"/>
  <c r="L633" i="13"/>
  <c r="M659" i="13"/>
  <c r="N659" i="13" s="1"/>
  <c r="E659" i="19" s="1"/>
  <c r="I659" i="13"/>
  <c r="N658" i="13"/>
  <c r="E658" i="19" s="1"/>
  <c r="K657" i="13"/>
  <c r="C657" i="13"/>
  <c r="H656" i="13"/>
  <c r="M655" i="13"/>
  <c r="N655" i="13" s="1"/>
  <c r="E655" i="19" s="1"/>
  <c r="I655" i="13"/>
  <c r="N654" i="13"/>
  <c r="E654" i="19" s="1"/>
  <c r="K653" i="13"/>
  <c r="C653" i="13"/>
  <c r="H652" i="13"/>
  <c r="M651" i="13"/>
  <c r="N651" i="13" s="1"/>
  <c r="E651" i="19" s="1"/>
  <c r="I651" i="13"/>
  <c r="N650" i="13"/>
  <c r="E650" i="19" s="1"/>
  <c r="K649" i="13"/>
  <c r="C649" i="13"/>
  <c r="H648" i="13"/>
  <c r="M647" i="13"/>
  <c r="N647" i="13" s="1"/>
  <c r="E647" i="19" s="1"/>
  <c r="I647" i="13"/>
  <c r="N646" i="13"/>
  <c r="E646" i="19" s="1"/>
  <c r="K645" i="13"/>
  <c r="C645" i="13"/>
  <c r="H644" i="13"/>
  <c r="M643" i="13"/>
  <c r="N643" i="13" s="1"/>
  <c r="E643" i="19" s="1"/>
  <c r="I643" i="13"/>
  <c r="N642" i="13"/>
  <c r="E642" i="19" s="1"/>
  <c r="K641" i="13"/>
  <c r="C641" i="13"/>
  <c r="H640" i="13"/>
  <c r="M639" i="13"/>
  <c r="N639" i="13" s="1"/>
  <c r="E639" i="19" s="1"/>
  <c r="I639" i="13"/>
  <c r="N638" i="13"/>
  <c r="E638" i="19" s="1"/>
  <c r="K637" i="13"/>
  <c r="C637" i="13"/>
  <c r="H636" i="13"/>
  <c r="M635" i="13"/>
  <c r="N635" i="13" s="1"/>
  <c r="E635" i="19" s="1"/>
  <c r="I635" i="13"/>
  <c r="N634" i="13"/>
  <c r="E634" i="19" s="1"/>
  <c r="K633" i="13"/>
  <c r="C633" i="13"/>
  <c r="H632" i="13"/>
  <c r="H631" i="13"/>
  <c r="H627" i="13"/>
  <c r="N627" i="13"/>
  <c r="E627" i="19" s="1"/>
  <c r="C624" i="13"/>
  <c r="K624" i="13"/>
  <c r="L624" i="13"/>
  <c r="I624" i="13"/>
  <c r="M624" i="13"/>
  <c r="N624" i="13" s="1"/>
  <c r="E624" i="19" s="1"/>
  <c r="H619" i="13"/>
  <c r="N619" i="13"/>
  <c r="E619" i="19" s="1"/>
  <c r="N577" i="13"/>
  <c r="E577" i="19" s="1"/>
  <c r="N631" i="13"/>
  <c r="E631" i="19" s="1"/>
  <c r="K659" i="13"/>
  <c r="M657" i="13"/>
  <c r="N657" i="13" s="1"/>
  <c r="E657" i="19" s="1"/>
  <c r="K655" i="13"/>
  <c r="M653" i="13"/>
  <c r="N653" i="13" s="1"/>
  <c r="E653" i="19" s="1"/>
  <c r="K651" i="13"/>
  <c r="M649" i="13"/>
  <c r="N649" i="13" s="1"/>
  <c r="E649" i="19" s="1"/>
  <c r="K647" i="13"/>
  <c r="M645" i="13"/>
  <c r="N645" i="13" s="1"/>
  <c r="E645" i="19" s="1"/>
  <c r="K643" i="13"/>
  <c r="M641" i="13"/>
  <c r="N641" i="13" s="1"/>
  <c r="E641" i="19" s="1"/>
  <c r="K639" i="13"/>
  <c r="M637" i="13"/>
  <c r="N637" i="13" s="1"/>
  <c r="E637" i="19" s="1"/>
  <c r="K635" i="13"/>
  <c r="M633" i="13"/>
  <c r="N633" i="13" s="1"/>
  <c r="E633" i="19" s="1"/>
  <c r="H630" i="13"/>
  <c r="C628" i="13"/>
  <c r="K628" i="13"/>
  <c r="L628" i="13"/>
  <c r="I628" i="13"/>
  <c r="M628" i="13"/>
  <c r="N628" i="13" s="1"/>
  <c r="E628" i="19" s="1"/>
  <c r="H623" i="13"/>
  <c r="N623" i="13"/>
  <c r="E623" i="19" s="1"/>
  <c r="C620" i="13"/>
  <c r="K620" i="13"/>
  <c r="L620" i="13"/>
  <c r="I620" i="13"/>
  <c r="M620" i="13"/>
  <c r="N620" i="13" s="1"/>
  <c r="E620" i="19" s="1"/>
  <c r="C595" i="13"/>
  <c r="H594" i="13"/>
  <c r="M593" i="13"/>
  <c r="N593" i="13" s="1"/>
  <c r="E593" i="19" s="1"/>
  <c r="I593" i="13"/>
  <c r="N592" i="13"/>
  <c r="E592" i="19" s="1"/>
  <c r="K591" i="13"/>
  <c r="C591" i="13"/>
  <c r="H590" i="13"/>
  <c r="M589" i="13"/>
  <c r="C589" i="13"/>
  <c r="I588" i="13"/>
  <c r="M588" i="13"/>
  <c r="N588" i="13" s="1"/>
  <c r="E588" i="19" s="1"/>
  <c r="N586" i="13"/>
  <c r="E586" i="19" s="1"/>
  <c r="M585" i="13"/>
  <c r="N585" i="13" s="1"/>
  <c r="E585" i="19" s="1"/>
  <c r="C585" i="13"/>
  <c r="I584" i="13"/>
  <c r="M584" i="13"/>
  <c r="N584" i="13" s="1"/>
  <c r="E584" i="19" s="1"/>
  <c r="H575" i="13"/>
  <c r="K630" i="13"/>
  <c r="L629" i="13"/>
  <c r="K626" i="13"/>
  <c r="L625" i="13"/>
  <c r="K622" i="13"/>
  <c r="L621" i="13"/>
  <c r="K618" i="13"/>
  <c r="L617" i="13"/>
  <c r="M616" i="13"/>
  <c r="N616" i="13" s="1"/>
  <c r="E616" i="19" s="1"/>
  <c r="I616" i="13"/>
  <c r="N615" i="13"/>
  <c r="E615" i="19" s="1"/>
  <c r="K614" i="13"/>
  <c r="L613" i="13"/>
  <c r="M612" i="13"/>
  <c r="N612" i="13" s="1"/>
  <c r="E612" i="19" s="1"/>
  <c r="I612" i="13"/>
  <c r="N611" i="13"/>
  <c r="E611" i="19" s="1"/>
  <c r="K610" i="13"/>
  <c r="L609" i="13"/>
  <c r="M608" i="13"/>
  <c r="N608" i="13" s="1"/>
  <c r="E608" i="19" s="1"/>
  <c r="I608" i="13"/>
  <c r="N607" i="13"/>
  <c r="E607" i="19" s="1"/>
  <c r="K606" i="13"/>
  <c r="L605" i="13"/>
  <c r="M604" i="13"/>
  <c r="N604" i="13" s="1"/>
  <c r="E604" i="19" s="1"/>
  <c r="I604" i="13"/>
  <c r="N603" i="13"/>
  <c r="E603" i="19" s="1"/>
  <c r="K602" i="13"/>
  <c r="L601" i="13"/>
  <c r="M600" i="13"/>
  <c r="N600" i="13" s="1"/>
  <c r="E600" i="19" s="1"/>
  <c r="I600" i="13"/>
  <c r="L597" i="13"/>
  <c r="M596" i="13"/>
  <c r="N596" i="13" s="1"/>
  <c r="E596" i="19" s="1"/>
  <c r="I596" i="13"/>
  <c r="L593" i="13"/>
  <c r="H576" i="13"/>
  <c r="L573" i="13"/>
  <c r="I573" i="13"/>
  <c r="M573" i="13"/>
  <c r="N573" i="13" s="1"/>
  <c r="E573" i="19" s="1"/>
  <c r="C573" i="13"/>
  <c r="K573" i="13"/>
  <c r="K629" i="13"/>
  <c r="K625" i="13"/>
  <c r="K621" i="13"/>
  <c r="K617" i="13"/>
  <c r="L616" i="13"/>
  <c r="K613" i="13"/>
  <c r="L612" i="13"/>
  <c r="K609" i="13"/>
  <c r="L608" i="13"/>
  <c r="K605" i="13"/>
  <c r="L604" i="13"/>
  <c r="K601" i="13"/>
  <c r="L600" i="13"/>
  <c r="M599" i="13"/>
  <c r="N599" i="13" s="1"/>
  <c r="E599" i="19" s="1"/>
  <c r="K597" i="13"/>
  <c r="L596" i="13"/>
  <c r="M595" i="13"/>
  <c r="N595" i="13" s="1"/>
  <c r="E595" i="19" s="1"/>
  <c r="K593" i="13"/>
  <c r="M591" i="13"/>
  <c r="N591" i="13" s="1"/>
  <c r="E591" i="19" s="1"/>
  <c r="J589" i="13"/>
  <c r="H587" i="13"/>
  <c r="C586" i="13"/>
  <c r="K586" i="13"/>
  <c r="H583" i="13"/>
  <c r="H580" i="13"/>
  <c r="L577" i="13"/>
  <c r="I577" i="13"/>
  <c r="M577" i="13"/>
  <c r="C577" i="13"/>
  <c r="K577" i="13"/>
  <c r="K616" i="13"/>
  <c r="K612" i="13"/>
  <c r="K608" i="13"/>
  <c r="K604" i="13"/>
  <c r="K600" i="13"/>
  <c r="K596" i="13"/>
  <c r="L581" i="13"/>
  <c r="I581" i="13"/>
  <c r="M581" i="13"/>
  <c r="N581" i="13" s="1"/>
  <c r="E581" i="19" s="1"/>
  <c r="C581" i="13"/>
  <c r="K581" i="13"/>
  <c r="L580" i="13"/>
  <c r="L576" i="13"/>
  <c r="L572" i="13"/>
  <c r="H572" i="13"/>
  <c r="K569" i="13"/>
  <c r="C569" i="13"/>
  <c r="L568" i="13"/>
  <c r="H568" i="13"/>
  <c r="K565" i="13"/>
  <c r="C565" i="13"/>
  <c r="L564" i="13"/>
  <c r="H564" i="13"/>
  <c r="K561" i="13"/>
  <c r="C561" i="13"/>
  <c r="L560" i="13"/>
  <c r="H560" i="13"/>
  <c r="K557" i="13"/>
  <c r="C557" i="13"/>
  <c r="L556" i="13"/>
  <c r="H556" i="13"/>
  <c r="M555" i="13"/>
  <c r="N555" i="13" s="1"/>
  <c r="E555" i="19" s="1"/>
  <c r="J549" i="13"/>
  <c r="I543" i="13"/>
  <c r="M543" i="13"/>
  <c r="N543" i="13" s="1"/>
  <c r="E543" i="19" s="1"/>
  <c r="C543" i="13"/>
  <c r="K543" i="13"/>
  <c r="L541" i="13"/>
  <c r="I535" i="13"/>
  <c r="M535" i="13"/>
  <c r="N535" i="13" s="1"/>
  <c r="E535" i="19" s="1"/>
  <c r="C535" i="13"/>
  <c r="K535" i="13"/>
  <c r="L533" i="13"/>
  <c r="I527" i="13"/>
  <c r="M527" i="13"/>
  <c r="N527" i="13" s="1"/>
  <c r="E527" i="19" s="1"/>
  <c r="C527" i="13"/>
  <c r="K527" i="13"/>
  <c r="L525" i="13"/>
  <c r="C517" i="13"/>
  <c r="K517" i="13"/>
  <c r="L517" i="13"/>
  <c r="I517" i="13"/>
  <c r="M517" i="13"/>
  <c r="N517" i="13" s="1"/>
  <c r="E517" i="19" s="1"/>
  <c r="C513" i="13"/>
  <c r="K513" i="13"/>
  <c r="L513" i="13"/>
  <c r="I513" i="13"/>
  <c r="M513" i="13"/>
  <c r="N513" i="13" s="1"/>
  <c r="E513" i="19" s="1"/>
  <c r="N510" i="13"/>
  <c r="E510" i="19" s="1"/>
  <c r="H552" i="13"/>
  <c r="C551" i="13"/>
  <c r="K551" i="13"/>
  <c r="H548" i="13"/>
  <c r="N548" i="13"/>
  <c r="E548" i="19" s="1"/>
  <c r="C545" i="13"/>
  <c r="K545" i="13"/>
  <c r="I545" i="13"/>
  <c r="M545" i="13"/>
  <c r="N545" i="13" s="1"/>
  <c r="E545" i="19" s="1"/>
  <c r="N542" i="13"/>
  <c r="E542" i="19" s="1"/>
  <c r="H542" i="13"/>
  <c r="H540" i="13"/>
  <c r="N540" i="13"/>
  <c r="E540" i="19" s="1"/>
  <c r="C537" i="13"/>
  <c r="K537" i="13"/>
  <c r="I537" i="13"/>
  <c r="M537" i="13"/>
  <c r="N537" i="13" s="1"/>
  <c r="E537" i="19" s="1"/>
  <c r="N534" i="13"/>
  <c r="E534" i="19" s="1"/>
  <c r="H534" i="13"/>
  <c r="H532" i="13"/>
  <c r="N532" i="13"/>
  <c r="E532" i="19" s="1"/>
  <c r="C529" i="13"/>
  <c r="K529" i="13"/>
  <c r="I529" i="13"/>
  <c r="M529" i="13"/>
  <c r="N529" i="13" s="1"/>
  <c r="E529" i="19" s="1"/>
  <c r="N526" i="13"/>
  <c r="E526" i="19" s="1"/>
  <c r="H526" i="13"/>
  <c r="H524" i="13"/>
  <c r="N524" i="13"/>
  <c r="E524" i="19" s="1"/>
  <c r="C521" i="13"/>
  <c r="K521" i="13"/>
  <c r="I521" i="13"/>
  <c r="M521" i="13"/>
  <c r="N521" i="13" s="1"/>
  <c r="E521" i="19" s="1"/>
  <c r="H515" i="13"/>
  <c r="M569" i="13"/>
  <c r="N569" i="13" s="1"/>
  <c r="E569" i="19" s="1"/>
  <c r="I569" i="13"/>
  <c r="M565" i="13"/>
  <c r="N565" i="13" s="1"/>
  <c r="E565" i="19" s="1"/>
  <c r="I565" i="13"/>
  <c r="M561" i="13"/>
  <c r="N561" i="13" s="1"/>
  <c r="E561" i="19" s="1"/>
  <c r="I561" i="13"/>
  <c r="M557" i="13"/>
  <c r="N557" i="13" s="1"/>
  <c r="E557" i="19" s="1"/>
  <c r="I557" i="13"/>
  <c r="I547" i="13"/>
  <c r="M547" i="13"/>
  <c r="N547" i="13" s="1"/>
  <c r="E547" i="19" s="1"/>
  <c r="C547" i="13"/>
  <c r="K547" i="13"/>
  <c r="I539" i="13"/>
  <c r="M539" i="13"/>
  <c r="N539" i="13" s="1"/>
  <c r="E539" i="19" s="1"/>
  <c r="C539" i="13"/>
  <c r="K539" i="13"/>
  <c r="I531" i="13"/>
  <c r="M531" i="13"/>
  <c r="N531" i="13" s="1"/>
  <c r="E531" i="19" s="1"/>
  <c r="C531" i="13"/>
  <c r="K531" i="13"/>
  <c r="I523" i="13"/>
  <c r="M523" i="13"/>
  <c r="N523" i="13" s="1"/>
  <c r="E523" i="19" s="1"/>
  <c r="C523" i="13"/>
  <c r="K523" i="13"/>
  <c r="H516" i="13"/>
  <c r="N516" i="13"/>
  <c r="E516" i="19" s="1"/>
  <c r="H512" i="13"/>
  <c r="N512" i="13"/>
  <c r="E512" i="19" s="1"/>
  <c r="K582" i="13"/>
  <c r="M580" i="13"/>
  <c r="N580" i="13" s="1"/>
  <c r="E580" i="19" s="1"/>
  <c r="K578" i="13"/>
  <c r="M576" i="13"/>
  <c r="N576" i="13" s="1"/>
  <c r="E576" i="19" s="1"/>
  <c r="K574" i="13"/>
  <c r="M572" i="13"/>
  <c r="N572" i="13" s="1"/>
  <c r="E572" i="19" s="1"/>
  <c r="K570" i="13"/>
  <c r="M568" i="13"/>
  <c r="N568" i="13" s="1"/>
  <c r="E568" i="19" s="1"/>
  <c r="K566" i="13"/>
  <c r="M564" i="13"/>
  <c r="N564" i="13" s="1"/>
  <c r="E564" i="19" s="1"/>
  <c r="K562" i="13"/>
  <c r="M560" i="13"/>
  <c r="N560" i="13" s="1"/>
  <c r="E560" i="19" s="1"/>
  <c r="K558" i="13"/>
  <c r="M556" i="13"/>
  <c r="N556" i="13" s="1"/>
  <c r="E556" i="19" s="1"/>
  <c r="I553" i="13"/>
  <c r="M553" i="13"/>
  <c r="N553" i="13" s="1"/>
  <c r="E553" i="19" s="1"/>
  <c r="I549" i="13"/>
  <c r="M549" i="13"/>
  <c r="L547" i="13"/>
  <c r="N546" i="13"/>
  <c r="E546" i="19" s="1"/>
  <c r="H546" i="13"/>
  <c r="H544" i="13"/>
  <c r="N544" i="13"/>
  <c r="E544" i="19" s="1"/>
  <c r="C541" i="13"/>
  <c r="K541" i="13"/>
  <c r="I541" i="13"/>
  <c r="M541" i="13"/>
  <c r="N541" i="13" s="1"/>
  <c r="E541" i="19" s="1"/>
  <c r="L539" i="13"/>
  <c r="N538" i="13"/>
  <c r="E538" i="19" s="1"/>
  <c r="H538" i="13"/>
  <c r="H536" i="13"/>
  <c r="N536" i="13"/>
  <c r="E536" i="19" s="1"/>
  <c r="C533" i="13"/>
  <c r="K533" i="13"/>
  <c r="I533" i="13"/>
  <c r="M533" i="13"/>
  <c r="N533" i="13" s="1"/>
  <c r="E533" i="19" s="1"/>
  <c r="L531" i="13"/>
  <c r="N530" i="13"/>
  <c r="E530" i="19" s="1"/>
  <c r="H530" i="13"/>
  <c r="H528" i="13"/>
  <c r="N528" i="13"/>
  <c r="E528" i="19" s="1"/>
  <c r="C525" i="13"/>
  <c r="K525" i="13"/>
  <c r="I525" i="13"/>
  <c r="M525" i="13"/>
  <c r="N525" i="13" s="1"/>
  <c r="E525" i="19" s="1"/>
  <c r="L523" i="13"/>
  <c r="N522" i="13"/>
  <c r="E522" i="19" s="1"/>
  <c r="H522" i="13"/>
  <c r="H520" i="13"/>
  <c r="N520" i="13"/>
  <c r="E520" i="19" s="1"/>
  <c r="N518" i="13"/>
  <c r="E518" i="19" s="1"/>
  <c r="N514" i="13"/>
  <c r="E514" i="19" s="1"/>
  <c r="K519" i="13"/>
  <c r="C519" i="13"/>
  <c r="H518" i="13"/>
  <c r="K515" i="13"/>
  <c r="C515" i="13"/>
  <c r="H514" i="13"/>
  <c r="K511" i="13"/>
  <c r="C511" i="13"/>
  <c r="H510" i="13"/>
  <c r="M519" i="13"/>
  <c r="N519" i="13" s="1"/>
  <c r="E519" i="19" s="1"/>
  <c r="M515" i="13"/>
  <c r="N515" i="13" s="1"/>
  <c r="E515" i="19" s="1"/>
  <c r="M511" i="13"/>
  <c r="N511" i="13" s="1"/>
  <c r="E511" i="19" s="1"/>
  <c r="K509" i="13"/>
  <c r="S18" i="20"/>
  <c r="F574" i="19" l="1"/>
  <c r="G574" i="19"/>
  <c r="G606" i="19"/>
  <c r="F606" i="19"/>
  <c r="G874" i="19"/>
  <c r="F874" i="19"/>
  <c r="G901" i="19"/>
  <c r="F901" i="19"/>
  <c r="G1063" i="19"/>
  <c r="F1063" i="19"/>
  <c r="F1346" i="19"/>
  <c r="G1346" i="19"/>
  <c r="F768" i="19"/>
  <c r="G768" i="19"/>
  <c r="F796" i="19"/>
  <c r="G796" i="19"/>
  <c r="G833" i="19"/>
  <c r="F833" i="19"/>
  <c r="F841" i="19"/>
  <c r="G841" i="19"/>
  <c r="F849" i="19"/>
  <c r="G849" i="19"/>
  <c r="F873" i="19"/>
  <c r="G873" i="19"/>
  <c r="G850" i="19"/>
  <c r="F850" i="19"/>
  <c r="G1047" i="19"/>
  <c r="F1047" i="19"/>
  <c r="F597" i="19"/>
  <c r="G597" i="19"/>
  <c r="F632" i="19"/>
  <c r="G632" i="19"/>
  <c r="F857" i="19"/>
  <c r="G857" i="19"/>
  <c r="G946" i="19"/>
  <c r="F946" i="19"/>
  <c r="F935" i="19"/>
  <c r="G935" i="19"/>
  <c r="G982" i="19"/>
  <c r="F982" i="19"/>
  <c r="F1496" i="19"/>
  <c r="G1496" i="19"/>
  <c r="F1432" i="19"/>
  <c r="G1432" i="19"/>
  <c r="G566" i="19"/>
  <c r="F566" i="19"/>
  <c r="G870" i="19"/>
  <c r="F870" i="19"/>
  <c r="G962" i="19"/>
  <c r="F962" i="19"/>
  <c r="G552" i="19"/>
  <c r="F552" i="19"/>
  <c r="G652" i="19"/>
  <c r="F652" i="19"/>
  <c r="G706" i="19"/>
  <c r="F706" i="19"/>
  <c r="G914" i="19"/>
  <c r="F914" i="19"/>
  <c r="F1079" i="19"/>
  <c r="G1079" i="19"/>
  <c r="F1164" i="19"/>
  <c r="G1164" i="19"/>
  <c r="F1019" i="19"/>
  <c r="G1019" i="19"/>
  <c r="F1233" i="19"/>
  <c r="G1233" i="19"/>
  <c r="F1330" i="19"/>
  <c r="G1330" i="19"/>
  <c r="N826" i="13"/>
  <c r="E826" i="19" s="1"/>
  <c r="N864" i="13"/>
  <c r="E864" i="19" s="1"/>
  <c r="G864" i="19" s="1"/>
  <c r="N992" i="13"/>
  <c r="E992" i="19" s="1"/>
  <c r="G992" i="19" s="1"/>
  <c r="F717" i="19"/>
  <c r="F827" i="19"/>
  <c r="F956" i="19"/>
  <c r="G1024" i="19"/>
  <c r="G1377" i="19"/>
  <c r="G1441" i="19"/>
  <c r="F559" i="19"/>
  <c r="F583" i="19"/>
  <c r="F834" i="19"/>
  <c r="F601" i="19"/>
  <c r="F776" i="19"/>
  <c r="F917" i="19"/>
  <c r="F551" i="19"/>
  <c r="G602" i="19"/>
  <c r="G674" i="19"/>
  <c r="N562" i="13"/>
  <c r="E562" i="19" s="1"/>
  <c r="N605" i="13"/>
  <c r="E605" i="19" s="1"/>
  <c r="N892" i="13"/>
  <c r="E892" i="19" s="1"/>
  <c r="F892" i="19" s="1"/>
  <c r="F733" i="19"/>
  <c r="F821" i="19"/>
  <c r="F908" i="19"/>
  <c r="F972" i="19"/>
  <c r="G984" i="19"/>
  <c r="N961" i="13"/>
  <c r="E961" i="19" s="1"/>
  <c r="N1312" i="13"/>
  <c r="E1312" i="19" s="1"/>
  <c r="F685" i="19"/>
  <c r="F749" i="19"/>
  <c r="G843" i="19"/>
  <c r="F860" i="19"/>
  <c r="F924" i="19"/>
  <c r="G1018" i="19"/>
  <c r="G1473" i="19"/>
  <c r="G621" i="19"/>
  <c r="N550" i="13"/>
  <c r="E550" i="19" s="1"/>
  <c r="N625" i="13"/>
  <c r="E625" i="19" s="1"/>
  <c r="N913" i="13"/>
  <c r="E913" i="19" s="1"/>
  <c r="N929" i="13"/>
  <c r="E929" i="19" s="1"/>
  <c r="N949" i="13"/>
  <c r="E949" i="19" s="1"/>
  <c r="N965" i="13"/>
  <c r="E965" i="19" s="1"/>
  <c r="N1094" i="13"/>
  <c r="E1094" i="19" s="1"/>
  <c r="N1126" i="13"/>
  <c r="E1126" i="19" s="1"/>
  <c r="N1158" i="13"/>
  <c r="E1158" i="19" s="1"/>
  <c r="F1158" i="19" s="1"/>
  <c r="N1254" i="13"/>
  <c r="E1254" i="19" s="1"/>
  <c r="N1270" i="13"/>
  <c r="E1270" i="19" s="1"/>
  <c r="N1286" i="13"/>
  <c r="E1286" i="19" s="1"/>
  <c r="N1302" i="13"/>
  <c r="E1302" i="19" s="1"/>
  <c r="F1302" i="19" s="1"/>
  <c r="N1242" i="13"/>
  <c r="E1242" i="19" s="1"/>
  <c r="F701" i="19"/>
  <c r="F797" i="19"/>
  <c r="G807" i="19"/>
  <c r="F846" i="19"/>
  <c r="F940" i="19"/>
  <c r="F978" i="19"/>
  <c r="G1050" i="19"/>
  <c r="G1425" i="19"/>
  <c r="G1505" i="19"/>
  <c r="N617" i="13"/>
  <c r="E617" i="19" s="1"/>
  <c r="N622" i="13"/>
  <c r="E622" i="19" s="1"/>
  <c r="N933" i="13"/>
  <c r="E933" i="19" s="1"/>
  <c r="F891" i="19"/>
  <c r="G891" i="19"/>
  <c r="G817" i="19"/>
  <c r="F817" i="19"/>
  <c r="G568" i="19"/>
  <c r="F568" i="19"/>
  <c r="G777" i="19"/>
  <c r="F777" i="19"/>
  <c r="G793" i="19"/>
  <c r="F793" i="19"/>
  <c r="G892" i="19"/>
  <c r="F535" i="19"/>
  <c r="G535" i="19"/>
  <c r="G555" i="19"/>
  <c r="F555" i="19"/>
  <c r="F863" i="19"/>
  <c r="G863" i="19"/>
  <c r="F513" i="19"/>
  <c r="G513" i="19"/>
  <c r="G801" i="19"/>
  <c r="F801" i="19"/>
  <c r="F847" i="19"/>
  <c r="G847" i="19"/>
  <c r="F1485" i="19"/>
  <c r="G1485" i="19"/>
  <c r="G743" i="19"/>
  <c r="F743" i="19"/>
  <c r="G757" i="19"/>
  <c r="F757" i="19"/>
  <c r="G765" i="19"/>
  <c r="F765" i="19"/>
  <c r="G773" i="19"/>
  <c r="F773" i="19"/>
  <c r="G781" i="19"/>
  <c r="F781" i="19"/>
  <c r="G789" i="19"/>
  <c r="F789" i="19"/>
  <c r="F809" i="19"/>
  <c r="G809" i="19"/>
  <c r="F515" i="19"/>
  <c r="G515" i="19"/>
  <c r="G522" i="19"/>
  <c r="F522" i="19"/>
  <c r="G544" i="19"/>
  <c r="F544" i="19"/>
  <c r="F565" i="19"/>
  <c r="G565" i="19"/>
  <c r="N549" i="13"/>
  <c r="E549" i="19" s="1"/>
  <c r="F641" i="19"/>
  <c r="G641" i="19"/>
  <c r="F657" i="19"/>
  <c r="G657" i="19"/>
  <c r="F667" i="19"/>
  <c r="G667" i="19"/>
  <c r="F675" i="19"/>
  <c r="G675" i="19"/>
  <c r="F734" i="19"/>
  <c r="G734" i="19"/>
  <c r="F762" i="19"/>
  <c r="G762" i="19"/>
  <c r="F794" i="19"/>
  <c r="G794" i="19"/>
  <c r="F810" i="19"/>
  <c r="G810" i="19"/>
  <c r="F816" i="19"/>
  <c r="G816" i="19"/>
  <c r="F879" i="19"/>
  <c r="G879" i="19"/>
  <c r="F1088" i="19"/>
  <c r="G1088" i="19"/>
  <c r="F1025" i="19"/>
  <c r="G1025" i="19"/>
  <c r="F1041" i="19"/>
  <c r="G1041" i="19"/>
  <c r="G1057" i="19"/>
  <c r="F1057" i="19"/>
  <c r="G1062" i="19"/>
  <c r="F1062" i="19"/>
  <c r="G1073" i="19"/>
  <c r="F1073" i="19"/>
  <c r="G1078" i="19"/>
  <c r="F1078" i="19"/>
  <c r="G1086" i="19"/>
  <c r="F1086" i="19"/>
  <c r="F1094" i="19"/>
  <c r="G1094" i="19"/>
  <c r="G1109" i="19"/>
  <c r="F1109" i="19"/>
  <c r="G1138" i="19"/>
  <c r="F1138" i="19"/>
  <c r="G1143" i="19"/>
  <c r="F1143" i="19"/>
  <c r="G1158" i="19"/>
  <c r="G1087" i="19"/>
  <c r="F1087" i="19"/>
  <c r="F1096" i="19"/>
  <c r="G1096" i="19"/>
  <c r="F1128" i="19"/>
  <c r="G1128" i="19"/>
  <c r="F1160" i="19"/>
  <c r="G1160" i="19"/>
  <c r="F1182" i="19"/>
  <c r="G1182" i="19"/>
  <c r="F1214" i="19"/>
  <c r="G1214" i="19"/>
  <c r="F1240" i="19"/>
  <c r="G1240" i="19"/>
  <c r="F1270" i="19"/>
  <c r="G1270" i="19"/>
  <c r="F1282" i="19"/>
  <c r="G1282" i="19"/>
  <c r="G1302" i="19"/>
  <c r="F1332" i="19"/>
  <c r="G1332" i="19"/>
  <c r="F1296" i="19"/>
  <c r="G1296" i="19"/>
  <c r="N1501" i="13"/>
  <c r="E1501" i="19" s="1"/>
  <c r="G1257" i="19"/>
  <c r="F1257" i="19"/>
  <c r="G1265" i="19"/>
  <c r="F1265" i="19"/>
  <c r="G1273" i="19"/>
  <c r="F1273" i="19"/>
  <c r="G1281" i="19"/>
  <c r="F1281" i="19"/>
  <c r="G1289" i="19"/>
  <c r="F1289" i="19"/>
  <c r="G1297" i="19"/>
  <c r="F1297" i="19"/>
  <c r="G1319" i="19"/>
  <c r="F1319" i="19"/>
  <c r="F1350" i="19"/>
  <c r="G1350" i="19"/>
  <c r="F1366" i="19"/>
  <c r="G1366" i="19"/>
  <c r="F1382" i="19"/>
  <c r="G1382" i="19"/>
  <c r="F1398" i="19"/>
  <c r="G1398" i="19"/>
  <c r="F1414" i="19"/>
  <c r="G1414" i="19"/>
  <c r="F1430" i="19"/>
  <c r="G1430" i="19"/>
  <c r="F1446" i="19"/>
  <c r="G1446" i="19"/>
  <c r="F1462" i="19"/>
  <c r="G1462" i="19"/>
  <c r="F1478" i="19"/>
  <c r="G1478" i="19"/>
  <c r="F1494" i="19"/>
  <c r="G1494" i="19"/>
  <c r="F664" i="19"/>
  <c r="F687" i="19"/>
  <c r="F703" i="19"/>
  <c r="F719" i="19"/>
  <c r="F735" i="19"/>
  <c r="F751" i="19"/>
  <c r="F767" i="19"/>
  <c r="F783" i="19"/>
  <c r="F799" i="19"/>
  <c r="F815" i="19"/>
  <c r="F894" i="19"/>
  <c r="G1002" i="19"/>
  <c r="G996" i="19"/>
  <c r="G1028" i="19"/>
  <c r="F992" i="19"/>
  <c r="G1022" i="19"/>
  <c r="F1325" i="19"/>
  <c r="F1339" i="19"/>
  <c r="G1379" i="19"/>
  <c r="G1395" i="19"/>
  <c r="G1411" i="19"/>
  <c r="G1427" i="19"/>
  <c r="G1443" i="19"/>
  <c r="G1459" i="19"/>
  <c r="G1475" i="19"/>
  <c r="G1491" i="19"/>
  <c r="G1507" i="19"/>
  <c r="F575" i="19"/>
  <c r="G575" i="19"/>
  <c r="F760" i="19"/>
  <c r="G760" i="19"/>
  <c r="G1305" i="19"/>
  <c r="F1305" i="19"/>
  <c r="F1424" i="19"/>
  <c r="G1424" i="19"/>
  <c r="F1428" i="19"/>
  <c r="G1428" i="19"/>
  <c r="F915" i="19"/>
  <c r="G915" i="19"/>
  <c r="F1001" i="19"/>
  <c r="G1001" i="19"/>
  <c r="G1075" i="19"/>
  <c r="F1075" i="19"/>
  <c r="F899" i="19"/>
  <c r="G899" i="19"/>
  <c r="G1173" i="19"/>
  <c r="F1173" i="19"/>
  <c r="F511" i="19"/>
  <c r="G511" i="19"/>
  <c r="F607" i="19"/>
  <c r="G607" i="19"/>
  <c r="F659" i="19"/>
  <c r="G659" i="19"/>
  <c r="F724" i="19"/>
  <c r="G724" i="19"/>
  <c r="F867" i="19"/>
  <c r="G867" i="19"/>
  <c r="F1084" i="19"/>
  <c r="G1084" i="19"/>
  <c r="G1130" i="19"/>
  <c r="F1130" i="19"/>
  <c r="G1202" i="19"/>
  <c r="F1202" i="19"/>
  <c r="G1188" i="19"/>
  <c r="F1188" i="19"/>
  <c r="G1231" i="19"/>
  <c r="F1231" i="19"/>
  <c r="G1295" i="19"/>
  <c r="F1295" i="19"/>
  <c r="G1328" i="19"/>
  <c r="F1328" i="19"/>
  <c r="F1331" i="19"/>
  <c r="G656" i="19"/>
  <c r="F656" i="19"/>
  <c r="G1364" i="19"/>
  <c r="F1364" i="19"/>
  <c r="G1059" i="19"/>
  <c r="F1059" i="19"/>
  <c r="F999" i="19"/>
  <c r="G999" i="19"/>
  <c r="F519" i="19"/>
  <c r="G519" i="19"/>
  <c r="G530" i="19"/>
  <c r="F530" i="19"/>
  <c r="G556" i="19"/>
  <c r="F556" i="19"/>
  <c r="G572" i="19"/>
  <c r="F572" i="19"/>
  <c r="G516" i="19"/>
  <c r="F516" i="19"/>
  <c r="F531" i="19"/>
  <c r="G531" i="19"/>
  <c r="F547" i="19"/>
  <c r="G547" i="19"/>
  <c r="G524" i="19"/>
  <c r="F524" i="19"/>
  <c r="G532" i="19"/>
  <c r="F532" i="19"/>
  <c r="G540" i="19"/>
  <c r="F540" i="19"/>
  <c r="G548" i="19"/>
  <c r="F548" i="19"/>
  <c r="F581" i="19"/>
  <c r="G581" i="19"/>
  <c r="F591" i="19"/>
  <c r="G591" i="19"/>
  <c r="G608" i="19"/>
  <c r="F608" i="19"/>
  <c r="F615" i="19"/>
  <c r="G615" i="19"/>
  <c r="F585" i="19"/>
  <c r="G585" i="19"/>
  <c r="G634" i="19"/>
  <c r="F634" i="19"/>
  <c r="F639" i="19"/>
  <c r="G639" i="19"/>
  <c r="G650" i="19"/>
  <c r="F650" i="19"/>
  <c r="F655" i="19"/>
  <c r="G655" i="19"/>
  <c r="F661" i="19"/>
  <c r="G661" i="19"/>
  <c r="F677" i="19"/>
  <c r="G677" i="19"/>
  <c r="F688" i="19"/>
  <c r="G688" i="19"/>
  <c r="F704" i="19"/>
  <c r="G704" i="19"/>
  <c r="F720" i="19"/>
  <c r="G720" i="19"/>
  <c r="F736" i="19"/>
  <c r="G736" i="19"/>
  <c r="F774" i="19"/>
  <c r="G774" i="19"/>
  <c r="F855" i="19"/>
  <c r="G855" i="19"/>
  <c r="F871" i="19"/>
  <c r="G871" i="19"/>
  <c r="F975" i="19"/>
  <c r="G975" i="19"/>
  <c r="F1056" i="19"/>
  <c r="G1056" i="19"/>
  <c r="F1072" i="19"/>
  <c r="G1072" i="19"/>
  <c r="G1092" i="19"/>
  <c r="F1092" i="19"/>
  <c r="F1009" i="19"/>
  <c r="G1009" i="19"/>
  <c r="G1102" i="19"/>
  <c r="F1102" i="19"/>
  <c r="G1117" i="19"/>
  <c r="F1117" i="19"/>
  <c r="G1146" i="19"/>
  <c r="F1146" i="19"/>
  <c r="G1151" i="19"/>
  <c r="F1151" i="19"/>
  <c r="G1089" i="19"/>
  <c r="F1089" i="19"/>
  <c r="F1194" i="19"/>
  <c r="G1194" i="19"/>
  <c r="G1226" i="19"/>
  <c r="F1226" i="19"/>
  <c r="G1097" i="19"/>
  <c r="F1097" i="19"/>
  <c r="G1105" i="19"/>
  <c r="F1105" i="19"/>
  <c r="G1113" i="19"/>
  <c r="F1113" i="19"/>
  <c r="G1121" i="19"/>
  <c r="F1121" i="19"/>
  <c r="G1129" i="19"/>
  <c r="F1129" i="19"/>
  <c r="G1137" i="19"/>
  <c r="F1137" i="19"/>
  <c r="G1145" i="19"/>
  <c r="F1145" i="19"/>
  <c r="G1153" i="19"/>
  <c r="F1153" i="19"/>
  <c r="G1161" i="19"/>
  <c r="F1161" i="19"/>
  <c r="F1168" i="19"/>
  <c r="G1168" i="19"/>
  <c r="G1179" i="19"/>
  <c r="F1179" i="19"/>
  <c r="F1184" i="19"/>
  <c r="G1184" i="19"/>
  <c r="G1195" i="19"/>
  <c r="F1195" i="19"/>
  <c r="F1200" i="19"/>
  <c r="G1200" i="19"/>
  <c r="G1211" i="19"/>
  <c r="F1211" i="19"/>
  <c r="F1216" i="19"/>
  <c r="G1216" i="19"/>
  <c r="G1227" i="19"/>
  <c r="F1227" i="19"/>
  <c r="F1232" i="19"/>
  <c r="G1232" i="19"/>
  <c r="G1243" i="19"/>
  <c r="F1243" i="19"/>
  <c r="G1250" i="19"/>
  <c r="F1250" i="19"/>
  <c r="G1271" i="19"/>
  <c r="F1271" i="19"/>
  <c r="G1277" i="19"/>
  <c r="F1277" i="19"/>
  <c r="F1336" i="19"/>
  <c r="G1336" i="19"/>
  <c r="G1313" i="19"/>
  <c r="F1313" i="19"/>
  <c r="G1329" i="19"/>
  <c r="F1329" i="19"/>
  <c r="G1345" i="19"/>
  <c r="F1345" i="19"/>
  <c r="G1251" i="19"/>
  <c r="F1251" i="19"/>
  <c r="G1259" i="19"/>
  <c r="F1259" i="19"/>
  <c r="G1267" i="19"/>
  <c r="F1267" i="19"/>
  <c r="G1275" i="19"/>
  <c r="F1275" i="19"/>
  <c r="G1283" i="19"/>
  <c r="F1283" i="19"/>
  <c r="G1291" i="19"/>
  <c r="F1291" i="19"/>
  <c r="G1299" i="19"/>
  <c r="F1299" i="19"/>
  <c r="F1260" i="19"/>
  <c r="G1260" i="19"/>
  <c r="F1276" i="19"/>
  <c r="G1276" i="19"/>
  <c r="G1292" i="19"/>
  <c r="F1292" i="19"/>
  <c r="F672" i="19"/>
  <c r="F689" i="19"/>
  <c r="F705" i="19"/>
  <c r="F721" i="19"/>
  <c r="F737" i="19"/>
  <c r="F753" i="19"/>
  <c r="F769" i="19"/>
  <c r="F785" i="19"/>
  <c r="F835" i="19"/>
  <c r="F848" i="19"/>
  <c r="F864" i="19"/>
  <c r="F880" i="19"/>
  <c r="F896" i="19"/>
  <c r="F912" i="19"/>
  <c r="F928" i="19"/>
  <c r="F944" i="19"/>
  <c r="F960" i="19"/>
  <c r="F976" i="19"/>
  <c r="F1010" i="19"/>
  <c r="F1004" i="19"/>
  <c r="G1032" i="19"/>
  <c r="G1026" i="19"/>
  <c r="F1333" i="19"/>
  <c r="F1347" i="19"/>
  <c r="G1381" i="19"/>
  <c r="G1397" i="19"/>
  <c r="G1413" i="19"/>
  <c r="G1429" i="19"/>
  <c r="G1445" i="19"/>
  <c r="G1477" i="19"/>
  <c r="G1493" i="19"/>
  <c r="G554" i="19"/>
  <c r="F554" i="19"/>
  <c r="G678" i="19"/>
  <c r="F678" i="19"/>
  <c r="G598" i="19"/>
  <c r="F598" i="19"/>
  <c r="F792" i="19"/>
  <c r="G792" i="19"/>
  <c r="F943" i="19"/>
  <c r="G943" i="19"/>
  <c r="F1440" i="19"/>
  <c r="G1440" i="19"/>
  <c r="F682" i="19"/>
  <c r="G682" i="19"/>
  <c r="G1165" i="19"/>
  <c r="F1165" i="19"/>
  <c r="G1189" i="19"/>
  <c r="F1189" i="19"/>
  <c r="G536" i="19"/>
  <c r="F536" i="19"/>
  <c r="F643" i="19"/>
  <c r="G643" i="19"/>
  <c r="F708" i="19"/>
  <c r="G708" i="19"/>
  <c r="G1183" i="19"/>
  <c r="F1183" i="19"/>
  <c r="G1234" i="19"/>
  <c r="F1234" i="19"/>
  <c r="F1312" i="19"/>
  <c r="G1312" i="19"/>
  <c r="F738" i="19"/>
  <c r="G738" i="19"/>
  <c r="F1021" i="19"/>
  <c r="G1021" i="19"/>
  <c r="G1058" i="19"/>
  <c r="F1058" i="19"/>
  <c r="G1074" i="19"/>
  <c r="F1074" i="19"/>
  <c r="G1095" i="19"/>
  <c r="F1095" i="19"/>
  <c r="F1110" i="19"/>
  <c r="G1110" i="19"/>
  <c r="G1125" i="19"/>
  <c r="F1125" i="19"/>
  <c r="G1154" i="19"/>
  <c r="F1154" i="19"/>
  <c r="G1159" i="19"/>
  <c r="F1159" i="19"/>
  <c r="F1120" i="19"/>
  <c r="G1120" i="19"/>
  <c r="F1152" i="19"/>
  <c r="G1152" i="19"/>
  <c r="F1174" i="19"/>
  <c r="G1174" i="19"/>
  <c r="F1206" i="19"/>
  <c r="G1206" i="19"/>
  <c r="G1083" i="19"/>
  <c r="F1083" i="19"/>
  <c r="F1238" i="19"/>
  <c r="G1238" i="19"/>
  <c r="G1258" i="19"/>
  <c r="F1258" i="19"/>
  <c r="F1278" i="19"/>
  <c r="G1278" i="19"/>
  <c r="G1290" i="19"/>
  <c r="F1290" i="19"/>
  <c r="G1306" i="19"/>
  <c r="F1306" i="19"/>
  <c r="F1340" i="19"/>
  <c r="G1340" i="19"/>
  <c r="G1369" i="19"/>
  <c r="F1369" i="19"/>
  <c r="G1237" i="19"/>
  <c r="F1237" i="19"/>
  <c r="G1327" i="19"/>
  <c r="F1327" i="19"/>
  <c r="G1351" i="19"/>
  <c r="F1351" i="19"/>
  <c r="F1362" i="19"/>
  <c r="G1362" i="19"/>
  <c r="G1367" i="19"/>
  <c r="F1367" i="19"/>
  <c r="G1378" i="19"/>
  <c r="F1378" i="19"/>
  <c r="G1394" i="19"/>
  <c r="F1394" i="19"/>
  <c r="G1410" i="19"/>
  <c r="F1410" i="19"/>
  <c r="G1426" i="19"/>
  <c r="F1426" i="19"/>
  <c r="G1442" i="19"/>
  <c r="F1442" i="19"/>
  <c r="G1458" i="19"/>
  <c r="F1458" i="19"/>
  <c r="G1474" i="19"/>
  <c r="F1474" i="19"/>
  <c r="G1490" i="19"/>
  <c r="F1490" i="19"/>
  <c r="G1506" i="19"/>
  <c r="F1506" i="19"/>
  <c r="G680" i="19"/>
  <c r="F691" i="19"/>
  <c r="F707" i="19"/>
  <c r="F723" i="19"/>
  <c r="F739" i="19"/>
  <c r="F755" i="19"/>
  <c r="F771" i="19"/>
  <c r="F787" i="19"/>
  <c r="F803" i="19"/>
  <c r="F823" i="19"/>
  <c r="F825" i="19"/>
  <c r="F866" i="19"/>
  <c r="G1036" i="19"/>
  <c r="F998" i="19"/>
  <c r="F1000" i="19"/>
  <c r="G1030" i="19"/>
  <c r="F1341" i="19"/>
  <c r="F1355" i="19"/>
  <c r="G1383" i="19"/>
  <c r="G1399" i="19"/>
  <c r="G1415" i="19"/>
  <c r="G1431" i="19"/>
  <c r="G1447" i="19"/>
  <c r="G1463" i="19"/>
  <c r="G1495" i="19"/>
  <c r="G571" i="19"/>
  <c r="F571" i="19"/>
  <c r="F694" i="19"/>
  <c r="G694" i="19"/>
  <c r="F971" i="19"/>
  <c r="G971" i="19"/>
  <c r="F1456" i="19"/>
  <c r="G1456" i="19"/>
  <c r="F1464" i="19"/>
  <c r="G1464" i="19"/>
  <c r="F698" i="19"/>
  <c r="G698" i="19"/>
  <c r="G1181" i="19"/>
  <c r="F1181" i="19"/>
  <c r="G644" i="19"/>
  <c r="F644" i="19"/>
  <c r="G1309" i="19"/>
  <c r="F1309" i="19"/>
  <c r="F756" i="19"/>
  <c r="G756" i="19"/>
  <c r="G1205" i="19"/>
  <c r="F1205" i="19"/>
  <c r="F553" i="19"/>
  <c r="G553" i="19"/>
  <c r="G600" i="19"/>
  <c r="F600" i="19"/>
  <c r="G638" i="19"/>
  <c r="F638" i="19"/>
  <c r="G660" i="19"/>
  <c r="F660" i="19"/>
  <c r="F750" i="19"/>
  <c r="G750" i="19"/>
  <c r="F1052" i="19"/>
  <c r="G1052" i="19"/>
  <c r="F1150" i="19"/>
  <c r="G1150" i="19"/>
  <c r="F1204" i="19"/>
  <c r="G1204" i="19"/>
  <c r="F1246" i="19"/>
  <c r="G1246" i="19"/>
  <c r="G1301" i="19"/>
  <c r="F1301" i="19"/>
  <c r="F939" i="19"/>
  <c r="G939" i="19"/>
  <c r="F1408" i="19"/>
  <c r="G1408" i="19"/>
  <c r="F569" i="19"/>
  <c r="G569" i="19"/>
  <c r="G586" i="19"/>
  <c r="F586" i="19"/>
  <c r="F746" i="19"/>
  <c r="G746" i="19"/>
  <c r="F798" i="19"/>
  <c r="G798" i="19"/>
  <c r="F822" i="19"/>
  <c r="G822" i="19"/>
  <c r="F818" i="19"/>
  <c r="G818" i="19"/>
  <c r="G1053" i="19"/>
  <c r="F1053" i="19"/>
  <c r="F533" i="19"/>
  <c r="G533" i="19"/>
  <c r="G560" i="19"/>
  <c r="F560" i="19"/>
  <c r="F537" i="19"/>
  <c r="G537" i="19"/>
  <c r="F595" i="19"/>
  <c r="G595" i="19"/>
  <c r="G616" i="19"/>
  <c r="F616" i="19"/>
  <c r="G588" i="19"/>
  <c r="F588" i="19"/>
  <c r="F577" i="19"/>
  <c r="G577" i="19"/>
  <c r="F627" i="19"/>
  <c r="G627" i="19"/>
  <c r="G635" i="19"/>
  <c r="F635" i="19"/>
  <c r="G646" i="19"/>
  <c r="F646" i="19"/>
  <c r="G651" i="19"/>
  <c r="F651" i="19"/>
  <c r="F665" i="19"/>
  <c r="G665" i="19"/>
  <c r="F673" i="19"/>
  <c r="G673" i="19"/>
  <c r="F684" i="19"/>
  <c r="G684" i="19"/>
  <c r="F700" i="19"/>
  <c r="G700" i="19"/>
  <c r="F716" i="19"/>
  <c r="G716" i="19"/>
  <c r="F728" i="19"/>
  <c r="G728" i="19"/>
  <c r="F740" i="19"/>
  <c r="G740" i="19"/>
  <c r="F836" i="19"/>
  <c r="G836" i="19"/>
  <c r="F895" i="19"/>
  <c r="G895" i="19"/>
  <c r="F989" i="19"/>
  <c r="G989" i="19"/>
  <c r="F1060" i="19"/>
  <c r="G1060" i="19"/>
  <c r="F1076" i="19"/>
  <c r="G1076" i="19"/>
  <c r="N985" i="13"/>
  <c r="E985" i="19" s="1"/>
  <c r="F1003" i="19"/>
  <c r="G1003" i="19"/>
  <c r="F1011" i="19"/>
  <c r="G1011" i="19"/>
  <c r="G1098" i="19"/>
  <c r="F1098" i="19"/>
  <c r="G1103" i="19"/>
  <c r="F1103" i="19"/>
  <c r="G1118" i="19"/>
  <c r="F1118" i="19"/>
  <c r="G1133" i="19"/>
  <c r="F1133" i="19"/>
  <c r="G1162" i="19"/>
  <c r="F1162" i="19"/>
  <c r="G1090" i="19"/>
  <c r="F1090" i="19"/>
  <c r="G1186" i="19"/>
  <c r="F1186" i="19"/>
  <c r="G1218" i="19"/>
  <c r="F1218" i="19"/>
  <c r="G1085" i="19"/>
  <c r="F1085" i="19"/>
  <c r="G1175" i="19"/>
  <c r="F1175" i="19"/>
  <c r="F1180" i="19"/>
  <c r="G1180" i="19"/>
  <c r="G1191" i="19"/>
  <c r="F1191" i="19"/>
  <c r="G1196" i="19"/>
  <c r="F1196" i="19"/>
  <c r="G1207" i="19"/>
  <c r="F1207" i="19"/>
  <c r="F1212" i="19"/>
  <c r="G1212" i="19"/>
  <c r="G1223" i="19"/>
  <c r="F1223" i="19"/>
  <c r="F1228" i="19"/>
  <c r="G1228" i="19"/>
  <c r="G1235" i="19"/>
  <c r="F1235" i="19"/>
  <c r="F1244" i="19"/>
  <c r="G1244" i="19"/>
  <c r="G1253" i="19"/>
  <c r="F1253" i="19"/>
  <c r="G1279" i="19"/>
  <c r="F1279" i="19"/>
  <c r="G1285" i="19"/>
  <c r="F1285" i="19"/>
  <c r="F1344" i="19"/>
  <c r="G1344" i="19"/>
  <c r="G1241" i="19"/>
  <c r="F1241" i="19"/>
  <c r="F1256" i="19"/>
  <c r="G1256" i="19"/>
  <c r="F1272" i="19"/>
  <c r="G1272" i="19"/>
  <c r="F1288" i="19"/>
  <c r="G1288" i="19"/>
  <c r="G1317" i="19"/>
  <c r="F1317" i="19"/>
  <c r="F668" i="19"/>
  <c r="F693" i="19"/>
  <c r="F709" i="19"/>
  <c r="F725" i="19"/>
  <c r="F741" i="19"/>
  <c r="F811" i="19"/>
  <c r="F805" i="19"/>
  <c r="F852" i="19"/>
  <c r="F868" i="19"/>
  <c r="F900" i="19"/>
  <c r="F916" i="19"/>
  <c r="F932" i="19"/>
  <c r="F948" i="19"/>
  <c r="F964" i="19"/>
  <c r="F980" i="19"/>
  <c r="F1012" i="19"/>
  <c r="G1040" i="19"/>
  <c r="G1034" i="19"/>
  <c r="F1349" i="19"/>
  <c r="F1363" i="19"/>
  <c r="G1385" i="19"/>
  <c r="G1401" i="19"/>
  <c r="G1417" i="19"/>
  <c r="G1433" i="19"/>
  <c r="G1449" i="19"/>
  <c r="G1465" i="19"/>
  <c r="F563" i="19"/>
  <c r="G563" i="19"/>
  <c r="F710" i="19"/>
  <c r="G710" i="19"/>
  <c r="F997" i="19"/>
  <c r="G997" i="19"/>
  <c r="F1484" i="19"/>
  <c r="G1484" i="19"/>
  <c r="F1338" i="19"/>
  <c r="G1338" i="19"/>
  <c r="F1480" i="19"/>
  <c r="G1480" i="19"/>
  <c r="F714" i="19"/>
  <c r="G714" i="19"/>
  <c r="F947" i="19"/>
  <c r="G947" i="19"/>
  <c r="G1197" i="19"/>
  <c r="F1197" i="19"/>
  <c r="F1508" i="19"/>
  <c r="G1508" i="19"/>
  <c r="G1322" i="19"/>
  <c r="F1322" i="19"/>
  <c r="F788" i="19"/>
  <c r="G788" i="19"/>
  <c r="F931" i="19"/>
  <c r="G931" i="19"/>
  <c r="G1221" i="19"/>
  <c r="F1221" i="19"/>
  <c r="G654" i="19"/>
  <c r="F654" i="19"/>
  <c r="G1170" i="19"/>
  <c r="F1170" i="19"/>
  <c r="G1199" i="19"/>
  <c r="F1199" i="19"/>
  <c r="G1263" i="19"/>
  <c r="F1263" i="19"/>
  <c r="F1280" i="19"/>
  <c r="G1280" i="19"/>
  <c r="G1225" i="19"/>
  <c r="F1225" i="19"/>
  <c r="G538" i="19"/>
  <c r="F538" i="19"/>
  <c r="G592" i="19"/>
  <c r="F592" i="19"/>
  <c r="G662" i="19"/>
  <c r="F662" i="19"/>
  <c r="F752" i="19"/>
  <c r="G752" i="19"/>
  <c r="F786" i="19"/>
  <c r="G786" i="19"/>
  <c r="F832" i="19"/>
  <c r="G832" i="19"/>
  <c r="F1037" i="19"/>
  <c r="G1037" i="19"/>
  <c r="G514" i="19"/>
  <c r="F514" i="19"/>
  <c r="G546" i="19"/>
  <c r="F546" i="19"/>
  <c r="G576" i="19"/>
  <c r="F576" i="19"/>
  <c r="G518" i="19"/>
  <c r="F518" i="19"/>
  <c r="F541" i="19"/>
  <c r="G541" i="19"/>
  <c r="F557" i="19"/>
  <c r="G557" i="19"/>
  <c r="G526" i="19"/>
  <c r="F526" i="19"/>
  <c r="G534" i="19"/>
  <c r="F534" i="19"/>
  <c r="G542" i="19"/>
  <c r="F542" i="19"/>
  <c r="F517" i="19"/>
  <c r="G517" i="19"/>
  <c r="F527" i="19"/>
  <c r="G527" i="19"/>
  <c r="G596" i="19"/>
  <c r="F596" i="19"/>
  <c r="G604" i="19"/>
  <c r="F604" i="19"/>
  <c r="F611" i="19"/>
  <c r="G611" i="19"/>
  <c r="F593" i="19"/>
  <c r="G593" i="19"/>
  <c r="F623" i="19"/>
  <c r="G623" i="19"/>
  <c r="F633" i="19"/>
  <c r="G633" i="19"/>
  <c r="F649" i="19"/>
  <c r="G649" i="19"/>
  <c r="G619" i="19"/>
  <c r="F619" i="19"/>
  <c r="F663" i="19"/>
  <c r="G663" i="19"/>
  <c r="G670" i="19"/>
  <c r="F670" i="19"/>
  <c r="G666" i="19"/>
  <c r="F666" i="19"/>
  <c r="F778" i="19"/>
  <c r="G778" i="19"/>
  <c r="F802" i="19"/>
  <c r="G802" i="19"/>
  <c r="F766" i="19"/>
  <c r="G766" i="19"/>
  <c r="F840" i="19"/>
  <c r="G840" i="19"/>
  <c r="F859" i="19"/>
  <c r="G859" i="19"/>
  <c r="N888" i="13"/>
  <c r="E888" i="19" s="1"/>
  <c r="F981" i="19"/>
  <c r="G981" i="19"/>
  <c r="F1017" i="19"/>
  <c r="G1017" i="19"/>
  <c r="F1033" i="19"/>
  <c r="G1033" i="19"/>
  <c r="F1049" i="19"/>
  <c r="G1049" i="19"/>
  <c r="G1054" i="19"/>
  <c r="F1054" i="19"/>
  <c r="G1065" i="19"/>
  <c r="F1065" i="19"/>
  <c r="G1070" i="19"/>
  <c r="F1070" i="19"/>
  <c r="G1081" i="19"/>
  <c r="F1081" i="19"/>
  <c r="G1106" i="19"/>
  <c r="F1106" i="19"/>
  <c r="G1111" i="19"/>
  <c r="F1111" i="19"/>
  <c r="F1126" i="19"/>
  <c r="G1126" i="19"/>
  <c r="G1141" i="19"/>
  <c r="F1141" i="19"/>
  <c r="F1112" i="19"/>
  <c r="G1112" i="19"/>
  <c r="F1144" i="19"/>
  <c r="G1144" i="19"/>
  <c r="G1166" i="19"/>
  <c r="F1166" i="19"/>
  <c r="G1198" i="19"/>
  <c r="F1198" i="19"/>
  <c r="F1230" i="19"/>
  <c r="G1230" i="19"/>
  <c r="G1099" i="19"/>
  <c r="F1099" i="19"/>
  <c r="G1107" i="19"/>
  <c r="F1107" i="19"/>
  <c r="G1115" i="19"/>
  <c r="F1115" i="19"/>
  <c r="G1123" i="19"/>
  <c r="F1123" i="19"/>
  <c r="G1131" i="19"/>
  <c r="F1131" i="19"/>
  <c r="G1139" i="19"/>
  <c r="F1139" i="19"/>
  <c r="G1147" i="19"/>
  <c r="F1147" i="19"/>
  <c r="G1155" i="19"/>
  <c r="F1155" i="19"/>
  <c r="G1247" i="19"/>
  <c r="F1247" i="19"/>
  <c r="F1254" i="19"/>
  <c r="G1254" i="19"/>
  <c r="G1266" i="19"/>
  <c r="F1266" i="19"/>
  <c r="G1286" i="19"/>
  <c r="F1286" i="19"/>
  <c r="F1298" i="19"/>
  <c r="G1298" i="19"/>
  <c r="F1316" i="19"/>
  <c r="G1316" i="19"/>
  <c r="G1242" i="19"/>
  <c r="F1242" i="19"/>
  <c r="G1361" i="19"/>
  <c r="F1361" i="19"/>
  <c r="G1249" i="19"/>
  <c r="F1249" i="19"/>
  <c r="G1335" i="19"/>
  <c r="F1335" i="19"/>
  <c r="G1358" i="19"/>
  <c r="F1358" i="19"/>
  <c r="F1374" i="19"/>
  <c r="G1374" i="19"/>
  <c r="F1390" i="19"/>
  <c r="G1390" i="19"/>
  <c r="F1406" i="19"/>
  <c r="G1406" i="19"/>
  <c r="F1422" i="19"/>
  <c r="G1422" i="19"/>
  <c r="F1438" i="19"/>
  <c r="G1438" i="19"/>
  <c r="F1454" i="19"/>
  <c r="G1454" i="19"/>
  <c r="F1470" i="19"/>
  <c r="G1470" i="19"/>
  <c r="F1486" i="19"/>
  <c r="G1486" i="19"/>
  <c r="F1502" i="19"/>
  <c r="G1502" i="19"/>
  <c r="F676" i="19"/>
  <c r="F695" i="19"/>
  <c r="F711" i="19"/>
  <c r="F727" i="19"/>
  <c r="F759" i="19"/>
  <c r="F775" i="19"/>
  <c r="F791" i="19"/>
  <c r="F831" i="19"/>
  <c r="F886" i="19"/>
  <c r="G1044" i="19"/>
  <c r="F1006" i="19"/>
  <c r="F1008" i="19"/>
  <c r="G1038" i="19"/>
  <c r="F1357" i="19"/>
  <c r="G1371" i="19"/>
  <c r="G1387" i="19"/>
  <c r="G1403" i="19"/>
  <c r="G1419" i="19"/>
  <c r="G1435" i="19"/>
  <c r="G1451" i="19"/>
  <c r="G1467" i="19"/>
  <c r="G1483" i="19"/>
  <c r="G1499" i="19"/>
  <c r="G590" i="19"/>
  <c r="F590" i="19"/>
  <c r="F726" i="19"/>
  <c r="G726" i="19"/>
  <c r="F907" i="19"/>
  <c r="G907" i="19"/>
  <c r="G1177" i="19"/>
  <c r="F1177" i="19"/>
  <c r="F1380" i="19"/>
  <c r="G1380" i="19"/>
  <c r="F1023" i="19"/>
  <c r="G1023" i="19"/>
  <c r="F1360" i="19"/>
  <c r="G1360" i="19"/>
  <c r="G594" i="19"/>
  <c r="F594" i="19"/>
  <c r="F772" i="19"/>
  <c r="G772" i="19"/>
  <c r="G1213" i="19"/>
  <c r="F1213" i="19"/>
  <c r="F1396" i="19"/>
  <c r="G1396" i="19"/>
  <c r="F808" i="19"/>
  <c r="G808" i="19"/>
  <c r="F1334" i="19"/>
  <c r="G1334" i="19"/>
  <c r="G512" i="19"/>
  <c r="F512" i="19"/>
  <c r="F681" i="19"/>
  <c r="G681" i="19"/>
  <c r="F782" i="19"/>
  <c r="G782" i="19"/>
  <c r="F993" i="19"/>
  <c r="G993" i="19"/>
  <c r="G1135" i="19"/>
  <c r="F1135" i="19"/>
  <c r="G1167" i="19"/>
  <c r="F1167" i="19"/>
  <c r="F1220" i="19"/>
  <c r="G1220" i="19"/>
  <c r="F1264" i="19"/>
  <c r="G1264" i="19"/>
  <c r="F525" i="19"/>
  <c r="G525" i="19"/>
  <c r="G603" i="19"/>
  <c r="F603" i="19"/>
  <c r="F631" i="19"/>
  <c r="G631" i="19"/>
  <c r="F814" i="19"/>
  <c r="G814" i="19"/>
  <c r="G1069" i="19"/>
  <c r="F1069" i="19"/>
  <c r="G520" i="19"/>
  <c r="F520" i="19"/>
  <c r="G564" i="19"/>
  <c r="F564" i="19"/>
  <c r="G580" i="19"/>
  <c r="F580" i="19"/>
  <c r="G523" i="19"/>
  <c r="F523" i="19"/>
  <c r="G539" i="19"/>
  <c r="F539" i="19"/>
  <c r="F529" i="19"/>
  <c r="G529" i="19"/>
  <c r="F545" i="19"/>
  <c r="G545" i="19"/>
  <c r="G642" i="19"/>
  <c r="F642" i="19"/>
  <c r="F647" i="19"/>
  <c r="G647" i="19"/>
  <c r="G658" i="19"/>
  <c r="F658" i="19"/>
  <c r="F696" i="19"/>
  <c r="G696" i="19"/>
  <c r="F712" i="19"/>
  <c r="G712" i="19"/>
  <c r="F742" i="19"/>
  <c r="G742" i="19"/>
  <c r="F758" i="19"/>
  <c r="G758" i="19"/>
  <c r="F790" i="19"/>
  <c r="G790" i="19"/>
  <c r="F844" i="19"/>
  <c r="G844" i="19"/>
  <c r="F826" i="19"/>
  <c r="G826" i="19"/>
  <c r="F851" i="19"/>
  <c r="G851" i="19"/>
  <c r="F1064" i="19"/>
  <c r="G1064" i="19"/>
  <c r="F1080" i="19"/>
  <c r="G1080" i="19"/>
  <c r="G1091" i="19"/>
  <c r="F1091" i="19"/>
  <c r="G1114" i="19"/>
  <c r="F1114" i="19"/>
  <c r="G1119" i="19"/>
  <c r="F1119" i="19"/>
  <c r="G1134" i="19"/>
  <c r="F1134" i="19"/>
  <c r="G1149" i="19"/>
  <c r="F1149" i="19"/>
  <c r="G1178" i="19"/>
  <c r="F1178" i="19"/>
  <c r="G1210" i="19"/>
  <c r="F1210" i="19"/>
  <c r="G1171" i="19"/>
  <c r="F1171" i="19"/>
  <c r="F1176" i="19"/>
  <c r="G1176" i="19"/>
  <c r="G1187" i="19"/>
  <c r="F1187" i="19"/>
  <c r="F1192" i="19"/>
  <c r="G1192" i="19"/>
  <c r="G1203" i="19"/>
  <c r="F1203" i="19"/>
  <c r="F1208" i="19"/>
  <c r="G1208" i="19"/>
  <c r="G1219" i="19"/>
  <c r="F1219" i="19"/>
  <c r="F1224" i="19"/>
  <c r="G1224" i="19"/>
  <c r="F1236" i="19"/>
  <c r="G1236" i="19"/>
  <c r="G1255" i="19"/>
  <c r="F1255" i="19"/>
  <c r="G1261" i="19"/>
  <c r="F1261" i="19"/>
  <c r="G1287" i="19"/>
  <c r="F1287" i="19"/>
  <c r="G1293" i="19"/>
  <c r="F1293" i="19"/>
  <c r="F1320" i="19"/>
  <c r="G1320" i="19"/>
  <c r="F1304" i="19"/>
  <c r="G1304" i="19"/>
  <c r="G1321" i="19"/>
  <c r="F1321" i="19"/>
  <c r="G1337" i="19"/>
  <c r="F1337" i="19"/>
  <c r="N1461" i="13"/>
  <c r="E1461" i="19" s="1"/>
  <c r="G1252" i="19"/>
  <c r="F1252" i="19"/>
  <c r="F1268" i="19"/>
  <c r="G1268" i="19"/>
  <c r="F1284" i="19"/>
  <c r="G1284" i="19"/>
  <c r="F1300" i="19"/>
  <c r="G1300" i="19"/>
  <c r="F679" i="19"/>
  <c r="F697" i="19"/>
  <c r="F713" i="19"/>
  <c r="F729" i="19"/>
  <c r="F745" i="19"/>
  <c r="F761" i="19"/>
  <c r="F819" i="19"/>
  <c r="F813" i="19"/>
  <c r="F856" i="19"/>
  <c r="F872" i="19"/>
  <c r="F904" i="19"/>
  <c r="F920" i="19"/>
  <c r="F936" i="19"/>
  <c r="F952" i="19"/>
  <c r="F968" i="19"/>
  <c r="F988" i="19"/>
  <c r="G1016" i="19"/>
  <c r="G1048" i="19"/>
  <c r="G1042" i="19"/>
  <c r="F1365" i="19"/>
  <c r="G1373" i="19"/>
  <c r="G1389" i="19"/>
  <c r="G1405" i="19"/>
  <c r="G1421" i="19"/>
  <c r="G1437" i="19"/>
  <c r="G1453" i="19"/>
  <c r="F780" i="19"/>
  <c r="G780" i="19"/>
  <c r="G1193" i="19"/>
  <c r="F1193" i="19"/>
  <c r="F1504" i="19"/>
  <c r="G1504" i="19"/>
  <c r="F1039" i="19"/>
  <c r="G1039" i="19"/>
  <c r="F1376" i="19"/>
  <c r="G1376" i="19"/>
  <c r="F830" i="19"/>
  <c r="G830" i="19"/>
  <c r="G1229" i="19"/>
  <c r="F1229" i="19"/>
  <c r="F1412" i="19"/>
  <c r="G1412" i="19"/>
  <c r="F1027" i="19"/>
  <c r="G1027" i="19"/>
  <c r="F1444" i="19"/>
  <c r="G1444" i="19"/>
  <c r="F838" i="19"/>
  <c r="G838" i="19"/>
  <c r="F1452" i="19"/>
  <c r="G1452" i="19"/>
  <c r="G620" i="19"/>
  <c r="F620" i="19"/>
  <c r="F692" i="19"/>
  <c r="G692" i="19"/>
  <c r="F887" i="19"/>
  <c r="G887" i="19"/>
  <c r="F1068" i="19"/>
  <c r="G1068" i="19"/>
  <c r="G1101" i="19"/>
  <c r="F1101" i="19"/>
  <c r="G1163" i="19"/>
  <c r="F1163" i="19"/>
  <c r="F1172" i="19"/>
  <c r="G1172" i="19"/>
  <c r="G1215" i="19"/>
  <c r="F1215" i="19"/>
  <c r="G1269" i="19"/>
  <c r="F1269" i="19"/>
  <c r="F1310" i="19"/>
  <c r="G1310" i="19"/>
  <c r="N1489" i="13"/>
  <c r="E1489" i="19" s="1"/>
  <c r="G1071" i="19"/>
  <c r="F1071" i="19"/>
  <c r="F521" i="19"/>
  <c r="G521" i="19"/>
  <c r="F645" i="19"/>
  <c r="G645" i="19"/>
  <c r="F754" i="19"/>
  <c r="G754" i="19"/>
  <c r="F824" i="19"/>
  <c r="G824" i="19"/>
  <c r="G528" i="19"/>
  <c r="F528" i="19"/>
  <c r="F561" i="19"/>
  <c r="G561" i="19"/>
  <c r="G510" i="19"/>
  <c r="F510" i="19"/>
  <c r="F543" i="19"/>
  <c r="G543" i="19"/>
  <c r="F573" i="19"/>
  <c r="G573" i="19"/>
  <c r="F599" i="19"/>
  <c r="G599" i="19"/>
  <c r="G612" i="19"/>
  <c r="F612" i="19"/>
  <c r="G584" i="19"/>
  <c r="F584" i="19"/>
  <c r="G628" i="19"/>
  <c r="F628" i="19"/>
  <c r="F637" i="19"/>
  <c r="G637" i="19"/>
  <c r="F653" i="19"/>
  <c r="G653" i="19"/>
  <c r="G624" i="19"/>
  <c r="F624" i="19"/>
  <c r="F669" i="19"/>
  <c r="G669" i="19"/>
  <c r="F732" i="19"/>
  <c r="G732" i="19"/>
  <c r="F730" i="19"/>
  <c r="G730" i="19"/>
  <c r="F744" i="19"/>
  <c r="G744" i="19"/>
  <c r="F770" i="19"/>
  <c r="G770" i="19"/>
  <c r="F806" i="19"/>
  <c r="G806" i="19"/>
  <c r="F820" i="19"/>
  <c r="G820" i="19"/>
  <c r="F828" i="19"/>
  <c r="G828" i="19"/>
  <c r="N875" i="13"/>
  <c r="E875" i="19" s="1"/>
  <c r="F1007" i="19"/>
  <c r="G1007" i="19"/>
  <c r="F1013" i="19"/>
  <c r="G1013" i="19"/>
  <c r="F1029" i="19"/>
  <c r="G1029" i="19"/>
  <c r="F1045" i="19"/>
  <c r="G1045" i="19"/>
  <c r="G1061" i="19"/>
  <c r="F1061" i="19"/>
  <c r="G1066" i="19"/>
  <c r="F1066" i="19"/>
  <c r="G1077" i="19"/>
  <c r="F1077" i="19"/>
  <c r="G1082" i="19"/>
  <c r="F1082" i="19"/>
  <c r="G1093" i="19"/>
  <c r="F1093" i="19"/>
  <c r="G1122" i="19"/>
  <c r="F1122" i="19"/>
  <c r="G1127" i="19"/>
  <c r="F1127" i="19"/>
  <c r="G1142" i="19"/>
  <c r="F1142" i="19"/>
  <c r="G1157" i="19"/>
  <c r="F1157" i="19"/>
  <c r="F1104" i="19"/>
  <c r="G1104" i="19"/>
  <c r="F1136" i="19"/>
  <c r="G1136" i="19"/>
  <c r="F1190" i="19"/>
  <c r="G1190" i="19"/>
  <c r="F1222" i="19"/>
  <c r="G1222" i="19"/>
  <c r="G1239" i="19"/>
  <c r="F1239" i="19"/>
  <c r="F1248" i="19"/>
  <c r="G1248" i="19"/>
  <c r="G1245" i="19"/>
  <c r="F1245" i="19"/>
  <c r="G1262" i="19"/>
  <c r="F1262" i="19"/>
  <c r="G1274" i="19"/>
  <c r="F1274" i="19"/>
  <c r="F1294" i="19"/>
  <c r="G1294" i="19"/>
  <c r="F1308" i="19"/>
  <c r="G1308" i="19"/>
  <c r="F1324" i="19"/>
  <c r="G1324" i="19"/>
  <c r="G1353" i="19"/>
  <c r="F1353" i="19"/>
  <c r="G1343" i="19"/>
  <c r="F1343" i="19"/>
  <c r="F1354" i="19"/>
  <c r="G1354" i="19"/>
  <c r="G1359" i="19"/>
  <c r="F1359" i="19"/>
  <c r="G1370" i="19"/>
  <c r="F1370" i="19"/>
  <c r="G1386" i="19"/>
  <c r="F1386" i="19"/>
  <c r="G1402" i="19"/>
  <c r="F1402" i="19"/>
  <c r="G1418" i="19"/>
  <c r="F1418" i="19"/>
  <c r="G1434" i="19"/>
  <c r="F1434" i="19"/>
  <c r="G1450" i="19"/>
  <c r="F1450" i="19"/>
  <c r="G1466" i="19"/>
  <c r="F1466" i="19"/>
  <c r="G1482" i="19"/>
  <c r="F1482" i="19"/>
  <c r="G1498" i="19"/>
  <c r="F1498" i="19"/>
  <c r="N1479" i="13"/>
  <c r="E1479" i="19" s="1"/>
  <c r="F683" i="19"/>
  <c r="F699" i="19"/>
  <c r="F715" i="19"/>
  <c r="F731" i="19"/>
  <c r="F747" i="19"/>
  <c r="F763" i="19"/>
  <c r="F779" i="19"/>
  <c r="F795" i="19"/>
  <c r="G839" i="19"/>
  <c r="F858" i="19"/>
  <c r="F890" i="19"/>
  <c r="G1020" i="19"/>
  <c r="G1014" i="19"/>
  <c r="G1046" i="19"/>
  <c r="F1323" i="19"/>
  <c r="G1375" i="19"/>
  <c r="G1391" i="19"/>
  <c r="G1407" i="19"/>
  <c r="G1423" i="19"/>
  <c r="G1439" i="19"/>
  <c r="G1455" i="19"/>
  <c r="G1471" i="19"/>
  <c r="G1487" i="19"/>
  <c r="G1503" i="19"/>
  <c r="F842" i="19"/>
  <c r="G842" i="19"/>
  <c r="G1209" i="19"/>
  <c r="F1209" i="19"/>
  <c r="G640" i="19"/>
  <c r="F640" i="19"/>
  <c r="F911" i="19"/>
  <c r="G911" i="19"/>
  <c r="G1055" i="19"/>
  <c r="F1055" i="19"/>
  <c r="F1392" i="19"/>
  <c r="G1392" i="19"/>
  <c r="F1348" i="19"/>
  <c r="G1348" i="19"/>
  <c r="F1318" i="19"/>
  <c r="G1318" i="19"/>
  <c r="F1043" i="19"/>
  <c r="G1043" i="19"/>
  <c r="F963" i="19"/>
  <c r="G963" i="19"/>
  <c r="F1492" i="19"/>
  <c r="G1492" i="19"/>
  <c r="N671" i="13"/>
  <c r="E671" i="19" s="1"/>
  <c r="N1497" i="13"/>
  <c r="E1497" i="19" s="1"/>
  <c r="N1469" i="13"/>
  <c r="E1469" i="19" s="1"/>
  <c r="N589" i="13"/>
  <c r="E589" i="19" s="1"/>
  <c r="N883" i="13"/>
  <c r="E883" i="19" s="1"/>
  <c r="N1100" i="13"/>
  <c r="E1100" i="19" s="1"/>
  <c r="N1116" i="13"/>
  <c r="E1116" i="19" s="1"/>
  <c r="N1132" i="13"/>
  <c r="E1132" i="19" s="1"/>
  <c r="N1148" i="13"/>
  <c r="E1148" i="19" s="1"/>
  <c r="N1108" i="13"/>
  <c r="E1108" i="19" s="1"/>
  <c r="N1124" i="13"/>
  <c r="E1124" i="19" s="1"/>
  <c r="N1140" i="13"/>
  <c r="E1140" i="19" s="1"/>
  <c r="N1156" i="13"/>
  <c r="E1156" i="19" s="1"/>
  <c r="N1481" i="13"/>
  <c r="E1481" i="19" s="1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9" i="13"/>
  <c r="G617" i="19" l="1"/>
  <c r="F617" i="19"/>
  <c r="F929" i="19"/>
  <c r="G929" i="19"/>
  <c r="F605" i="19"/>
  <c r="G605" i="19"/>
  <c r="G913" i="19"/>
  <c r="F913" i="19"/>
  <c r="G961" i="19"/>
  <c r="F961" i="19"/>
  <c r="G562" i="19"/>
  <c r="F562" i="19"/>
  <c r="F933" i="19"/>
  <c r="G933" i="19"/>
  <c r="F965" i="19"/>
  <c r="G965" i="19"/>
  <c r="G625" i="19"/>
  <c r="F625" i="19"/>
  <c r="G622" i="19"/>
  <c r="F622" i="19"/>
  <c r="G949" i="19"/>
  <c r="F949" i="19"/>
  <c r="G550" i="19"/>
  <c r="F550" i="19"/>
  <c r="G1156" i="19"/>
  <c r="F1156" i="19"/>
  <c r="F883" i="19"/>
  <c r="G883" i="19"/>
  <c r="F875" i="19"/>
  <c r="G875" i="19"/>
  <c r="G888" i="19"/>
  <c r="F888" i="19"/>
  <c r="F1501" i="19"/>
  <c r="G1501" i="19"/>
  <c r="F1140" i="19"/>
  <c r="G1140" i="19"/>
  <c r="F589" i="19"/>
  <c r="G589" i="19"/>
  <c r="G1124" i="19"/>
  <c r="F1124" i="19"/>
  <c r="F1469" i="19"/>
  <c r="G1469" i="19"/>
  <c r="F1461" i="19"/>
  <c r="G1461" i="19"/>
  <c r="F1116" i="19"/>
  <c r="G1116" i="19"/>
  <c r="F1497" i="19"/>
  <c r="G1497" i="19"/>
  <c r="F985" i="19"/>
  <c r="G985" i="19"/>
  <c r="F1100" i="19"/>
  <c r="G1100" i="19"/>
  <c r="F1489" i="19"/>
  <c r="G1489" i="19"/>
  <c r="F1148" i="19"/>
  <c r="G1148" i="19"/>
  <c r="F671" i="19"/>
  <c r="G671" i="19"/>
  <c r="F1481" i="19"/>
  <c r="G1481" i="19"/>
  <c r="G1108" i="19"/>
  <c r="F1108" i="19"/>
  <c r="F1479" i="19"/>
  <c r="G1479" i="19"/>
  <c r="F1132" i="19"/>
  <c r="G1132" i="19"/>
  <c r="F549" i="19"/>
  <c r="G549" i="19"/>
  <c r="J5" i="20"/>
  <c r="H5" i="20" l="1"/>
  <c r="H2" i="13" l="1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D492" i="19"/>
  <c r="D493" i="19"/>
  <c r="D494" i="19"/>
  <c r="D495" i="19"/>
  <c r="D496" i="19"/>
  <c r="D497" i="19"/>
  <c r="D498" i="19"/>
  <c r="D499" i="19"/>
  <c r="D500" i="19"/>
  <c r="D501" i="19"/>
  <c r="D502" i="19"/>
  <c r="D503" i="19"/>
  <c r="D504" i="19"/>
  <c r="D505" i="19"/>
  <c r="D506" i="19"/>
  <c r="D507" i="19"/>
  <c r="D508" i="19"/>
  <c r="D9" i="19"/>
  <c r="C9" i="19"/>
  <c r="C508" i="19"/>
  <c r="B508" i="19"/>
  <c r="C507" i="19"/>
  <c r="B507" i="19"/>
  <c r="C506" i="19"/>
  <c r="B506" i="19"/>
  <c r="C505" i="19"/>
  <c r="B505" i="19"/>
  <c r="C504" i="19"/>
  <c r="B504" i="19"/>
  <c r="C503" i="19"/>
  <c r="B503" i="19"/>
  <c r="C502" i="19"/>
  <c r="B502" i="19"/>
  <c r="C501" i="19"/>
  <c r="B501" i="19"/>
  <c r="C500" i="19"/>
  <c r="B500" i="19"/>
  <c r="C499" i="19"/>
  <c r="B499" i="19"/>
  <c r="C498" i="19"/>
  <c r="B498" i="19"/>
  <c r="C497" i="19"/>
  <c r="B497" i="19"/>
  <c r="C496" i="19"/>
  <c r="B496" i="19"/>
  <c r="C495" i="19"/>
  <c r="B495" i="19"/>
  <c r="C494" i="19"/>
  <c r="B494" i="19"/>
  <c r="C493" i="19"/>
  <c r="B493" i="19"/>
  <c r="C492" i="19"/>
  <c r="B492" i="19"/>
  <c r="C491" i="19"/>
  <c r="B491" i="19"/>
  <c r="C490" i="19"/>
  <c r="B490" i="19"/>
  <c r="C489" i="19"/>
  <c r="B489" i="19"/>
  <c r="C488" i="19"/>
  <c r="B488" i="19"/>
  <c r="C487" i="19"/>
  <c r="B487" i="19"/>
  <c r="C486" i="19"/>
  <c r="B486" i="19"/>
  <c r="C485" i="19"/>
  <c r="B485" i="19"/>
  <c r="C484" i="19"/>
  <c r="B484" i="19"/>
  <c r="C483" i="19"/>
  <c r="B483" i="19"/>
  <c r="C482" i="19"/>
  <c r="B482" i="19"/>
  <c r="C481" i="19"/>
  <c r="B481" i="19"/>
  <c r="C480" i="19"/>
  <c r="B480" i="19"/>
  <c r="C479" i="19"/>
  <c r="B479" i="19"/>
  <c r="C478" i="19"/>
  <c r="B478" i="19"/>
  <c r="C477" i="19"/>
  <c r="B477" i="19"/>
  <c r="C476" i="19"/>
  <c r="B476" i="19"/>
  <c r="C475" i="19"/>
  <c r="B475" i="19"/>
  <c r="C474" i="19"/>
  <c r="B474" i="19"/>
  <c r="C473" i="19"/>
  <c r="B473" i="19"/>
  <c r="C472" i="19"/>
  <c r="B472" i="19"/>
  <c r="C471" i="19"/>
  <c r="B471" i="19"/>
  <c r="C470" i="19"/>
  <c r="B470" i="19"/>
  <c r="C469" i="19"/>
  <c r="B469" i="19"/>
  <c r="C468" i="19"/>
  <c r="B468" i="19"/>
  <c r="C467" i="19"/>
  <c r="B467" i="19"/>
  <c r="C466" i="19"/>
  <c r="B466" i="19"/>
  <c r="C465" i="19"/>
  <c r="B465" i="19"/>
  <c r="C464" i="19"/>
  <c r="B464" i="19"/>
  <c r="C463" i="19"/>
  <c r="B463" i="19"/>
  <c r="C462" i="19"/>
  <c r="B462" i="19"/>
  <c r="C461" i="19"/>
  <c r="B461" i="19"/>
  <c r="C460" i="19"/>
  <c r="B460" i="19"/>
  <c r="C459" i="19"/>
  <c r="B459" i="19"/>
  <c r="C458" i="19"/>
  <c r="B458" i="19"/>
  <c r="C457" i="19"/>
  <c r="B457" i="19"/>
  <c r="C456" i="19"/>
  <c r="B456" i="19"/>
  <c r="C455" i="19"/>
  <c r="B455" i="19"/>
  <c r="C454" i="19"/>
  <c r="B454" i="19"/>
  <c r="C453" i="19"/>
  <c r="B453" i="19"/>
  <c r="C452" i="19"/>
  <c r="B452" i="19"/>
  <c r="C451" i="19"/>
  <c r="B451" i="19"/>
  <c r="C450" i="19"/>
  <c r="B450" i="19"/>
  <c r="C449" i="19"/>
  <c r="B449" i="19"/>
  <c r="C448" i="19"/>
  <c r="B448" i="19"/>
  <c r="C447" i="19"/>
  <c r="B447" i="19"/>
  <c r="C446" i="19"/>
  <c r="B446" i="19"/>
  <c r="C445" i="19"/>
  <c r="B445" i="19"/>
  <c r="C444" i="19"/>
  <c r="B444" i="19"/>
  <c r="C443" i="19"/>
  <c r="B443" i="19"/>
  <c r="C442" i="19"/>
  <c r="B442" i="19"/>
  <c r="C441" i="19"/>
  <c r="B441" i="19"/>
  <c r="C440" i="19"/>
  <c r="B440" i="19"/>
  <c r="C439" i="19"/>
  <c r="B439" i="19"/>
  <c r="C438" i="19"/>
  <c r="B438" i="19"/>
  <c r="C437" i="19"/>
  <c r="B437" i="19"/>
  <c r="C436" i="19"/>
  <c r="B436" i="19"/>
  <c r="C435" i="19"/>
  <c r="B435" i="19"/>
  <c r="C434" i="19"/>
  <c r="B434" i="19"/>
  <c r="C433" i="19"/>
  <c r="B433" i="19"/>
  <c r="C432" i="19"/>
  <c r="B432" i="19"/>
  <c r="C431" i="19"/>
  <c r="B431" i="19"/>
  <c r="C430" i="19"/>
  <c r="B430" i="19"/>
  <c r="C429" i="19"/>
  <c r="B429" i="19"/>
  <c r="C428" i="19"/>
  <c r="B428" i="19"/>
  <c r="C427" i="19"/>
  <c r="B427" i="19"/>
  <c r="C426" i="19"/>
  <c r="B426" i="19"/>
  <c r="C425" i="19"/>
  <c r="B425" i="19"/>
  <c r="C424" i="19"/>
  <c r="B424" i="19"/>
  <c r="C423" i="19"/>
  <c r="B423" i="19"/>
  <c r="C422" i="19"/>
  <c r="B422" i="19"/>
  <c r="C421" i="19"/>
  <c r="B421" i="19"/>
  <c r="C420" i="19"/>
  <c r="B420" i="19"/>
  <c r="C419" i="19"/>
  <c r="B419" i="19"/>
  <c r="C418" i="19"/>
  <c r="B418" i="19"/>
  <c r="C417" i="19"/>
  <c r="B417" i="19"/>
  <c r="C416" i="19"/>
  <c r="B416" i="19"/>
  <c r="C415" i="19"/>
  <c r="B415" i="19"/>
  <c r="C414" i="19"/>
  <c r="B414" i="19"/>
  <c r="C413" i="19"/>
  <c r="B413" i="19"/>
  <c r="C412" i="19"/>
  <c r="B412" i="19"/>
  <c r="C411" i="19"/>
  <c r="B411" i="19"/>
  <c r="C410" i="19"/>
  <c r="B410" i="19"/>
  <c r="C409" i="19"/>
  <c r="B409" i="19"/>
  <c r="C408" i="19"/>
  <c r="B408" i="19"/>
  <c r="C407" i="19"/>
  <c r="B407" i="19"/>
  <c r="C406" i="19"/>
  <c r="B406" i="19"/>
  <c r="C405" i="19"/>
  <c r="B405" i="19"/>
  <c r="C404" i="19"/>
  <c r="B404" i="19"/>
  <c r="C403" i="19"/>
  <c r="B403" i="19"/>
  <c r="C402" i="19"/>
  <c r="B402" i="19"/>
  <c r="C401" i="19"/>
  <c r="B401" i="19"/>
  <c r="C400" i="19"/>
  <c r="B400" i="19"/>
  <c r="C399" i="19"/>
  <c r="B399" i="19"/>
  <c r="C398" i="19"/>
  <c r="B398" i="19"/>
  <c r="C397" i="19"/>
  <c r="B397" i="19"/>
  <c r="C396" i="19"/>
  <c r="B396" i="19"/>
  <c r="C395" i="19"/>
  <c r="B395" i="19"/>
  <c r="C394" i="19"/>
  <c r="B394" i="19"/>
  <c r="C393" i="19"/>
  <c r="B393" i="19"/>
  <c r="C392" i="19"/>
  <c r="B392" i="19"/>
  <c r="C391" i="19"/>
  <c r="B391" i="19"/>
  <c r="C390" i="19"/>
  <c r="B390" i="19"/>
  <c r="C389" i="19"/>
  <c r="B389" i="19"/>
  <c r="C388" i="19"/>
  <c r="B388" i="19"/>
  <c r="C387" i="19"/>
  <c r="B387" i="19"/>
  <c r="C386" i="19"/>
  <c r="B386" i="19"/>
  <c r="C385" i="19"/>
  <c r="B385" i="19"/>
  <c r="C384" i="19"/>
  <c r="B384" i="19"/>
  <c r="C383" i="19"/>
  <c r="B383" i="19"/>
  <c r="C382" i="19"/>
  <c r="B382" i="19"/>
  <c r="C381" i="19"/>
  <c r="B381" i="19"/>
  <c r="C380" i="19"/>
  <c r="B380" i="19"/>
  <c r="C379" i="19"/>
  <c r="B379" i="19"/>
  <c r="C378" i="19"/>
  <c r="B378" i="19"/>
  <c r="C377" i="19"/>
  <c r="B377" i="19"/>
  <c r="C376" i="19"/>
  <c r="B376" i="19"/>
  <c r="C375" i="19"/>
  <c r="B375" i="19"/>
  <c r="C374" i="19"/>
  <c r="B374" i="19"/>
  <c r="C373" i="19"/>
  <c r="B373" i="19"/>
  <c r="C372" i="19"/>
  <c r="B372" i="19"/>
  <c r="C371" i="19"/>
  <c r="B371" i="19"/>
  <c r="C370" i="19"/>
  <c r="B370" i="19"/>
  <c r="C369" i="19"/>
  <c r="B369" i="19"/>
  <c r="C368" i="19"/>
  <c r="B368" i="19"/>
  <c r="C367" i="19"/>
  <c r="B367" i="19"/>
  <c r="C366" i="19"/>
  <c r="B366" i="19"/>
  <c r="C365" i="19"/>
  <c r="B365" i="19"/>
  <c r="C364" i="19"/>
  <c r="B364" i="19"/>
  <c r="C363" i="19"/>
  <c r="B363" i="19"/>
  <c r="C362" i="19"/>
  <c r="B362" i="19"/>
  <c r="C361" i="19"/>
  <c r="B361" i="19"/>
  <c r="C360" i="19"/>
  <c r="B360" i="19"/>
  <c r="C359" i="19"/>
  <c r="B359" i="19"/>
  <c r="C358" i="19"/>
  <c r="B358" i="19"/>
  <c r="C357" i="19"/>
  <c r="B357" i="19"/>
  <c r="C356" i="19"/>
  <c r="B356" i="19"/>
  <c r="C355" i="19"/>
  <c r="B355" i="19"/>
  <c r="C354" i="19"/>
  <c r="B354" i="19"/>
  <c r="C353" i="19"/>
  <c r="B353" i="19"/>
  <c r="C352" i="19"/>
  <c r="B352" i="19"/>
  <c r="C351" i="19"/>
  <c r="B351" i="19"/>
  <c r="C350" i="19"/>
  <c r="B350" i="19"/>
  <c r="C349" i="19"/>
  <c r="B349" i="19"/>
  <c r="C348" i="19"/>
  <c r="B348" i="19"/>
  <c r="C347" i="19"/>
  <c r="B347" i="19"/>
  <c r="C346" i="19"/>
  <c r="B346" i="19"/>
  <c r="C345" i="19"/>
  <c r="B345" i="19"/>
  <c r="C344" i="19"/>
  <c r="B344" i="19"/>
  <c r="C343" i="19"/>
  <c r="B343" i="19"/>
  <c r="C342" i="19"/>
  <c r="B342" i="19"/>
  <c r="C341" i="19"/>
  <c r="B341" i="19"/>
  <c r="C340" i="19"/>
  <c r="B340" i="19"/>
  <c r="C339" i="19"/>
  <c r="B339" i="19"/>
  <c r="C338" i="19"/>
  <c r="B338" i="19"/>
  <c r="C337" i="19"/>
  <c r="B337" i="19"/>
  <c r="C336" i="19"/>
  <c r="B336" i="19"/>
  <c r="C335" i="19"/>
  <c r="B335" i="19"/>
  <c r="C334" i="19"/>
  <c r="B334" i="19"/>
  <c r="C333" i="19"/>
  <c r="B333" i="19"/>
  <c r="C332" i="19"/>
  <c r="B332" i="19"/>
  <c r="C331" i="19"/>
  <c r="B331" i="19"/>
  <c r="C330" i="19"/>
  <c r="B330" i="19"/>
  <c r="C329" i="19"/>
  <c r="B329" i="19"/>
  <c r="C328" i="19"/>
  <c r="B328" i="19"/>
  <c r="C327" i="19"/>
  <c r="B327" i="19"/>
  <c r="C326" i="19"/>
  <c r="B326" i="19"/>
  <c r="C325" i="19"/>
  <c r="B325" i="19"/>
  <c r="C324" i="19"/>
  <c r="B324" i="19"/>
  <c r="C323" i="19"/>
  <c r="B323" i="19"/>
  <c r="C322" i="19"/>
  <c r="B322" i="19"/>
  <c r="C321" i="19"/>
  <c r="B321" i="19"/>
  <c r="C320" i="19"/>
  <c r="B320" i="19"/>
  <c r="C319" i="19"/>
  <c r="B319" i="19"/>
  <c r="C318" i="19"/>
  <c r="B318" i="19"/>
  <c r="C317" i="19"/>
  <c r="B317" i="19"/>
  <c r="C316" i="19"/>
  <c r="B316" i="19"/>
  <c r="C315" i="19"/>
  <c r="B315" i="19"/>
  <c r="C314" i="19"/>
  <c r="B314" i="19"/>
  <c r="C313" i="19"/>
  <c r="B313" i="19"/>
  <c r="C312" i="19"/>
  <c r="B312" i="19"/>
  <c r="C311" i="19"/>
  <c r="B311" i="19"/>
  <c r="C310" i="19"/>
  <c r="B310" i="19"/>
  <c r="C309" i="19"/>
  <c r="B309" i="19"/>
  <c r="C308" i="19"/>
  <c r="B308" i="19"/>
  <c r="C307" i="19"/>
  <c r="B307" i="19"/>
  <c r="C306" i="19"/>
  <c r="B306" i="19"/>
  <c r="C305" i="19"/>
  <c r="B305" i="19"/>
  <c r="C304" i="19"/>
  <c r="B304" i="19"/>
  <c r="C303" i="19"/>
  <c r="B303" i="19"/>
  <c r="C302" i="19"/>
  <c r="B302" i="19"/>
  <c r="C301" i="19"/>
  <c r="B301" i="19"/>
  <c r="C300" i="19"/>
  <c r="B300" i="19"/>
  <c r="C299" i="19"/>
  <c r="B299" i="19"/>
  <c r="C298" i="19"/>
  <c r="B298" i="19"/>
  <c r="C297" i="19"/>
  <c r="B297" i="19"/>
  <c r="C296" i="19"/>
  <c r="B296" i="19"/>
  <c r="C295" i="19"/>
  <c r="B295" i="19"/>
  <c r="C294" i="19"/>
  <c r="B294" i="19"/>
  <c r="C293" i="19"/>
  <c r="B293" i="19"/>
  <c r="C292" i="19"/>
  <c r="B292" i="19"/>
  <c r="C291" i="19"/>
  <c r="B291" i="19"/>
  <c r="C290" i="19"/>
  <c r="B290" i="19"/>
  <c r="C289" i="19"/>
  <c r="B289" i="19"/>
  <c r="C288" i="19"/>
  <c r="B288" i="19"/>
  <c r="C287" i="19"/>
  <c r="B287" i="19"/>
  <c r="C286" i="19"/>
  <c r="B286" i="19"/>
  <c r="C285" i="19"/>
  <c r="B285" i="19"/>
  <c r="C284" i="19"/>
  <c r="B284" i="19"/>
  <c r="C283" i="19"/>
  <c r="B283" i="19"/>
  <c r="C282" i="19"/>
  <c r="B282" i="19"/>
  <c r="C281" i="19"/>
  <c r="B281" i="19"/>
  <c r="C280" i="19"/>
  <c r="B280" i="19"/>
  <c r="C279" i="19"/>
  <c r="B279" i="19"/>
  <c r="C278" i="19"/>
  <c r="B278" i="19"/>
  <c r="C277" i="19"/>
  <c r="B277" i="19"/>
  <c r="C276" i="19"/>
  <c r="B276" i="19"/>
  <c r="C275" i="19"/>
  <c r="B275" i="19"/>
  <c r="C274" i="19"/>
  <c r="B274" i="19"/>
  <c r="C273" i="19"/>
  <c r="B273" i="19"/>
  <c r="C272" i="19"/>
  <c r="B272" i="19"/>
  <c r="C271" i="19"/>
  <c r="B271" i="19"/>
  <c r="C270" i="19"/>
  <c r="B270" i="19"/>
  <c r="C269" i="19"/>
  <c r="B269" i="19"/>
  <c r="C268" i="19"/>
  <c r="B268" i="19"/>
  <c r="C267" i="19"/>
  <c r="B267" i="19"/>
  <c r="C266" i="19"/>
  <c r="B266" i="19"/>
  <c r="C265" i="19"/>
  <c r="B265" i="19"/>
  <c r="C264" i="19"/>
  <c r="B264" i="19"/>
  <c r="C263" i="19"/>
  <c r="B263" i="19"/>
  <c r="C262" i="19"/>
  <c r="B262" i="19"/>
  <c r="C261" i="19"/>
  <c r="B261" i="19"/>
  <c r="C260" i="19"/>
  <c r="B260" i="19"/>
  <c r="C259" i="19"/>
  <c r="B259" i="19"/>
  <c r="C258" i="19"/>
  <c r="B258" i="19"/>
  <c r="C257" i="19"/>
  <c r="B257" i="19"/>
  <c r="C256" i="19"/>
  <c r="B256" i="19"/>
  <c r="C255" i="19"/>
  <c r="B255" i="19"/>
  <c r="C254" i="19"/>
  <c r="B254" i="19"/>
  <c r="C253" i="19"/>
  <c r="B253" i="19"/>
  <c r="C252" i="19"/>
  <c r="B252" i="19"/>
  <c r="C251" i="19"/>
  <c r="B251" i="19"/>
  <c r="C250" i="19"/>
  <c r="B250" i="19"/>
  <c r="C249" i="19"/>
  <c r="B249" i="19"/>
  <c r="C248" i="19"/>
  <c r="B248" i="19"/>
  <c r="C247" i="19"/>
  <c r="B247" i="19"/>
  <c r="C246" i="19"/>
  <c r="B246" i="19"/>
  <c r="C245" i="19"/>
  <c r="B245" i="19"/>
  <c r="C244" i="19"/>
  <c r="B244" i="19"/>
  <c r="C243" i="19"/>
  <c r="B243" i="19"/>
  <c r="C242" i="19"/>
  <c r="B242" i="19"/>
  <c r="C241" i="19"/>
  <c r="B241" i="19"/>
  <c r="C240" i="19"/>
  <c r="B240" i="19"/>
  <c r="C239" i="19"/>
  <c r="B239" i="19"/>
  <c r="C238" i="19"/>
  <c r="B238" i="19"/>
  <c r="C237" i="19"/>
  <c r="B237" i="19"/>
  <c r="C236" i="19"/>
  <c r="B236" i="19"/>
  <c r="C235" i="19"/>
  <c r="B235" i="19"/>
  <c r="C234" i="19"/>
  <c r="B234" i="19"/>
  <c r="C233" i="19"/>
  <c r="B233" i="19"/>
  <c r="C232" i="19"/>
  <c r="B232" i="19"/>
  <c r="C231" i="19"/>
  <c r="B231" i="19"/>
  <c r="C230" i="19"/>
  <c r="B230" i="19"/>
  <c r="C229" i="19"/>
  <c r="B229" i="19"/>
  <c r="C228" i="19"/>
  <c r="B228" i="19"/>
  <c r="C227" i="19"/>
  <c r="B227" i="19"/>
  <c r="C226" i="19"/>
  <c r="B226" i="19"/>
  <c r="C225" i="19"/>
  <c r="B225" i="19"/>
  <c r="C224" i="19"/>
  <c r="B224" i="19"/>
  <c r="C223" i="19"/>
  <c r="B223" i="19"/>
  <c r="C222" i="19"/>
  <c r="B222" i="19"/>
  <c r="C221" i="19"/>
  <c r="B221" i="19"/>
  <c r="C220" i="19"/>
  <c r="B220" i="19"/>
  <c r="C219" i="19"/>
  <c r="B219" i="19"/>
  <c r="C218" i="19"/>
  <c r="B218" i="19"/>
  <c r="C217" i="19"/>
  <c r="B217" i="19"/>
  <c r="C216" i="19"/>
  <c r="B216" i="19"/>
  <c r="C215" i="19"/>
  <c r="B215" i="19"/>
  <c r="C214" i="19"/>
  <c r="B214" i="19"/>
  <c r="C213" i="19"/>
  <c r="B213" i="19"/>
  <c r="C212" i="19"/>
  <c r="B212" i="19"/>
  <c r="C211" i="19"/>
  <c r="B211" i="19"/>
  <c r="C210" i="19"/>
  <c r="B210" i="19"/>
  <c r="C209" i="19"/>
  <c r="B209" i="19"/>
  <c r="C208" i="19"/>
  <c r="B208" i="19"/>
  <c r="C207" i="19"/>
  <c r="B207" i="19"/>
  <c r="C206" i="19"/>
  <c r="B206" i="19"/>
  <c r="C205" i="19"/>
  <c r="B205" i="19"/>
  <c r="C204" i="19"/>
  <c r="B204" i="19"/>
  <c r="C203" i="19"/>
  <c r="B203" i="19"/>
  <c r="C202" i="19"/>
  <c r="B202" i="19"/>
  <c r="C201" i="19"/>
  <c r="B201" i="19"/>
  <c r="C200" i="19"/>
  <c r="B200" i="19"/>
  <c r="C199" i="19"/>
  <c r="B199" i="19"/>
  <c r="C198" i="19"/>
  <c r="B198" i="19"/>
  <c r="C197" i="19"/>
  <c r="B197" i="19"/>
  <c r="C196" i="19"/>
  <c r="B196" i="19"/>
  <c r="C195" i="19"/>
  <c r="B195" i="19"/>
  <c r="C194" i="19"/>
  <c r="B194" i="19"/>
  <c r="C193" i="19"/>
  <c r="B193" i="19"/>
  <c r="C192" i="19"/>
  <c r="B192" i="19"/>
  <c r="C191" i="19"/>
  <c r="B191" i="19"/>
  <c r="C190" i="19"/>
  <c r="B190" i="19"/>
  <c r="C189" i="19"/>
  <c r="B189" i="19"/>
  <c r="C188" i="19"/>
  <c r="B188" i="19"/>
  <c r="C187" i="19"/>
  <c r="B187" i="19"/>
  <c r="C186" i="19"/>
  <c r="B186" i="19"/>
  <c r="C185" i="19"/>
  <c r="B185" i="19"/>
  <c r="C184" i="19"/>
  <c r="B184" i="19"/>
  <c r="C183" i="19"/>
  <c r="B183" i="19"/>
  <c r="C182" i="19"/>
  <c r="B182" i="19"/>
  <c r="C181" i="19"/>
  <c r="B181" i="19"/>
  <c r="C180" i="19"/>
  <c r="B180" i="19"/>
  <c r="C179" i="19"/>
  <c r="B179" i="19"/>
  <c r="C178" i="19"/>
  <c r="B178" i="19"/>
  <c r="C177" i="19"/>
  <c r="B177" i="19"/>
  <c r="C176" i="19"/>
  <c r="B176" i="19"/>
  <c r="C175" i="19"/>
  <c r="B175" i="19"/>
  <c r="C174" i="19"/>
  <c r="B174" i="19"/>
  <c r="C173" i="19"/>
  <c r="B173" i="19"/>
  <c r="C172" i="19"/>
  <c r="B172" i="19"/>
  <c r="C171" i="19"/>
  <c r="B171" i="19"/>
  <c r="C170" i="19"/>
  <c r="B170" i="19"/>
  <c r="C169" i="19"/>
  <c r="B169" i="19"/>
  <c r="C168" i="19"/>
  <c r="B168" i="19"/>
  <c r="C167" i="19"/>
  <c r="B167" i="19"/>
  <c r="C166" i="19"/>
  <c r="B166" i="19"/>
  <c r="C165" i="19"/>
  <c r="B165" i="19"/>
  <c r="C164" i="19"/>
  <c r="B164" i="19"/>
  <c r="C163" i="19"/>
  <c r="B163" i="19"/>
  <c r="C162" i="19"/>
  <c r="B162" i="19"/>
  <c r="C161" i="19"/>
  <c r="B161" i="19"/>
  <c r="C160" i="19"/>
  <c r="B160" i="19"/>
  <c r="C159" i="19"/>
  <c r="B159" i="19"/>
  <c r="C158" i="19"/>
  <c r="B158" i="19"/>
  <c r="C157" i="19"/>
  <c r="B157" i="19"/>
  <c r="C156" i="19"/>
  <c r="B156" i="19"/>
  <c r="C155" i="19"/>
  <c r="B155" i="19"/>
  <c r="C154" i="19"/>
  <c r="B154" i="19"/>
  <c r="C153" i="19"/>
  <c r="B153" i="19"/>
  <c r="C152" i="19"/>
  <c r="B152" i="19"/>
  <c r="C151" i="19"/>
  <c r="B151" i="19"/>
  <c r="C150" i="19"/>
  <c r="B150" i="19"/>
  <c r="C149" i="19"/>
  <c r="B149" i="19"/>
  <c r="C148" i="19"/>
  <c r="B148" i="19"/>
  <c r="C147" i="19"/>
  <c r="B147" i="19"/>
  <c r="C146" i="19"/>
  <c r="B146" i="19"/>
  <c r="C145" i="19"/>
  <c r="B145" i="19"/>
  <c r="C144" i="19"/>
  <c r="B144" i="19"/>
  <c r="C143" i="19"/>
  <c r="B143" i="19"/>
  <c r="C142" i="19"/>
  <c r="B142" i="19"/>
  <c r="C141" i="19"/>
  <c r="B141" i="19"/>
  <c r="C140" i="19"/>
  <c r="B140" i="19"/>
  <c r="C139" i="19"/>
  <c r="B139" i="19"/>
  <c r="C138" i="19"/>
  <c r="B138" i="19"/>
  <c r="C137" i="19"/>
  <c r="B137" i="19"/>
  <c r="C136" i="19"/>
  <c r="B136" i="19"/>
  <c r="C135" i="19"/>
  <c r="B135" i="19"/>
  <c r="C134" i="19"/>
  <c r="B134" i="19"/>
  <c r="C133" i="19"/>
  <c r="B133" i="19"/>
  <c r="C132" i="19"/>
  <c r="B132" i="19"/>
  <c r="C131" i="19"/>
  <c r="B131" i="19"/>
  <c r="C130" i="19"/>
  <c r="B130" i="19"/>
  <c r="C129" i="19"/>
  <c r="B129" i="19"/>
  <c r="C128" i="19"/>
  <c r="B128" i="19"/>
  <c r="C127" i="19"/>
  <c r="B127" i="19"/>
  <c r="C126" i="19"/>
  <c r="B126" i="19"/>
  <c r="C125" i="19"/>
  <c r="B125" i="19"/>
  <c r="C124" i="19"/>
  <c r="B124" i="19"/>
  <c r="C123" i="19"/>
  <c r="B123" i="19"/>
  <c r="C122" i="19"/>
  <c r="B122" i="19"/>
  <c r="C121" i="19"/>
  <c r="B121" i="19"/>
  <c r="C120" i="19"/>
  <c r="B120" i="19"/>
  <c r="C119" i="19"/>
  <c r="B119" i="19"/>
  <c r="C118" i="19"/>
  <c r="B118" i="19"/>
  <c r="C117" i="19"/>
  <c r="B117" i="19"/>
  <c r="C116" i="19"/>
  <c r="B116" i="19"/>
  <c r="C115" i="19"/>
  <c r="B115" i="19"/>
  <c r="C114" i="19"/>
  <c r="B114" i="19"/>
  <c r="C113" i="19"/>
  <c r="B113" i="19"/>
  <c r="C112" i="19"/>
  <c r="B112" i="19"/>
  <c r="C111" i="19"/>
  <c r="B111" i="19"/>
  <c r="C110" i="19"/>
  <c r="B110" i="19"/>
  <c r="C109" i="19"/>
  <c r="B109" i="19"/>
  <c r="C108" i="19"/>
  <c r="B108" i="19"/>
  <c r="C107" i="19"/>
  <c r="B107" i="19"/>
  <c r="C106" i="19"/>
  <c r="B106" i="19"/>
  <c r="C105" i="19"/>
  <c r="B105" i="19"/>
  <c r="C104" i="19"/>
  <c r="B104" i="19"/>
  <c r="C103" i="19"/>
  <c r="B103" i="19"/>
  <c r="C102" i="19"/>
  <c r="B102" i="19"/>
  <c r="C101" i="19"/>
  <c r="B101" i="19"/>
  <c r="C100" i="19"/>
  <c r="B100" i="19"/>
  <c r="C99" i="19"/>
  <c r="B99" i="19"/>
  <c r="C98" i="19"/>
  <c r="B98" i="19"/>
  <c r="C97" i="19"/>
  <c r="B97" i="19"/>
  <c r="C96" i="19"/>
  <c r="B96" i="19"/>
  <c r="C95" i="19"/>
  <c r="B95" i="19"/>
  <c r="C94" i="19"/>
  <c r="B94" i="19"/>
  <c r="C93" i="19"/>
  <c r="B93" i="19"/>
  <c r="C92" i="19"/>
  <c r="B92" i="19"/>
  <c r="C91" i="19"/>
  <c r="B91" i="19"/>
  <c r="C90" i="19"/>
  <c r="B90" i="19"/>
  <c r="C89" i="19"/>
  <c r="B89" i="19"/>
  <c r="C88" i="19"/>
  <c r="B88" i="19"/>
  <c r="C87" i="19"/>
  <c r="B87" i="19"/>
  <c r="C86" i="19"/>
  <c r="B86" i="19"/>
  <c r="C85" i="19"/>
  <c r="B85" i="19"/>
  <c r="C84" i="19"/>
  <c r="B84" i="19"/>
  <c r="C83" i="19"/>
  <c r="B83" i="19"/>
  <c r="C82" i="19"/>
  <c r="B82" i="19"/>
  <c r="C81" i="19"/>
  <c r="B81" i="19"/>
  <c r="C80" i="19"/>
  <c r="B80" i="19"/>
  <c r="C79" i="19"/>
  <c r="B79" i="19"/>
  <c r="C78" i="19"/>
  <c r="B78" i="19"/>
  <c r="C77" i="19"/>
  <c r="B77" i="19"/>
  <c r="C76" i="19"/>
  <c r="B76" i="19"/>
  <c r="C75" i="19"/>
  <c r="B75" i="19"/>
  <c r="C74" i="19"/>
  <c r="B74" i="19"/>
  <c r="C73" i="19"/>
  <c r="B73" i="19"/>
  <c r="C72" i="19"/>
  <c r="B72" i="19"/>
  <c r="C71" i="19"/>
  <c r="B71" i="19"/>
  <c r="C70" i="19"/>
  <c r="B70" i="19"/>
  <c r="C69" i="19"/>
  <c r="B69" i="19"/>
  <c r="C68" i="19"/>
  <c r="B68" i="19"/>
  <c r="C67" i="19"/>
  <c r="B67" i="19"/>
  <c r="C66" i="19"/>
  <c r="B66" i="19"/>
  <c r="C65" i="19"/>
  <c r="B65" i="19"/>
  <c r="C64" i="19"/>
  <c r="B64" i="19"/>
  <c r="C63" i="19"/>
  <c r="B63" i="19"/>
  <c r="C62" i="19"/>
  <c r="B62" i="19"/>
  <c r="C61" i="19"/>
  <c r="B61" i="19"/>
  <c r="C60" i="19"/>
  <c r="B60" i="19"/>
  <c r="C59" i="19"/>
  <c r="B59" i="19"/>
  <c r="C58" i="19"/>
  <c r="B58" i="19"/>
  <c r="C57" i="19"/>
  <c r="B57" i="19"/>
  <c r="C56" i="19"/>
  <c r="B56" i="19"/>
  <c r="C55" i="19"/>
  <c r="B55" i="19"/>
  <c r="C54" i="19"/>
  <c r="B54" i="19"/>
  <c r="C53" i="19"/>
  <c r="B53" i="19"/>
  <c r="C52" i="19"/>
  <c r="B52" i="19"/>
  <c r="C51" i="19"/>
  <c r="B51" i="19"/>
  <c r="C50" i="19"/>
  <c r="B50" i="19"/>
  <c r="C49" i="19"/>
  <c r="B49" i="19"/>
  <c r="C48" i="19"/>
  <c r="B48" i="19"/>
  <c r="C47" i="19"/>
  <c r="B47" i="19"/>
  <c r="C46" i="19"/>
  <c r="B46" i="19"/>
  <c r="C45" i="19"/>
  <c r="B45" i="19"/>
  <c r="C44" i="19"/>
  <c r="B44" i="19"/>
  <c r="C43" i="19"/>
  <c r="B43" i="19"/>
  <c r="C42" i="19"/>
  <c r="B42" i="19"/>
  <c r="C41" i="19"/>
  <c r="B41" i="19"/>
  <c r="C40" i="19"/>
  <c r="B40" i="19"/>
  <c r="C39" i="19"/>
  <c r="B39" i="19"/>
  <c r="C38" i="19"/>
  <c r="B38" i="19"/>
  <c r="C37" i="19"/>
  <c r="B37" i="19"/>
  <c r="C36" i="19"/>
  <c r="B36" i="19"/>
  <c r="C35" i="19"/>
  <c r="B35" i="19"/>
  <c r="C34" i="19"/>
  <c r="B34" i="19"/>
  <c r="C33" i="19"/>
  <c r="B33" i="19"/>
  <c r="C32" i="19"/>
  <c r="B32" i="19"/>
  <c r="C31" i="19"/>
  <c r="B31" i="19"/>
  <c r="C30" i="19"/>
  <c r="B30" i="19"/>
  <c r="C29" i="19"/>
  <c r="B29" i="19"/>
  <c r="C28" i="19"/>
  <c r="B28" i="19"/>
  <c r="C27" i="19"/>
  <c r="B27" i="19"/>
  <c r="C26" i="19"/>
  <c r="B26" i="19"/>
  <c r="C25" i="19"/>
  <c r="B25" i="19"/>
  <c r="C24" i="19"/>
  <c r="B24" i="19"/>
  <c r="C23" i="19"/>
  <c r="B23" i="19"/>
  <c r="C22" i="19"/>
  <c r="B22" i="19"/>
  <c r="C21" i="19"/>
  <c r="B21" i="19"/>
  <c r="C20" i="19"/>
  <c r="B20" i="19"/>
  <c r="C19" i="19"/>
  <c r="B19" i="19"/>
  <c r="C18" i="19"/>
  <c r="B18" i="19"/>
  <c r="C17" i="19"/>
  <c r="B17" i="19"/>
  <c r="C16" i="19"/>
  <c r="B16" i="19"/>
  <c r="C15" i="19"/>
  <c r="B15" i="19"/>
  <c r="C14" i="19"/>
  <c r="B14" i="19"/>
  <c r="C13" i="19"/>
  <c r="B13" i="19"/>
  <c r="C12" i="19"/>
  <c r="B12" i="19"/>
  <c r="C11" i="19"/>
  <c r="B11" i="19"/>
  <c r="C10" i="19"/>
  <c r="B10" i="19"/>
  <c r="B9" i="19"/>
  <c r="G4" i="19"/>
  <c r="C4" i="19"/>
  <c r="C2" i="19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H28" i="13" s="1"/>
  <c r="D29" i="13"/>
  <c r="D30" i="13"/>
  <c r="H30" i="13" s="1"/>
  <c r="D31" i="13"/>
  <c r="D32" i="13"/>
  <c r="H32" i="13" s="1"/>
  <c r="D33" i="13"/>
  <c r="D34" i="13"/>
  <c r="H34" i="13" s="1"/>
  <c r="D35" i="13"/>
  <c r="D36" i="13"/>
  <c r="H36" i="13" s="1"/>
  <c r="D37" i="13"/>
  <c r="D38" i="13"/>
  <c r="H38" i="13" s="1"/>
  <c r="D39" i="13"/>
  <c r="D40" i="13"/>
  <c r="H40" i="13" s="1"/>
  <c r="D41" i="13"/>
  <c r="D42" i="13"/>
  <c r="H42" i="13" s="1"/>
  <c r="D43" i="13"/>
  <c r="D44" i="13"/>
  <c r="H44" i="13" s="1"/>
  <c r="D45" i="13"/>
  <c r="D46" i="13"/>
  <c r="H46" i="13" s="1"/>
  <c r="D47" i="13"/>
  <c r="D48" i="13"/>
  <c r="H48" i="13" s="1"/>
  <c r="D49" i="13"/>
  <c r="D50" i="13"/>
  <c r="H50" i="13" s="1"/>
  <c r="D51" i="13"/>
  <c r="D52" i="13"/>
  <c r="H52" i="13" s="1"/>
  <c r="D53" i="13"/>
  <c r="D54" i="13"/>
  <c r="H54" i="13" s="1"/>
  <c r="D55" i="13"/>
  <c r="D56" i="13"/>
  <c r="H56" i="13" s="1"/>
  <c r="D57" i="13"/>
  <c r="D58" i="13"/>
  <c r="H58" i="13" s="1"/>
  <c r="D59" i="13"/>
  <c r="D60" i="13"/>
  <c r="H60" i="13" s="1"/>
  <c r="D61" i="13"/>
  <c r="D62" i="13"/>
  <c r="H62" i="13" s="1"/>
  <c r="D63" i="13"/>
  <c r="D64" i="13"/>
  <c r="H64" i="13" s="1"/>
  <c r="D65" i="13"/>
  <c r="D66" i="13"/>
  <c r="H66" i="13" s="1"/>
  <c r="D67" i="13"/>
  <c r="D68" i="13"/>
  <c r="H68" i="13" s="1"/>
  <c r="D69" i="13"/>
  <c r="D70" i="13"/>
  <c r="H70" i="13" s="1"/>
  <c r="D71" i="13"/>
  <c r="D72" i="13"/>
  <c r="H72" i="13" s="1"/>
  <c r="D73" i="13"/>
  <c r="D74" i="13"/>
  <c r="H74" i="13" s="1"/>
  <c r="D75" i="13"/>
  <c r="D76" i="13"/>
  <c r="H76" i="13" s="1"/>
  <c r="D77" i="13"/>
  <c r="D78" i="13"/>
  <c r="H78" i="13" s="1"/>
  <c r="D79" i="13"/>
  <c r="D80" i="13"/>
  <c r="H80" i="13" s="1"/>
  <c r="D81" i="13"/>
  <c r="D82" i="13"/>
  <c r="H82" i="13" s="1"/>
  <c r="D83" i="13"/>
  <c r="D84" i="13"/>
  <c r="H84" i="13" s="1"/>
  <c r="D85" i="13"/>
  <c r="D86" i="13"/>
  <c r="H86" i="13" s="1"/>
  <c r="D87" i="13"/>
  <c r="D88" i="13"/>
  <c r="H88" i="13" s="1"/>
  <c r="D89" i="13"/>
  <c r="D90" i="13"/>
  <c r="H90" i="13" s="1"/>
  <c r="D91" i="13"/>
  <c r="D92" i="13"/>
  <c r="H92" i="13" s="1"/>
  <c r="D93" i="13"/>
  <c r="D94" i="13"/>
  <c r="H94" i="13" s="1"/>
  <c r="D95" i="13"/>
  <c r="D96" i="13"/>
  <c r="H96" i="13" s="1"/>
  <c r="D97" i="13"/>
  <c r="D98" i="13"/>
  <c r="H98" i="13" s="1"/>
  <c r="D99" i="13"/>
  <c r="D100" i="13"/>
  <c r="H100" i="13" s="1"/>
  <c r="D101" i="13"/>
  <c r="D102" i="13"/>
  <c r="H102" i="13" s="1"/>
  <c r="D103" i="13"/>
  <c r="D104" i="13"/>
  <c r="H104" i="13" s="1"/>
  <c r="D105" i="13"/>
  <c r="D106" i="13"/>
  <c r="H106" i="13" s="1"/>
  <c r="D107" i="13"/>
  <c r="D108" i="13"/>
  <c r="H108" i="13" s="1"/>
  <c r="D109" i="13"/>
  <c r="D110" i="13"/>
  <c r="H110" i="13" s="1"/>
  <c r="D111" i="13"/>
  <c r="D112" i="13"/>
  <c r="H112" i="13" s="1"/>
  <c r="D113" i="13"/>
  <c r="D114" i="13"/>
  <c r="H114" i="13" s="1"/>
  <c r="D115" i="13"/>
  <c r="D116" i="13"/>
  <c r="H116" i="13" s="1"/>
  <c r="D117" i="13"/>
  <c r="D118" i="13"/>
  <c r="H118" i="13" s="1"/>
  <c r="D119" i="13"/>
  <c r="D120" i="13"/>
  <c r="H120" i="13" s="1"/>
  <c r="D121" i="13"/>
  <c r="H121" i="13" s="1"/>
  <c r="D122" i="13"/>
  <c r="H122" i="13" s="1"/>
  <c r="D123" i="13"/>
  <c r="D124" i="13"/>
  <c r="H124" i="13" s="1"/>
  <c r="D125" i="13"/>
  <c r="H125" i="13" s="1"/>
  <c r="D126" i="13"/>
  <c r="H126" i="13" s="1"/>
  <c r="D127" i="13"/>
  <c r="D128" i="13"/>
  <c r="H128" i="13" s="1"/>
  <c r="D129" i="13"/>
  <c r="H129" i="13" s="1"/>
  <c r="D130" i="13"/>
  <c r="H130" i="13" s="1"/>
  <c r="D131" i="13"/>
  <c r="D132" i="13"/>
  <c r="H132" i="13" s="1"/>
  <c r="D133" i="13"/>
  <c r="H133" i="13" s="1"/>
  <c r="D134" i="13"/>
  <c r="H134" i="13" s="1"/>
  <c r="D135" i="13"/>
  <c r="D136" i="13"/>
  <c r="H136" i="13" s="1"/>
  <c r="D137" i="13"/>
  <c r="H137" i="13" s="1"/>
  <c r="D138" i="13"/>
  <c r="H138" i="13" s="1"/>
  <c r="D139" i="13"/>
  <c r="D140" i="13"/>
  <c r="H140" i="13" s="1"/>
  <c r="D141" i="13"/>
  <c r="H141" i="13" s="1"/>
  <c r="D142" i="13"/>
  <c r="H142" i="13" s="1"/>
  <c r="D143" i="13"/>
  <c r="D144" i="13"/>
  <c r="H144" i="13" s="1"/>
  <c r="D145" i="13"/>
  <c r="H145" i="13" s="1"/>
  <c r="D146" i="13"/>
  <c r="H146" i="13" s="1"/>
  <c r="D147" i="13"/>
  <c r="D148" i="13"/>
  <c r="H148" i="13" s="1"/>
  <c r="D149" i="13"/>
  <c r="H149" i="13" s="1"/>
  <c r="D150" i="13"/>
  <c r="H150" i="13" s="1"/>
  <c r="D151" i="13"/>
  <c r="D152" i="13"/>
  <c r="H152" i="13" s="1"/>
  <c r="D153" i="13"/>
  <c r="H153" i="13" s="1"/>
  <c r="D154" i="13"/>
  <c r="H154" i="13" s="1"/>
  <c r="D155" i="13"/>
  <c r="D156" i="13"/>
  <c r="H156" i="13" s="1"/>
  <c r="D157" i="13"/>
  <c r="H157" i="13" s="1"/>
  <c r="D158" i="13"/>
  <c r="H158" i="13" s="1"/>
  <c r="D159" i="13"/>
  <c r="D160" i="13"/>
  <c r="H160" i="13" s="1"/>
  <c r="D161" i="13"/>
  <c r="H161" i="13" s="1"/>
  <c r="D162" i="13"/>
  <c r="H162" i="13" s="1"/>
  <c r="D163" i="13"/>
  <c r="D164" i="13"/>
  <c r="H164" i="13" s="1"/>
  <c r="D165" i="13"/>
  <c r="H165" i="13" s="1"/>
  <c r="D166" i="13"/>
  <c r="H166" i="13" s="1"/>
  <c r="D167" i="13"/>
  <c r="D168" i="13"/>
  <c r="H168" i="13" s="1"/>
  <c r="D169" i="13"/>
  <c r="H169" i="13" s="1"/>
  <c r="D170" i="13"/>
  <c r="H170" i="13" s="1"/>
  <c r="D171" i="13"/>
  <c r="D172" i="13"/>
  <c r="H172" i="13" s="1"/>
  <c r="D173" i="13"/>
  <c r="H173" i="13" s="1"/>
  <c r="D174" i="13"/>
  <c r="H174" i="13" s="1"/>
  <c r="D175" i="13"/>
  <c r="D176" i="13"/>
  <c r="H176" i="13" s="1"/>
  <c r="D177" i="13"/>
  <c r="H177" i="13" s="1"/>
  <c r="D178" i="13"/>
  <c r="H178" i="13" s="1"/>
  <c r="D179" i="13"/>
  <c r="D180" i="13"/>
  <c r="H180" i="13" s="1"/>
  <c r="D181" i="13"/>
  <c r="H181" i="13" s="1"/>
  <c r="D182" i="13"/>
  <c r="H182" i="13" s="1"/>
  <c r="D183" i="13"/>
  <c r="D184" i="13"/>
  <c r="H184" i="13" s="1"/>
  <c r="D185" i="13"/>
  <c r="H185" i="13" s="1"/>
  <c r="D186" i="13"/>
  <c r="H186" i="13" s="1"/>
  <c r="D187" i="13"/>
  <c r="D188" i="13"/>
  <c r="H188" i="13" s="1"/>
  <c r="D189" i="13"/>
  <c r="H189" i="13" s="1"/>
  <c r="D190" i="13"/>
  <c r="H190" i="13" s="1"/>
  <c r="D191" i="13"/>
  <c r="D192" i="13"/>
  <c r="H192" i="13" s="1"/>
  <c r="D193" i="13"/>
  <c r="H193" i="13" s="1"/>
  <c r="D194" i="13"/>
  <c r="H194" i="13" s="1"/>
  <c r="D195" i="13"/>
  <c r="D196" i="13"/>
  <c r="H196" i="13" s="1"/>
  <c r="D197" i="13"/>
  <c r="H197" i="13" s="1"/>
  <c r="D198" i="13"/>
  <c r="H198" i="13" s="1"/>
  <c r="D199" i="13"/>
  <c r="D200" i="13"/>
  <c r="H200" i="13" s="1"/>
  <c r="D201" i="13"/>
  <c r="H201" i="13" s="1"/>
  <c r="D202" i="13"/>
  <c r="H202" i="13" s="1"/>
  <c r="D203" i="13"/>
  <c r="D204" i="13"/>
  <c r="H204" i="13" s="1"/>
  <c r="D205" i="13"/>
  <c r="H205" i="13" s="1"/>
  <c r="D206" i="13"/>
  <c r="H206" i="13" s="1"/>
  <c r="D207" i="13"/>
  <c r="D208" i="13"/>
  <c r="H208" i="13" s="1"/>
  <c r="D209" i="13"/>
  <c r="H209" i="13" s="1"/>
  <c r="D210" i="13"/>
  <c r="H210" i="13" s="1"/>
  <c r="D211" i="13"/>
  <c r="D212" i="13"/>
  <c r="H212" i="13" s="1"/>
  <c r="D213" i="13"/>
  <c r="H213" i="13" s="1"/>
  <c r="D214" i="13"/>
  <c r="H214" i="13" s="1"/>
  <c r="D215" i="13"/>
  <c r="D216" i="13"/>
  <c r="H216" i="13" s="1"/>
  <c r="D217" i="13"/>
  <c r="H217" i="13" s="1"/>
  <c r="D218" i="13"/>
  <c r="H218" i="13" s="1"/>
  <c r="D219" i="13"/>
  <c r="D220" i="13"/>
  <c r="H220" i="13" s="1"/>
  <c r="D221" i="13"/>
  <c r="H221" i="13" s="1"/>
  <c r="D222" i="13"/>
  <c r="H222" i="13" s="1"/>
  <c r="D223" i="13"/>
  <c r="D224" i="13"/>
  <c r="H224" i="13" s="1"/>
  <c r="D225" i="13"/>
  <c r="H225" i="13" s="1"/>
  <c r="D226" i="13"/>
  <c r="H226" i="13" s="1"/>
  <c r="D227" i="13"/>
  <c r="D228" i="13"/>
  <c r="H228" i="13" s="1"/>
  <c r="D229" i="13"/>
  <c r="H229" i="13" s="1"/>
  <c r="D230" i="13"/>
  <c r="H230" i="13" s="1"/>
  <c r="D231" i="13"/>
  <c r="D232" i="13"/>
  <c r="H232" i="13" s="1"/>
  <c r="D233" i="13"/>
  <c r="H233" i="13" s="1"/>
  <c r="D234" i="13"/>
  <c r="H234" i="13" s="1"/>
  <c r="D235" i="13"/>
  <c r="D236" i="13"/>
  <c r="H236" i="13" s="1"/>
  <c r="D237" i="13"/>
  <c r="H237" i="13" s="1"/>
  <c r="D238" i="13"/>
  <c r="H238" i="13" s="1"/>
  <c r="D239" i="13"/>
  <c r="D240" i="13"/>
  <c r="H240" i="13" s="1"/>
  <c r="D241" i="13"/>
  <c r="H241" i="13" s="1"/>
  <c r="D242" i="13"/>
  <c r="H242" i="13" s="1"/>
  <c r="D243" i="13"/>
  <c r="D244" i="13"/>
  <c r="H244" i="13" s="1"/>
  <c r="D245" i="13"/>
  <c r="H245" i="13" s="1"/>
  <c r="D246" i="13"/>
  <c r="H246" i="13" s="1"/>
  <c r="D247" i="13"/>
  <c r="D248" i="13"/>
  <c r="H248" i="13" s="1"/>
  <c r="D249" i="13"/>
  <c r="H249" i="13" s="1"/>
  <c r="D250" i="13"/>
  <c r="H250" i="13" s="1"/>
  <c r="D251" i="13"/>
  <c r="D252" i="13"/>
  <c r="H252" i="13" s="1"/>
  <c r="D253" i="13"/>
  <c r="H253" i="13" s="1"/>
  <c r="D254" i="13"/>
  <c r="H254" i="13" s="1"/>
  <c r="D255" i="13"/>
  <c r="D256" i="13"/>
  <c r="H256" i="13" s="1"/>
  <c r="D257" i="13"/>
  <c r="H257" i="13" s="1"/>
  <c r="D258" i="13"/>
  <c r="H258" i="13" s="1"/>
  <c r="D259" i="13"/>
  <c r="D260" i="13"/>
  <c r="H260" i="13" s="1"/>
  <c r="D261" i="13"/>
  <c r="H261" i="13" s="1"/>
  <c r="D262" i="13"/>
  <c r="H262" i="13" s="1"/>
  <c r="D263" i="13"/>
  <c r="H263" i="13" s="1"/>
  <c r="D264" i="13"/>
  <c r="H264" i="13" s="1"/>
  <c r="D265" i="13"/>
  <c r="H265" i="13" s="1"/>
  <c r="D266" i="13"/>
  <c r="H266" i="13" s="1"/>
  <c r="D267" i="13"/>
  <c r="H267" i="13" s="1"/>
  <c r="D268" i="13"/>
  <c r="H268" i="13" s="1"/>
  <c r="D269" i="13"/>
  <c r="H269" i="13" s="1"/>
  <c r="D270" i="13"/>
  <c r="H270" i="13" s="1"/>
  <c r="D271" i="13"/>
  <c r="H271" i="13" s="1"/>
  <c r="D272" i="13"/>
  <c r="H272" i="13" s="1"/>
  <c r="D273" i="13"/>
  <c r="H273" i="13" s="1"/>
  <c r="D274" i="13"/>
  <c r="H274" i="13" s="1"/>
  <c r="D275" i="13"/>
  <c r="H275" i="13" s="1"/>
  <c r="D276" i="13"/>
  <c r="H276" i="13" s="1"/>
  <c r="D277" i="13"/>
  <c r="H277" i="13" s="1"/>
  <c r="D278" i="13"/>
  <c r="H278" i="13" s="1"/>
  <c r="D279" i="13"/>
  <c r="H279" i="13" s="1"/>
  <c r="D280" i="13"/>
  <c r="H280" i="13" s="1"/>
  <c r="D281" i="13"/>
  <c r="H281" i="13" s="1"/>
  <c r="D282" i="13"/>
  <c r="H282" i="13" s="1"/>
  <c r="D283" i="13"/>
  <c r="H283" i="13" s="1"/>
  <c r="D284" i="13"/>
  <c r="H284" i="13" s="1"/>
  <c r="D285" i="13"/>
  <c r="H285" i="13" s="1"/>
  <c r="D286" i="13"/>
  <c r="H286" i="13" s="1"/>
  <c r="D287" i="13"/>
  <c r="H287" i="13" s="1"/>
  <c r="D288" i="13"/>
  <c r="H288" i="13" s="1"/>
  <c r="D289" i="13"/>
  <c r="H289" i="13" s="1"/>
  <c r="D290" i="13"/>
  <c r="H290" i="13" s="1"/>
  <c r="D291" i="13"/>
  <c r="H291" i="13" s="1"/>
  <c r="D292" i="13"/>
  <c r="H292" i="13" s="1"/>
  <c r="D293" i="13"/>
  <c r="H293" i="13" s="1"/>
  <c r="D294" i="13"/>
  <c r="H294" i="13" s="1"/>
  <c r="D295" i="13"/>
  <c r="H295" i="13" s="1"/>
  <c r="D296" i="13"/>
  <c r="H296" i="13" s="1"/>
  <c r="D297" i="13"/>
  <c r="D298" i="13"/>
  <c r="H298" i="13" s="1"/>
  <c r="D299" i="13"/>
  <c r="H299" i="13" s="1"/>
  <c r="D300" i="13"/>
  <c r="H300" i="13" s="1"/>
  <c r="D301" i="13"/>
  <c r="D302" i="13"/>
  <c r="H302" i="13" s="1"/>
  <c r="D303" i="13"/>
  <c r="H303" i="13" s="1"/>
  <c r="D304" i="13"/>
  <c r="H304" i="13" s="1"/>
  <c r="D305" i="13"/>
  <c r="D306" i="13"/>
  <c r="H306" i="13" s="1"/>
  <c r="D307" i="13"/>
  <c r="H307" i="13" s="1"/>
  <c r="D308" i="13"/>
  <c r="H308" i="13" s="1"/>
  <c r="D309" i="13"/>
  <c r="D310" i="13"/>
  <c r="H310" i="13" s="1"/>
  <c r="D311" i="13"/>
  <c r="H311" i="13" s="1"/>
  <c r="D312" i="13"/>
  <c r="H312" i="13" s="1"/>
  <c r="D313" i="13"/>
  <c r="D314" i="13"/>
  <c r="H314" i="13" s="1"/>
  <c r="D315" i="13"/>
  <c r="H315" i="13" s="1"/>
  <c r="D316" i="13"/>
  <c r="H316" i="13" s="1"/>
  <c r="D317" i="13"/>
  <c r="D318" i="13"/>
  <c r="H318" i="13" s="1"/>
  <c r="D319" i="13"/>
  <c r="H319" i="13" s="1"/>
  <c r="D320" i="13"/>
  <c r="H320" i="13" s="1"/>
  <c r="D321" i="13"/>
  <c r="D322" i="13"/>
  <c r="H322" i="13" s="1"/>
  <c r="D323" i="13"/>
  <c r="H323" i="13" s="1"/>
  <c r="D324" i="13"/>
  <c r="H324" i="13" s="1"/>
  <c r="D325" i="13"/>
  <c r="D326" i="13"/>
  <c r="H326" i="13" s="1"/>
  <c r="D327" i="13"/>
  <c r="H327" i="13" s="1"/>
  <c r="D328" i="13"/>
  <c r="H328" i="13" s="1"/>
  <c r="D329" i="13"/>
  <c r="D330" i="13"/>
  <c r="H330" i="13" s="1"/>
  <c r="D331" i="13"/>
  <c r="H331" i="13" s="1"/>
  <c r="D332" i="13"/>
  <c r="H332" i="13" s="1"/>
  <c r="D333" i="13"/>
  <c r="D334" i="13"/>
  <c r="H334" i="13" s="1"/>
  <c r="D335" i="13"/>
  <c r="H335" i="13" s="1"/>
  <c r="D336" i="13"/>
  <c r="H336" i="13" s="1"/>
  <c r="D337" i="13"/>
  <c r="D338" i="13"/>
  <c r="H338" i="13" s="1"/>
  <c r="D339" i="13"/>
  <c r="H339" i="13" s="1"/>
  <c r="D340" i="13"/>
  <c r="H340" i="13" s="1"/>
  <c r="D341" i="13"/>
  <c r="D342" i="13"/>
  <c r="H342" i="13" s="1"/>
  <c r="D343" i="13"/>
  <c r="H343" i="13" s="1"/>
  <c r="D344" i="13"/>
  <c r="H344" i="13" s="1"/>
  <c r="D345" i="13"/>
  <c r="D346" i="13"/>
  <c r="H346" i="13" s="1"/>
  <c r="D347" i="13"/>
  <c r="H347" i="13" s="1"/>
  <c r="D348" i="13"/>
  <c r="H348" i="13" s="1"/>
  <c r="D349" i="13"/>
  <c r="D350" i="13"/>
  <c r="H350" i="13" s="1"/>
  <c r="D351" i="13"/>
  <c r="H351" i="13" s="1"/>
  <c r="D352" i="13"/>
  <c r="H352" i="13" s="1"/>
  <c r="D353" i="13"/>
  <c r="D354" i="13"/>
  <c r="H354" i="13" s="1"/>
  <c r="D355" i="13"/>
  <c r="H355" i="13" s="1"/>
  <c r="D356" i="13"/>
  <c r="H356" i="13" s="1"/>
  <c r="D357" i="13"/>
  <c r="H357" i="13" s="1"/>
  <c r="D358" i="13"/>
  <c r="H358" i="13" s="1"/>
  <c r="D359" i="13"/>
  <c r="H359" i="13" s="1"/>
  <c r="D360" i="13"/>
  <c r="H360" i="13" s="1"/>
  <c r="D361" i="13"/>
  <c r="H361" i="13" s="1"/>
  <c r="D362" i="13"/>
  <c r="H362" i="13" s="1"/>
  <c r="D363" i="13"/>
  <c r="H363" i="13" s="1"/>
  <c r="D364" i="13"/>
  <c r="H364" i="13" s="1"/>
  <c r="D365" i="13"/>
  <c r="H365" i="13" s="1"/>
  <c r="D366" i="13"/>
  <c r="H366" i="13" s="1"/>
  <c r="D367" i="13"/>
  <c r="H367" i="13" s="1"/>
  <c r="D368" i="13"/>
  <c r="H368" i="13" s="1"/>
  <c r="D369" i="13"/>
  <c r="H369" i="13" s="1"/>
  <c r="D370" i="13"/>
  <c r="H370" i="13" s="1"/>
  <c r="D371" i="13"/>
  <c r="H371" i="13" s="1"/>
  <c r="D372" i="13"/>
  <c r="H372" i="13" s="1"/>
  <c r="D373" i="13"/>
  <c r="H373" i="13" s="1"/>
  <c r="D374" i="13"/>
  <c r="H374" i="13" s="1"/>
  <c r="D375" i="13"/>
  <c r="H375" i="13" s="1"/>
  <c r="D376" i="13"/>
  <c r="H376" i="13" s="1"/>
  <c r="D377" i="13"/>
  <c r="H377" i="13" s="1"/>
  <c r="D378" i="13"/>
  <c r="H378" i="13" s="1"/>
  <c r="D379" i="13"/>
  <c r="H379" i="13" s="1"/>
  <c r="D380" i="13"/>
  <c r="H380" i="13" s="1"/>
  <c r="D381" i="13"/>
  <c r="H381" i="13" s="1"/>
  <c r="D382" i="13"/>
  <c r="H382" i="13" s="1"/>
  <c r="D383" i="13"/>
  <c r="H383" i="13" s="1"/>
  <c r="D384" i="13"/>
  <c r="H384" i="13" s="1"/>
  <c r="D385" i="13"/>
  <c r="H385" i="13" s="1"/>
  <c r="D386" i="13"/>
  <c r="H386" i="13" s="1"/>
  <c r="D387" i="13"/>
  <c r="H387" i="13" s="1"/>
  <c r="D388" i="13"/>
  <c r="H388" i="13" s="1"/>
  <c r="D389" i="13"/>
  <c r="H389" i="13" s="1"/>
  <c r="D390" i="13"/>
  <c r="H390" i="13" s="1"/>
  <c r="D391" i="13"/>
  <c r="H391" i="13" s="1"/>
  <c r="D392" i="13"/>
  <c r="H392" i="13" s="1"/>
  <c r="D393" i="13"/>
  <c r="H393" i="13" s="1"/>
  <c r="D394" i="13"/>
  <c r="H394" i="13" s="1"/>
  <c r="D395" i="13"/>
  <c r="H395" i="13" s="1"/>
  <c r="D396" i="13"/>
  <c r="H396" i="13" s="1"/>
  <c r="D397" i="13"/>
  <c r="H397" i="13" s="1"/>
  <c r="D398" i="13"/>
  <c r="H398" i="13" s="1"/>
  <c r="D399" i="13"/>
  <c r="H399" i="13" s="1"/>
  <c r="D400" i="13"/>
  <c r="H400" i="13" s="1"/>
  <c r="D401" i="13"/>
  <c r="H401" i="13" s="1"/>
  <c r="D402" i="13"/>
  <c r="H402" i="13" s="1"/>
  <c r="D403" i="13"/>
  <c r="H403" i="13" s="1"/>
  <c r="D404" i="13"/>
  <c r="H404" i="13" s="1"/>
  <c r="D405" i="13"/>
  <c r="H405" i="13" s="1"/>
  <c r="D406" i="13"/>
  <c r="H406" i="13" s="1"/>
  <c r="D407" i="13"/>
  <c r="H407" i="13" s="1"/>
  <c r="D408" i="13"/>
  <c r="H408" i="13" s="1"/>
  <c r="D409" i="13"/>
  <c r="H409" i="13" s="1"/>
  <c r="D410" i="13"/>
  <c r="H410" i="13" s="1"/>
  <c r="D411" i="13"/>
  <c r="H411" i="13" s="1"/>
  <c r="D412" i="13"/>
  <c r="H412" i="13" s="1"/>
  <c r="D413" i="13"/>
  <c r="H413" i="13" s="1"/>
  <c r="D414" i="13"/>
  <c r="H414" i="13" s="1"/>
  <c r="D415" i="13"/>
  <c r="H415" i="13" s="1"/>
  <c r="D416" i="13"/>
  <c r="H416" i="13" s="1"/>
  <c r="D417" i="13"/>
  <c r="H417" i="13" s="1"/>
  <c r="D418" i="13"/>
  <c r="H418" i="13" s="1"/>
  <c r="D419" i="13"/>
  <c r="H419" i="13" s="1"/>
  <c r="D420" i="13"/>
  <c r="H420" i="13" s="1"/>
  <c r="D421" i="13"/>
  <c r="H421" i="13" s="1"/>
  <c r="D422" i="13"/>
  <c r="H422" i="13" s="1"/>
  <c r="D423" i="13"/>
  <c r="H423" i="13" s="1"/>
  <c r="D424" i="13"/>
  <c r="H424" i="13" s="1"/>
  <c r="D425" i="13"/>
  <c r="H425" i="13" s="1"/>
  <c r="D426" i="13"/>
  <c r="H426" i="13" s="1"/>
  <c r="D427" i="13"/>
  <c r="H427" i="13" s="1"/>
  <c r="D428" i="13"/>
  <c r="H428" i="13" s="1"/>
  <c r="D429" i="13"/>
  <c r="H429" i="13" s="1"/>
  <c r="D430" i="13"/>
  <c r="H430" i="13" s="1"/>
  <c r="D431" i="13"/>
  <c r="H431" i="13" s="1"/>
  <c r="D432" i="13"/>
  <c r="H432" i="13" s="1"/>
  <c r="D433" i="13"/>
  <c r="H433" i="13" s="1"/>
  <c r="D434" i="13"/>
  <c r="H434" i="13" s="1"/>
  <c r="D435" i="13"/>
  <c r="H435" i="13" s="1"/>
  <c r="D436" i="13"/>
  <c r="H436" i="13" s="1"/>
  <c r="D437" i="13"/>
  <c r="H437" i="13" s="1"/>
  <c r="D438" i="13"/>
  <c r="H438" i="13" s="1"/>
  <c r="D439" i="13"/>
  <c r="H439" i="13" s="1"/>
  <c r="D440" i="13"/>
  <c r="H440" i="13" s="1"/>
  <c r="D441" i="13"/>
  <c r="H441" i="13" s="1"/>
  <c r="D442" i="13"/>
  <c r="H442" i="13" s="1"/>
  <c r="D443" i="13"/>
  <c r="H443" i="13" s="1"/>
  <c r="D444" i="13"/>
  <c r="H444" i="13" s="1"/>
  <c r="D445" i="13"/>
  <c r="H445" i="13" s="1"/>
  <c r="D446" i="13"/>
  <c r="H446" i="13" s="1"/>
  <c r="D447" i="13"/>
  <c r="H447" i="13" s="1"/>
  <c r="D448" i="13"/>
  <c r="H448" i="13" s="1"/>
  <c r="D449" i="13"/>
  <c r="H449" i="13" s="1"/>
  <c r="D450" i="13"/>
  <c r="H450" i="13" s="1"/>
  <c r="D451" i="13"/>
  <c r="H451" i="13" s="1"/>
  <c r="D452" i="13"/>
  <c r="H452" i="13" s="1"/>
  <c r="D453" i="13"/>
  <c r="H453" i="13" s="1"/>
  <c r="D454" i="13"/>
  <c r="H454" i="13" s="1"/>
  <c r="D455" i="13"/>
  <c r="H455" i="13" s="1"/>
  <c r="D456" i="13"/>
  <c r="H456" i="13" s="1"/>
  <c r="D457" i="13"/>
  <c r="H457" i="13" s="1"/>
  <c r="D458" i="13"/>
  <c r="H458" i="13" s="1"/>
  <c r="D459" i="13"/>
  <c r="H459" i="13" s="1"/>
  <c r="D460" i="13"/>
  <c r="H460" i="13" s="1"/>
  <c r="D461" i="13"/>
  <c r="H461" i="13" s="1"/>
  <c r="D462" i="13"/>
  <c r="H462" i="13" s="1"/>
  <c r="D463" i="13"/>
  <c r="H463" i="13" s="1"/>
  <c r="D464" i="13"/>
  <c r="H464" i="13" s="1"/>
  <c r="D465" i="13"/>
  <c r="H465" i="13" s="1"/>
  <c r="D466" i="13"/>
  <c r="H466" i="13" s="1"/>
  <c r="D467" i="13"/>
  <c r="H467" i="13" s="1"/>
  <c r="D468" i="13"/>
  <c r="H468" i="13" s="1"/>
  <c r="D469" i="13"/>
  <c r="H469" i="13" s="1"/>
  <c r="D470" i="13"/>
  <c r="H470" i="13" s="1"/>
  <c r="D471" i="13"/>
  <c r="H471" i="13" s="1"/>
  <c r="D472" i="13"/>
  <c r="H472" i="13" s="1"/>
  <c r="D473" i="13"/>
  <c r="H473" i="13" s="1"/>
  <c r="D474" i="13"/>
  <c r="H474" i="13" s="1"/>
  <c r="D475" i="13"/>
  <c r="H475" i="13" s="1"/>
  <c r="D476" i="13"/>
  <c r="H476" i="13" s="1"/>
  <c r="D477" i="13"/>
  <c r="H477" i="13" s="1"/>
  <c r="D478" i="13"/>
  <c r="H478" i="13" s="1"/>
  <c r="D479" i="13"/>
  <c r="H479" i="13" s="1"/>
  <c r="D480" i="13"/>
  <c r="H480" i="13" s="1"/>
  <c r="D481" i="13"/>
  <c r="H481" i="13" s="1"/>
  <c r="D482" i="13"/>
  <c r="H482" i="13" s="1"/>
  <c r="D483" i="13"/>
  <c r="H483" i="13" s="1"/>
  <c r="D484" i="13"/>
  <c r="H484" i="13" s="1"/>
  <c r="D485" i="13"/>
  <c r="H485" i="13" s="1"/>
  <c r="D486" i="13"/>
  <c r="H486" i="13" s="1"/>
  <c r="D487" i="13"/>
  <c r="H487" i="13" s="1"/>
  <c r="D488" i="13"/>
  <c r="H488" i="13" s="1"/>
  <c r="D489" i="13"/>
  <c r="H489" i="13" s="1"/>
  <c r="D490" i="13"/>
  <c r="H490" i="13" s="1"/>
  <c r="D491" i="13"/>
  <c r="H491" i="13" s="1"/>
  <c r="D492" i="13"/>
  <c r="H492" i="13" s="1"/>
  <c r="D493" i="13"/>
  <c r="H493" i="13" s="1"/>
  <c r="D494" i="13"/>
  <c r="H494" i="13" s="1"/>
  <c r="D495" i="13"/>
  <c r="H495" i="13" s="1"/>
  <c r="D496" i="13"/>
  <c r="H496" i="13" s="1"/>
  <c r="D497" i="13"/>
  <c r="H497" i="13" s="1"/>
  <c r="D498" i="13"/>
  <c r="H498" i="13" s="1"/>
  <c r="D499" i="13"/>
  <c r="H499" i="13" s="1"/>
  <c r="D500" i="13"/>
  <c r="H500" i="13" s="1"/>
  <c r="D501" i="13"/>
  <c r="H501" i="13" s="1"/>
  <c r="D502" i="13"/>
  <c r="H502" i="13" s="1"/>
  <c r="D503" i="13"/>
  <c r="H503" i="13" s="1"/>
  <c r="D504" i="13"/>
  <c r="H504" i="13" s="1"/>
  <c r="D505" i="13"/>
  <c r="H505" i="13" s="1"/>
  <c r="D506" i="13"/>
  <c r="H506" i="13" s="1"/>
  <c r="D507" i="13"/>
  <c r="H507" i="13" s="1"/>
  <c r="D508" i="13"/>
  <c r="H508" i="13" s="1"/>
  <c r="B508" i="13"/>
  <c r="B507" i="13"/>
  <c r="J507" i="13" s="1"/>
  <c r="B506" i="13"/>
  <c r="B505" i="13"/>
  <c r="B504" i="13"/>
  <c r="B503" i="13"/>
  <c r="B502" i="13"/>
  <c r="B501" i="13"/>
  <c r="B500" i="13"/>
  <c r="B499" i="13"/>
  <c r="B498" i="13"/>
  <c r="B497" i="13"/>
  <c r="B496" i="13"/>
  <c r="I496" i="13" s="1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I480" i="13" s="1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J467" i="13" s="1"/>
  <c r="B466" i="13"/>
  <c r="B465" i="13"/>
  <c r="B464" i="13"/>
  <c r="I464" i="13" s="1"/>
  <c r="B463" i="13"/>
  <c r="B462" i="13"/>
  <c r="B461" i="13"/>
  <c r="B460" i="13"/>
  <c r="B459" i="13"/>
  <c r="J459" i="13" s="1"/>
  <c r="B458" i="13"/>
  <c r="B457" i="13"/>
  <c r="B456" i="13"/>
  <c r="B455" i="13"/>
  <c r="B454" i="13"/>
  <c r="B453" i="13"/>
  <c r="B452" i="13"/>
  <c r="B451" i="13"/>
  <c r="B450" i="13"/>
  <c r="B449" i="13"/>
  <c r="B448" i="13"/>
  <c r="I448" i="13" s="1"/>
  <c r="B447" i="13"/>
  <c r="B446" i="13"/>
  <c r="B445" i="13"/>
  <c r="B444" i="13"/>
  <c r="B443" i="13"/>
  <c r="J443" i="13" s="1"/>
  <c r="B442" i="13"/>
  <c r="B441" i="13"/>
  <c r="B440" i="13"/>
  <c r="B439" i="13"/>
  <c r="B438" i="13"/>
  <c r="B437" i="13"/>
  <c r="B436" i="13"/>
  <c r="B435" i="13"/>
  <c r="J435" i="13" s="1"/>
  <c r="B434" i="13"/>
  <c r="B433" i="13"/>
  <c r="B432" i="13"/>
  <c r="I432" i="13" s="1"/>
  <c r="B431" i="13"/>
  <c r="B430" i="13"/>
  <c r="B429" i="13"/>
  <c r="B428" i="13"/>
  <c r="B427" i="13"/>
  <c r="J427" i="13" s="1"/>
  <c r="B426" i="13"/>
  <c r="B425" i="13"/>
  <c r="B424" i="13"/>
  <c r="B423" i="13"/>
  <c r="B422" i="13"/>
  <c r="B421" i="13"/>
  <c r="B420" i="13"/>
  <c r="B419" i="13"/>
  <c r="B418" i="13"/>
  <c r="B417" i="13"/>
  <c r="B416" i="13"/>
  <c r="I416" i="13" s="1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I400" i="13" s="1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I384" i="13" s="1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I368" i="13" s="1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I352" i="13" s="1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I336" i="13" s="1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I320" i="13" s="1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I304" i="13" s="1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I288" i="13" s="1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I272" i="13" s="1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I256" i="13" s="1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N4" i="13"/>
  <c r="I4" i="13"/>
  <c r="D4" i="13"/>
  <c r="D2" i="13"/>
  <c r="H10" i="20" l="1"/>
  <c r="F10" i="20"/>
  <c r="H11" i="20"/>
  <c r="F11" i="20"/>
  <c r="L10" i="13"/>
  <c r="H117" i="13"/>
  <c r="H113" i="13"/>
  <c r="H109" i="13"/>
  <c r="H105" i="13"/>
  <c r="H101" i="13"/>
  <c r="H97" i="13"/>
  <c r="H93" i="13"/>
  <c r="H89" i="13"/>
  <c r="H85" i="13"/>
  <c r="H81" i="13"/>
  <c r="H77" i="13"/>
  <c r="H73" i="13"/>
  <c r="H69" i="13"/>
  <c r="H65" i="13"/>
  <c r="H61" i="13"/>
  <c r="H57" i="13"/>
  <c r="H53" i="13"/>
  <c r="H49" i="13"/>
  <c r="H45" i="13"/>
  <c r="H41" i="13"/>
  <c r="H37" i="13"/>
  <c r="H33" i="13"/>
  <c r="H29" i="13"/>
  <c r="H353" i="13"/>
  <c r="H349" i="13"/>
  <c r="H345" i="13"/>
  <c r="H341" i="13"/>
  <c r="H337" i="13"/>
  <c r="H333" i="13"/>
  <c r="H329" i="13"/>
  <c r="H325" i="13"/>
  <c r="H321" i="13"/>
  <c r="H317" i="13"/>
  <c r="H313" i="13"/>
  <c r="H309" i="13"/>
  <c r="H305" i="13"/>
  <c r="H301" i="13"/>
  <c r="H297" i="13"/>
  <c r="H259" i="13"/>
  <c r="H255" i="13"/>
  <c r="H251" i="13"/>
  <c r="H247" i="13"/>
  <c r="H243" i="13"/>
  <c r="H239" i="13"/>
  <c r="H235" i="13"/>
  <c r="H231" i="13"/>
  <c r="H227" i="13"/>
  <c r="H223" i="13"/>
  <c r="H219" i="13"/>
  <c r="H215" i="13"/>
  <c r="H211" i="13"/>
  <c r="H207" i="13"/>
  <c r="H203" i="13"/>
  <c r="H199" i="13"/>
  <c r="H195" i="13"/>
  <c r="H191" i="13"/>
  <c r="H187" i="13"/>
  <c r="H183" i="13"/>
  <c r="H179" i="13"/>
  <c r="H175" i="13"/>
  <c r="H171" i="13"/>
  <c r="H167" i="13"/>
  <c r="H163" i="13"/>
  <c r="H159" i="13"/>
  <c r="H155" i="13"/>
  <c r="H151" i="13"/>
  <c r="H147" i="13"/>
  <c r="H143" i="13"/>
  <c r="H139" i="13"/>
  <c r="H135" i="13"/>
  <c r="H131" i="13"/>
  <c r="H127" i="13"/>
  <c r="H123" i="13"/>
  <c r="H119" i="13"/>
  <c r="H115" i="13"/>
  <c r="H111" i="13"/>
  <c r="H107" i="13"/>
  <c r="H103" i="13"/>
  <c r="H99" i="13"/>
  <c r="H95" i="13"/>
  <c r="J95" i="13" s="1"/>
  <c r="H91" i="13"/>
  <c r="J91" i="13" s="1"/>
  <c r="H87" i="13"/>
  <c r="H83" i="13"/>
  <c r="H79" i="13"/>
  <c r="H75" i="13"/>
  <c r="H71" i="13"/>
  <c r="H67" i="13"/>
  <c r="H63" i="13"/>
  <c r="H59" i="13"/>
  <c r="H55" i="13"/>
  <c r="H51" i="13"/>
  <c r="H47" i="13"/>
  <c r="H43" i="13"/>
  <c r="H39" i="13"/>
  <c r="H35" i="13"/>
  <c r="H31" i="13"/>
  <c r="H27" i="13"/>
  <c r="L22" i="13"/>
  <c r="I22" i="13"/>
  <c r="L38" i="13"/>
  <c r="I38" i="13"/>
  <c r="J38" i="13" s="1"/>
  <c r="L58" i="13"/>
  <c r="I58" i="13"/>
  <c r="J58" i="13" s="1"/>
  <c r="L70" i="13"/>
  <c r="I70" i="13"/>
  <c r="J70" i="13" s="1"/>
  <c r="L90" i="13"/>
  <c r="I90" i="13"/>
  <c r="J90" i="13" s="1"/>
  <c r="L106" i="13"/>
  <c r="I106" i="13"/>
  <c r="J106" i="13" s="1"/>
  <c r="L118" i="13"/>
  <c r="I118" i="13"/>
  <c r="J118" i="13" s="1"/>
  <c r="M134" i="13"/>
  <c r="J134" i="13"/>
  <c r="L134" i="13"/>
  <c r="K134" i="13"/>
  <c r="I134" i="13"/>
  <c r="M150" i="13"/>
  <c r="N150" i="13" s="1"/>
  <c r="J150" i="13"/>
  <c r="L150" i="13"/>
  <c r="K150" i="13"/>
  <c r="I150" i="13"/>
  <c r="M162" i="13"/>
  <c r="L162" i="13"/>
  <c r="J162" i="13"/>
  <c r="K162" i="13"/>
  <c r="I162" i="13"/>
  <c r="M170" i="13"/>
  <c r="L170" i="13"/>
  <c r="J170" i="13"/>
  <c r="K170" i="13"/>
  <c r="I170" i="13"/>
  <c r="M186" i="13"/>
  <c r="N186" i="13" s="1"/>
  <c r="L186" i="13"/>
  <c r="J186" i="13"/>
  <c r="K186" i="13"/>
  <c r="I186" i="13"/>
  <c r="M206" i="13"/>
  <c r="N206" i="13" s="1"/>
  <c r="J206" i="13"/>
  <c r="L206" i="13"/>
  <c r="K206" i="13"/>
  <c r="I206" i="13"/>
  <c r="M222" i="13"/>
  <c r="J222" i="13"/>
  <c r="L222" i="13"/>
  <c r="K222" i="13"/>
  <c r="I222" i="13"/>
  <c r="M238" i="13"/>
  <c r="J238" i="13"/>
  <c r="L238" i="13"/>
  <c r="K238" i="13"/>
  <c r="I238" i="13"/>
  <c r="M258" i="13"/>
  <c r="N258" i="13" s="1"/>
  <c r="L258" i="13"/>
  <c r="J258" i="13"/>
  <c r="K258" i="13"/>
  <c r="I258" i="13"/>
  <c r="M274" i="13"/>
  <c r="L274" i="13"/>
  <c r="J274" i="13"/>
  <c r="K274" i="13"/>
  <c r="I274" i="13"/>
  <c r="M290" i="13"/>
  <c r="L290" i="13"/>
  <c r="K290" i="13"/>
  <c r="J290" i="13"/>
  <c r="I290" i="13"/>
  <c r="M302" i="13"/>
  <c r="L302" i="13"/>
  <c r="K302" i="13"/>
  <c r="I302" i="13"/>
  <c r="J302" i="13"/>
  <c r="M314" i="13"/>
  <c r="L314" i="13"/>
  <c r="K314" i="13"/>
  <c r="J314" i="13"/>
  <c r="I314" i="13"/>
  <c r="M330" i="13"/>
  <c r="L330" i="13"/>
  <c r="K330" i="13"/>
  <c r="J330" i="13"/>
  <c r="I330" i="13"/>
  <c r="M342" i="13"/>
  <c r="L342" i="13"/>
  <c r="K342" i="13"/>
  <c r="I342" i="13"/>
  <c r="J342" i="13"/>
  <c r="M358" i="13"/>
  <c r="L358" i="13"/>
  <c r="K358" i="13"/>
  <c r="I358" i="13"/>
  <c r="J358" i="13"/>
  <c r="M374" i="13"/>
  <c r="L374" i="13"/>
  <c r="K374" i="13"/>
  <c r="I374" i="13"/>
  <c r="J374" i="13"/>
  <c r="M390" i="13"/>
  <c r="L390" i="13"/>
  <c r="K390" i="13"/>
  <c r="I390" i="13"/>
  <c r="J390" i="13"/>
  <c r="M406" i="13"/>
  <c r="L406" i="13"/>
  <c r="K406" i="13"/>
  <c r="I406" i="13"/>
  <c r="J406" i="13"/>
  <c r="M414" i="13"/>
  <c r="L414" i="13"/>
  <c r="J414" i="13"/>
  <c r="I414" i="13"/>
  <c r="K414" i="13"/>
  <c r="M430" i="13"/>
  <c r="L430" i="13"/>
  <c r="K430" i="13"/>
  <c r="I430" i="13"/>
  <c r="J430" i="13"/>
  <c r="M446" i="13"/>
  <c r="L446" i="13"/>
  <c r="I446" i="13"/>
  <c r="K446" i="13"/>
  <c r="J446" i="13"/>
  <c r="M450" i="13"/>
  <c r="L450" i="13"/>
  <c r="I450" i="13"/>
  <c r="K450" i="13"/>
  <c r="J450" i="13"/>
  <c r="M466" i="13"/>
  <c r="L466" i="13"/>
  <c r="K466" i="13"/>
  <c r="I466" i="13"/>
  <c r="J466" i="13"/>
  <c r="M482" i="13"/>
  <c r="L482" i="13"/>
  <c r="I482" i="13"/>
  <c r="J482" i="13"/>
  <c r="K482" i="13"/>
  <c r="M494" i="13"/>
  <c r="L494" i="13"/>
  <c r="K494" i="13"/>
  <c r="I494" i="13"/>
  <c r="J494" i="13"/>
  <c r="L11" i="13"/>
  <c r="I11" i="13"/>
  <c r="L23" i="13"/>
  <c r="I23" i="13"/>
  <c r="L35" i="13"/>
  <c r="I35" i="13"/>
  <c r="J35" i="13" s="1"/>
  <c r="L47" i="13"/>
  <c r="I47" i="13"/>
  <c r="L59" i="13"/>
  <c r="I59" i="13"/>
  <c r="L71" i="13"/>
  <c r="I71" i="13"/>
  <c r="J71" i="13" s="1"/>
  <c r="L83" i="13"/>
  <c r="I83" i="13"/>
  <c r="L95" i="13"/>
  <c r="I95" i="13"/>
  <c r="L115" i="13"/>
  <c r="I115" i="13"/>
  <c r="M127" i="13"/>
  <c r="N127" i="13" s="1"/>
  <c r="L127" i="13"/>
  <c r="J127" i="13"/>
  <c r="I127" i="13"/>
  <c r="K127" i="13"/>
  <c r="M139" i="13"/>
  <c r="L139" i="13"/>
  <c r="K139" i="13"/>
  <c r="J139" i="13"/>
  <c r="I139" i="13"/>
  <c r="L151" i="13"/>
  <c r="M151" i="13"/>
  <c r="N151" i="13" s="1"/>
  <c r="I151" i="13"/>
  <c r="K151" i="13"/>
  <c r="J151" i="13"/>
  <c r="M163" i="13"/>
  <c r="N163" i="13" s="1"/>
  <c r="L163" i="13"/>
  <c r="K163" i="13"/>
  <c r="J163" i="13"/>
  <c r="I163" i="13"/>
  <c r="M175" i="13"/>
  <c r="N175" i="13" s="1"/>
  <c r="L175" i="13"/>
  <c r="J175" i="13"/>
  <c r="I175" i="13"/>
  <c r="K175" i="13"/>
  <c r="M187" i="13"/>
  <c r="L187" i="13"/>
  <c r="K187" i="13"/>
  <c r="I187" i="13"/>
  <c r="J187" i="13"/>
  <c r="L199" i="13"/>
  <c r="M199" i="13"/>
  <c r="N199" i="13" s="1"/>
  <c r="I199" i="13"/>
  <c r="K199" i="13"/>
  <c r="J199" i="13"/>
  <c r="M219" i="13"/>
  <c r="L219" i="13"/>
  <c r="K219" i="13"/>
  <c r="I219" i="13"/>
  <c r="J219" i="13"/>
  <c r="L231" i="13"/>
  <c r="M231" i="13"/>
  <c r="I231" i="13"/>
  <c r="K231" i="13"/>
  <c r="J231" i="13"/>
  <c r="M243" i="13"/>
  <c r="L243" i="13"/>
  <c r="K243" i="13"/>
  <c r="J243" i="13"/>
  <c r="I243" i="13"/>
  <c r="M259" i="13"/>
  <c r="L259" i="13"/>
  <c r="K259" i="13"/>
  <c r="J259" i="13"/>
  <c r="I259" i="13"/>
  <c r="L279" i="13"/>
  <c r="M279" i="13"/>
  <c r="J279" i="13"/>
  <c r="I279" i="13"/>
  <c r="K279" i="13"/>
  <c r="M287" i="13"/>
  <c r="N287" i="13" s="1"/>
  <c r="L287" i="13"/>
  <c r="J287" i="13"/>
  <c r="I287" i="13"/>
  <c r="K287" i="13"/>
  <c r="M303" i="13"/>
  <c r="L303" i="13"/>
  <c r="J303" i="13"/>
  <c r="I303" i="13"/>
  <c r="K303" i="13"/>
  <c r="M315" i="13"/>
  <c r="L315" i="13"/>
  <c r="K315" i="13"/>
  <c r="J315" i="13"/>
  <c r="I315" i="13"/>
  <c r="L327" i="13"/>
  <c r="M327" i="13"/>
  <c r="N327" i="13" s="1"/>
  <c r="J327" i="13"/>
  <c r="I327" i="13"/>
  <c r="K327" i="13"/>
  <c r="M339" i="13"/>
  <c r="L339" i="13"/>
  <c r="K339" i="13"/>
  <c r="J339" i="13"/>
  <c r="I339" i="13"/>
  <c r="M347" i="13"/>
  <c r="L347" i="13"/>
  <c r="K347" i="13"/>
  <c r="J347" i="13"/>
  <c r="I347" i="13"/>
  <c r="M359" i="13"/>
  <c r="L359" i="13"/>
  <c r="J359" i="13"/>
  <c r="K359" i="13"/>
  <c r="I359" i="13"/>
  <c r="L371" i="13"/>
  <c r="M371" i="13"/>
  <c r="J371" i="13"/>
  <c r="I371" i="13"/>
  <c r="K371" i="13"/>
  <c r="M383" i="13"/>
  <c r="L383" i="13"/>
  <c r="K383" i="13"/>
  <c r="J383" i="13"/>
  <c r="I383" i="13"/>
  <c r="M395" i="13"/>
  <c r="L395" i="13"/>
  <c r="K395" i="13"/>
  <c r="I395" i="13"/>
  <c r="J395" i="13"/>
  <c r="M407" i="13"/>
  <c r="L407" i="13"/>
  <c r="I407" i="13"/>
  <c r="K407" i="13"/>
  <c r="M419" i="13"/>
  <c r="L419" i="13"/>
  <c r="I419" i="13"/>
  <c r="K419" i="13"/>
  <c r="J419" i="13"/>
  <c r="M431" i="13"/>
  <c r="L431" i="13"/>
  <c r="K431" i="13"/>
  <c r="I431" i="13"/>
  <c r="J431" i="13"/>
  <c r="M439" i="13"/>
  <c r="I439" i="13"/>
  <c r="L439" i="13"/>
  <c r="J439" i="13"/>
  <c r="K439" i="13"/>
  <c r="M451" i="13"/>
  <c r="L451" i="13"/>
  <c r="I451" i="13"/>
  <c r="K451" i="13"/>
  <c r="M463" i="13"/>
  <c r="L463" i="13"/>
  <c r="K463" i="13"/>
  <c r="I463" i="13"/>
  <c r="J463" i="13"/>
  <c r="M475" i="13"/>
  <c r="L475" i="13"/>
  <c r="K475" i="13"/>
  <c r="I475" i="13"/>
  <c r="M487" i="13"/>
  <c r="L487" i="13"/>
  <c r="K487" i="13"/>
  <c r="I487" i="13"/>
  <c r="J487" i="13"/>
  <c r="M499" i="13"/>
  <c r="L499" i="13"/>
  <c r="I499" i="13"/>
  <c r="K499" i="13"/>
  <c r="L16" i="13"/>
  <c r="I16" i="13"/>
  <c r="L20" i="13"/>
  <c r="I20" i="13"/>
  <c r="L28" i="13"/>
  <c r="I28" i="13"/>
  <c r="J28" i="13" s="1"/>
  <c r="L36" i="13"/>
  <c r="I36" i="13"/>
  <c r="J36" i="13" s="1"/>
  <c r="L44" i="13"/>
  <c r="I44" i="13"/>
  <c r="J44" i="13" s="1"/>
  <c r="L52" i="13"/>
  <c r="I52" i="13"/>
  <c r="J52" i="13" s="1"/>
  <c r="L60" i="13"/>
  <c r="J60" i="13"/>
  <c r="I60" i="13"/>
  <c r="L9" i="13"/>
  <c r="I9" i="13"/>
  <c r="L13" i="13"/>
  <c r="I13" i="13"/>
  <c r="L17" i="13"/>
  <c r="L21" i="13"/>
  <c r="I21" i="13"/>
  <c r="L25" i="13"/>
  <c r="L29" i="13"/>
  <c r="I29" i="13"/>
  <c r="J29" i="13" s="1"/>
  <c r="L33" i="13"/>
  <c r="L37" i="13"/>
  <c r="I37" i="13"/>
  <c r="L41" i="13"/>
  <c r="L45" i="13"/>
  <c r="I45" i="13"/>
  <c r="L49" i="13"/>
  <c r="L53" i="13"/>
  <c r="I53" i="13"/>
  <c r="L57" i="13"/>
  <c r="L61" i="13"/>
  <c r="I61" i="13"/>
  <c r="J61" i="13" s="1"/>
  <c r="L65" i="13"/>
  <c r="L69" i="13"/>
  <c r="I69" i="13"/>
  <c r="L73" i="13"/>
  <c r="L77" i="13"/>
  <c r="I77" i="13"/>
  <c r="J77" i="13" s="1"/>
  <c r="L81" i="13"/>
  <c r="L85" i="13"/>
  <c r="I85" i="13"/>
  <c r="L89" i="13"/>
  <c r="L93" i="13"/>
  <c r="I93" i="13"/>
  <c r="J93" i="13" s="1"/>
  <c r="L97" i="13"/>
  <c r="L101" i="13"/>
  <c r="I101" i="13"/>
  <c r="L105" i="13"/>
  <c r="L109" i="13"/>
  <c r="I109" i="13"/>
  <c r="L113" i="13"/>
  <c r="L117" i="13"/>
  <c r="I117" i="13"/>
  <c r="M121" i="13"/>
  <c r="N121" i="13" s="1"/>
  <c r="J121" i="13"/>
  <c r="L121" i="13"/>
  <c r="K121" i="13"/>
  <c r="M125" i="13"/>
  <c r="L125" i="13"/>
  <c r="J125" i="13"/>
  <c r="K125" i="13"/>
  <c r="I125" i="13"/>
  <c r="L129" i="13"/>
  <c r="K129" i="13"/>
  <c r="M129" i="13"/>
  <c r="N129" i="13" s="1"/>
  <c r="J129" i="13"/>
  <c r="M133" i="13"/>
  <c r="L133" i="13"/>
  <c r="I133" i="13"/>
  <c r="K133" i="13"/>
  <c r="J133" i="13"/>
  <c r="M137" i="13"/>
  <c r="J137" i="13"/>
  <c r="K137" i="13"/>
  <c r="L137" i="13"/>
  <c r="M141" i="13"/>
  <c r="L141" i="13"/>
  <c r="J141" i="13"/>
  <c r="K141" i="13"/>
  <c r="I141" i="13"/>
  <c r="M145" i="13"/>
  <c r="K145" i="13"/>
  <c r="L145" i="13"/>
  <c r="J145" i="13"/>
  <c r="M149" i="13"/>
  <c r="L149" i="13"/>
  <c r="J149" i="13"/>
  <c r="K149" i="13"/>
  <c r="I149" i="13"/>
  <c r="M153" i="13"/>
  <c r="N153" i="13" s="1"/>
  <c r="J153" i="13"/>
  <c r="L153" i="13"/>
  <c r="K153" i="13"/>
  <c r="M157" i="13"/>
  <c r="N157" i="13" s="1"/>
  <c r="L157" i="13"/>
  <c r="J157" i="13"/>
  <c r="K157" i="13"/>
  <c r="I157" i="13"/>
  <c r="L161" i="13"/>
  <c r="M161" i="13"/>
  <c r="K161" i="13"/>
  <c r="J161" i="13"/>
  <c r="M165" i="13"/>
  <c r="L165" i="13"/>
  <c r="J165" i="13"/>
  <c r="I165" i="13"/>
  <c r="K165" i="13"/>
  <c r="M169" i="13"/>
  <c r="J169" i="13"/>
  <c r="K169" i="13"/>
  <c r="L169" i="13"/>
  <c r="M173" i="13"/>
  <c r="L173" i="13"/>
  <c r="J173" i="13"/>
  <c r="K173" i="13"/>
  <c r="I173" i="13"/>
  <c r="M177" i="13"/>
  <c r="K177" i="13"/>
  <c r="L177" i="13"/>
  <c r="J177" i="13"/>
  <c r="M181" i="13"/>
  <c r="N181" i="13" s="1"/>
  <c r="L181" i="13"/>
  <c r="J181" i="13"/>
  <c r="K181" i="13"/>
  <c r="I181" i="13"/>
  <c r="M185" i="13"/>
  <c r="N185" i="13" s="1"/>
  <c r="J185" i="13"/>
  <c r="L185" i="13"/>
  <c r="K185" i="13"/>
  <c r="M189" i="13"/>
  <c r="L189" i="13"/>
  <c r="J189" i="13"/>
  <c r="K189" i="13"/>
  <c r="I189" i="13"/>
  <c r="M193" i="13"/>
  <c r="L193" i="13"/>
  <c r="K193" i="13"/>
  <c r="J193" i="13"/>
  <c r="M197" i="13"/>
  <c r="L197" i="13"/>
  <c r="I197" i="13"/>
  <c r="K197" i="13"/>
  <c r="J197" i="13"/>
  <c r="M201" i="13"/>
  <c r="J201" i="13"/>
  <c r="K201" i="13"/>
  <c r="L201" i="13"/>
  <c r="M205" i="13"/>
  <c r="L205" i="13"/>
  <c r="J205" i="13"/>
  <c r="K205" i="13"/>
  <c r="I205" i="13"/>
  <c r="M209" i="13"/>
  <c r="K209" i="13"/>
  <c r="L209" i="13"/>
  <c r="J209" i="13"/>
  <c r="M213" i="13"/>
  <c r="L213" i="13"/>
  <c r="J213" i="13"/>
  <c r="K213" i="13"/>
  <c r="I213" i="13"/>
  <c r="M217" i="13"/>
  <c r="N217" i="13" s="1"/>
  <c r="J217" i="13"/>
  <c r="L217" i="13"/>
  <c r="K217" i="13"/>
  <c r="M221" i="13"/>
  <c r="N221" i="13" s="1"/>
  <c r="L221" i="13"/>
  <c r="J221" i="13"/>
  <c r="K221" i="13"/>
  <c r="I221" i="13"/>
  <c r="L225" i="13"/>
  <c r="K225" i="13"/>
  <c r="M225" i="13"/>
  <c r="J225" i="13"/>
  <c r="M229" i="13"/>
  <c r="L229" i="13"/>
  <c r="J229" i="13"/>
  <c r="I229" i="13"/>
  <c r="K229" i="13"/>
  <c r="M233" i="13"/>
  <c r="J233" i="13"/>
  <c r="K233" i="13"/>
  <c r="L233" i="13"/>
  <c r="M237" i="13"/>
  <c r="L237" i="13"/>
  <c r="J237" i="13"/>
  <c r="K237" i="13"/>
  <c r="I237" i="13"/>
  <c r="M241" i="13"/>
  <c r="K241" i="13"/>
  <c r="L241" i="13"/>
  <c r="J241" i="13"/>
  <c r="M245" i="13"/>
  <c r="N245" i="13" s="1"/>
  <c r="L245" i="13"/>
  <c r="J245" i="13"/>
  <c r="K245" i="13"/>
  <c r="I245" i="13"/>
  <c r="M249" i="13"/>
  <c r="N249" i="13" s="1"/>
  <c r="J249" i="13"/>
  <c r="L249" i="13"/>
  <c r="K249" i="13"/>
  <c r="M253" i="13"/>
  <c r="L253" i="13"/>
  <c r="J253" i="13"/>
  <c r="K253" i="13"/>
  <c r="I253" i="13"/>
  <c r="L257" i="13"/>
  <c r="K257" i="13"/>
  <c r="M257" i="13"/>
  <c r="J257" i="13"/>
  <c r="M261" i="13"/>
  <c r="L261" i="13"/>
  <c r="I261" i="13"/>
  <c r="K261" i="13"/>
  <c r="M265" i="13"/>
  <c r="J265" i="13"/>
  <c r="K265" i="13"/>
  <c r="L265" i="13"/>
  <c r="M269" i="13"/>
  <c r="L269" i="13"/>
  <c r="J269" i="13"/>
  <c r="K269" i="13"/>
  <c r="I269" i="13"/>
  <c r="M273" i="13"/>
  <c r="N273" i="13" s="1"/>
  <c r="K273" i="13"/>
  <c r="L273" i="13"/>
  <c r="J273" i="13"/>
  <c r="M277" i="13"/>
  <c r="L277" i="13"/>
  <c r="J277" i="13"/>
  <c r="K277" i="13"/>
  <c r="I277" i="13"/>
  <c r="M281" i="13"/>
  <c r="L281" i="13"/>
  <c r="K281" i="13"/>
  <c r="M285" i="13"/>
  <c r="N285" i="13" s="1"/>
  <c r="L285" i="13"/>
  <c r="K285" i="13"/>
  <c r="J285" i="13"/>
  <c r="I285" i="13"/>
  <c r="L289" i="13"/>
  <c r="M289" i="13"/>
  <c r="K289" i="13"/>
  <c r="J289" i="13"/>
  <c r="M293" i="13"/>
  <c r="N293" i="13" s="1"/>
  <c r="L293" i="13"/>
  <c r="J293" i="13"/>
  <c r="I293" i="13"/>
  <c r="K293" i="13"/>
  <c r="M297" i="13"/>
  <c r="K297" i="13"/>
  <c r="L297" i="13"/>
  <c r="M301" i="13"/>
  <c r="N301" i="13" s="1"/>
  <c r="L301" i="13"/>
  <c r="K301" i="13"/>
  <c r="J301" i="13"/>
  <c r="I301" i="13"/>
  <c r="M305" i="13"/>
  <c r="K305" i="13"/>
  <c r="L305" i="13"/>
  <c r="J305" i="13"/>
  <c r="M309" i="13"/>
  <c r="N309" i="13" s="1"/>
  <c r="L309" i="13"/>
  <c r="J309" i="13"/>
  <c r="K309" i="13"/>
  <c r="I309" i="13"/>
  <c r="M313" i="13"/>
  <c r="L313" i="13"/>
  <c r="K313" i="13"/>
  <c r="M317" i="13"/>
  <c r="L317" i="13"/>
  <c r="K317" i="13"/>
  <c r="J317" i="13"/>
  <c r="I317" i="13"/>
  <c r="M321" i="13"/>
  <c r="L321" i="13"/>
  <c r="K321" i="13"/>
  <c r="J321" i="13"/>
  <c r="M325" i="13"/>
  <c r="L325" i="13"/>
  <c r="J325" i="13"/>
  <c r="I325" i="13"/>
  <c r="K325" i="13"/>
  <c r="M329" i="13"/>
  <c r="K329" i="13"/>
  <c r="L329" i="13"/>
  <c r="M333" i="13"/>
  <c r="L333" i="13"/>
  <c r="K333" i="13"/>
  <c r="J333" i="13"/>
  <c r="I333" i="13"/>
  <c r="M337" i="13"/>
  <c r="N337" i="13" s="1"/>
  <c r="K337" i="13"/>
  <c r="L337" i="13"/>
  <c r="J337" i="13"/>
  <c r="M341" i="13"/>
  <c r="L341" i="13"/>
  <c r="J341" i="13"/>
  <c r="K341" i="13"/>
  <c r="I341" i="13"/>
  <c r="M345" i="13"/>
  <c r="L345" i="13"/>
  <c r="K345" i="13"/>
  <c r="M349" i="13"/>
  <c r="N349" i="13" s="1"/>
  <c r="L349" i="13"/>
  <c r="K349" i="13"/>
  <c r="J349" i="13"/>
  <c r="I349" i="13"/>
  <c r="M353" i="13"/>
  <c r="N353" i="13" s="1"/>
  <c r="L353" i="13"/>
  <c r="K353" i="13"/>
  <c r="J353" i="13"/>
  <c r="M357" i="13"/>
  <c r="L357" i="13"/>
  <c r="K357" i="13"/>
  <c r="J357" i="13"/>
  <c r="I357" i="13"/>
  <c r="M361" i="13"/>
  <c r="N361" i="13" s="1"/>
  <c r="L361" i="13"/>
  <c r="K361" i="13"/>
  <c r="M365" i="13"/>
  <c r="N365" i="13" s="1"/>
  <c r="L365" i="13"/>
  <c r="J365" i="13"/>
  <c r="K365" i="13"/>
  <c r="I365" i="13"/>
  <c r="M369" i="13"/>
  <c r="K369" i="13"/>
  <c r="L369" i="13"/>
  <c r="J369" i="13"/>
  <c r="M373" i="13"/>
  <c r="L373" i="13"/>
  <c r="K373" i="13"/>
  <c r="J373" i="13"/>
  <c r="I373" i="13"/>
  <c r="M377" i="13"/>
  <c r="L377" i="13"/>
  <c r="K377" i="13"/>
  <c r="J377" i="13"/>
  <c r="M381" i="13"/>
  <c r="L381" i="13"/>
  <c r="K381" i="13"/>
  <c r="J381" i="13"/>
  <c r="I381" i="13"/>
  <c r="M385" i="13"/>
  <c r="N385" i="13" s="1"/>
  <c r="L385" i="13"/>
  <c r="K385" i="13"/>
  <c r="J385" i="13"/>
  <c r="M389" i="13"/>
  <c r="N389" i="13" s="1"/>
  <c r="L389" i="13"/>
  <c r="K389" i="13"/>
  <c r="J389" i="13"/>
  <c r="I389" i="13"/>
  <c r="M393" i="13"/>
  <c r="N393" i="13" s="1"/>
  <c r="L393" i="13"/>
  <c r="J393" i="13"/>
  <c r="K393" i="13"/>
  <c r="M397" i="13"/>
  <c r="L397" i="13"/>
  <c r="I397" i="13"/>
  <c r="K397" i="13"/>
  <c r="M401" i="13"/>
  <c r="L401" i="13"/>
  <c r="K401" i="13"/>
  <c r="J401" i="13"/>
  <c r="M405" i="13"/>
  <c r="L405" i="13"/>
  <c r="K405" i="13"/>
  <c r="J405" i="13"/>
  <c r="I405" i="13"/>
  <c r="M409" i="13"/>
  <c r="L409" i="13"/>
  <c r="K409" i="13"/>
  <c r="J409" i="13"/>
  <c r="M413" i="13"/>
  <c r="K413" i="13"/>
  <c r="L413" i="13"/>
  <c r="J413" i="13"/>
  <c r="I413" i="13"/>
  <c r="M417" i="13"/>
  <c r="L417" i="13"/>
  <c r="K417" i="13"/>
  <c r="J417" i="13"/>
  <c r="M421" i="13"/>
  <c r="L421" i="13"/>
  <c r="K421" i="13"/>
  <c r="J421" i="13"/>
  <c r="I421" i="13"/>
  <c r="M425" i="13"/>
  <c r="L425" i="13"/>
  <c r="J425" i="13"/>
  <c r="K425" i="13"/>
  <c r="M429" i="13"/>
  <c r="L429" i="13"/>
  <c r="J429" i="13"/>
  <c r="K429" i="13"/>
  <c r="I429" i="13"/>
  <c r="M433" i="13"/>
  <c r="L433" i="13"/>
  <c r="K433" i="13"/>
  <c r="J433" i="13"/>
  <c r="M437" i="13"/>
  <c r="L437" i="13"/>
  <c r="K437" i="13"/>
  <c r="J437" i="13"/>
  <c r="I437" i="13"/>
  <c r="M441" i="13"/>
  <c r="N441" i="13" s="1"/>
  <c r="L441" i="13"/>
  <c r="J441" i="13"/>
  <c r="K441" i="13"/>
  <c r="M445" i="13"/>
  <c r="L445" i="13"/>
  <c r="K445" i="13"/>
  <c r="J445" i="13"/>
  <c r="I445" i="13"/>
  <c r="M449" i="13"/>
  <c r="L449" i="13"/>
  <c r="K449" i="13"/>
  <c r="J449" i="13"/>
  <c r="M453" i="13"/>
  <c r="L453" i="13"/>
  <c r="K453" i="13"/>
  <c r="J453" i="13"/>
  <c r="I453" i="13"/>
  <c r="M457" i="13"/>
  <c r="L457" i="13"/>
  <c r="J457" i="13"/>
  <c r="K457" i="13"/>
  <c r="M461" i="13"/>
  <c r="J461" i="13"/>
  <c r="L461" i="13"/>
  <c r="I461" i="13"/>
  <c r="K461" i="13"/>
  <c r="M465" i="13"/>
  <c r="L465" i="13"/>
  <c r="K465" i="13"/>
  <c r="J465" i="13"/>
  <c r="M469" i="13"/>
  <c r="K469" i="13"/>
  <c r="J469" i="13"/>
  <c r="I469" i="13"/>
  <c r="L469" i="13"/>
  <c r="M473" i="13"/>
  <c r="L473" i="13"/>
  <c r="J473" i="13"/>
  <c r="K473" i="13"/>
  <c r="M477" i="13"/>
  <c r="L477" i="13"/>
  <c r="K477" i="13"/>
  <c r="J477" i="13"/>
  <c r="I477" i="13"/>
  <c r="M481" i="13"/>
  <c r="L481" i="13"/>
  <c r="K481" i="13"/>
  <c r="J481" i="13"/>
  <c r="M485" i="13"/>
  <c r="L485" i="13"/>
  <c r="K485" i="13"/>
  <c r="J485" i="13"/>
  <c r="I485" i="13"/>
  <c r="M489" i="13"/>
  <c r="L489" i="13"/>
  <c r="J489" i="13"/>
  <c r="K489" i="13"/>
  <c r="M493" i="13"/>
  <c r="J493" i="13"/>
  <c r="L493" i="13"/>
  <c r="K493" i="13"/>
  <c r="I493" i="13"/>
  <c r="M497" i="13"/>
  <c r="L497" i="13"/>
  <c r="K497" i="13"/>
  <c r="J497" i="13"/>
  <c r="M501" i="13"/>
  <c r="K501" i="13"/>
  <c r="L501" i="13"/>
  <c r="J501" i="13"/>
  <c r="I501" i="13"/>
  <c r="M505" i="13"/>
  <c r="N505" i="13" s="1"/>
  <c r="L505" i="13"/>
  <c r="J505" i="13"/>
  <c r="K505" i="13"/>
  <c r="I497" i="13"/>
  <c r="I481" i="13"/>
  <c r="I465" i="13"/>
  <c r="I449" i="13"/>
  <c r="I433" i="13"/>
  <c r="I417" i="13"/>
  <c r="I401" i="13"/>
  <c r="I385" i="13"/>
  <c r="I369" i="13"/>
  <c r="I353" i="13"/>
  <c r="I337" i="13"/>
  <c r="I321" i="13"/>
  <c r="I305" i="13"/>
  <c r="I289" i="13"/>
  <c r="I273" i="13"/>
  <c r="I257" i="13"/>
  <c r="I233" i="13"/>
  <c r="I201" i="13"/>
  <c r="I169" i="13"/>
  <c r="I137" i="13"/>
  <c r="I105" i="13"/>
  <c r="I73" i="13"/>
  <c r="J73" i="13" s="1"/>
  <c r="I41" i="13"/>
  <c r="J41" i="13" s="1"/>
  <c r="J475" i="13"/>
  <c r="J407" i="13"/>
  <c r="J361" i="13"/>
  <c r="J297" i="13"/>
  <c r="L18" i="13"/>
  <c r="I18" i="13"/>
  <c r="L30" i="13"/>
  <c r="I30" i="13"/>
  <c r="J30" i="13" s="1"/>
  <c r="L46" i="13"/>
  <c r="I46" i="13"/>
  <c r="J46" i="13" s="1"/>
  <c r="L62" i="13"/>
  <c r="I62" i="13"/>
  <c r="J62" i="13" s="1"/>
  <c r="L82" i="13"/>
  <c r="I82" i="13"/>
  <c r="J82" i="13" s="1"/>
  <c r="L98" i="13"/>
  <c r="I98" i="13"/>
  <c r="J98" i="13" s="1"/>
  <c r="M126" i="13"/>
  <c r="J126" i="13"/>
  <c r="L126" i="13"/>
  <c r="K126" i="13"/>
  <c r="I126" i="13"/>
  <c r="M146" i="13"/>
  <c r="N146" i="13" s="1"/>
  <c r="L146" i="13"/>
  <c r="J146" i="13"/>
  <c r="K146" i="13"/>
  <c r="I146" i="13"/>
  <c r="M166" i="13"/>
  <c r="J166" i="13"/>
  <c r="L166" i="13"/>
  <c r="K166" i="13"/>
  <c r="I166" i="13"/>
  <c r="M182" i="13"/>
  <c r="J182" i="13"/>
  <c r="L182" i="13"/>
  <c r="K182" i="13"/>
  <c r="I182" i="13"/>
  <c r="M198" i="13"/>
  <c r="J198" i="13"/>
  <c r="L198" i="13"/>
  <c r="K198" i="13"/>
  <c r="I198" i="13"/>
  <c r="M218" i="13"/>
  <c r="L218" i="13"/>
  <c r="J218" i="13"/>
  <c r="K218" i="13"/>
  <c r="I218" i="13"/>
  <c r="M234" i="13"/>
  <c r="L234" i="13"/>
  <c r="J234" i="13"/>
  <c r="K234" i="13"/>
  <c r="I234" i="13"/>
  <c r="M250" i="13"/>
  <c r="L250" i="13"/>
  <c r="J250" i="13"/>
  <c r="K250" i="13"/>
  <c r="I250" i="13"/>
  <c r="M266" i="13"/>
  <c r="N266" i="13" s="1"/>
  <c r="L266" i="13"/>
  <c r="J266" i="13"/>
  <c r="K266" i="13"/>
  <c r="I266" i="13"/>
  <c r="M286" i="13"/>
  <c r="L286" i="13"/>
  <c r="K286" i="13"/>
  <c r="I286" i="13"/>
  <c r="J286" i="13"/>
  <c r="M306" i="13"/>
  <c r="L306" i="13"/>
  <c r="K306" i="13"/>
  <c r="J306" i="13"/>
  <c r="I306" i="13"/>
  <c r="M326" i="13"/>
  <c r="L326" i="13"/>
  <c r="K326" i="13"/>
  <c r="I326" i="13"/>
  <c r="J326" i="13"/>
  <c r="M346" i="13"/>
  <c r="L346" i="13"/>
  <c r="K346" i="13"/>
  <c r="J346" i="13"/>
  <c r="I346" i="13"/>
  <c r="M362" i="13"/>
  <c r="L362" i="13"/>
  <c r="K362" i="13"/>
  <c r="J362" i="13"/>
  <c r="I362" i="13"/>
  <c r="M378" i="13"/>
  <c r="L378" i="13"/>
  <c r="K378" i="13"/>
  <c r="J378" i="13"/>
  <c r="I378" i="13"/>
  <c r="M394" i="13"/>
  <c r="N394" i="13" s="1"/>
  <c r="L394" i="13"/>
  <c r="K394" i="13"/>
  <c r="J394" i="13"/>
  <c r="I394" i="13"/>
  <c r="M410" i="13"/>
  <c r="L410" i="13"/>
  <c r="K410" i="13"/>
  <c r="J410" i="13"/>
  <c r="I410" i="13"/>
  <c r="M426" i="13"/>
  <c r="L426" i="13"/>
  <c r="K426" i="13"/>
  <c r="I426" i="13"/>
  <c r="J426" i="13"/>
  <c r="M442" i="13"/>
  <c r="L442" i="13"/>
  <c r="K442" i="13"/>
  <c r="I442" i="13"/>
  <c r="J442" i="13"/>
  <c r="M462" i="13"/>
  <c r="L462" i="13"/>
  <c r="K462" i="13"/>
  <c r="I462" i="13"/>
  <c r="J462" i="13"/>
  <c r="M478" i="13"/>
  <c r="L478" i="13"/>
  <c r="I478" i="13"/>
  <c r="K478" i="13"/>
  <c r="J478" i="13"/>
  <c r="M490" i="13"/>
  <c r="K490" i="13"/>
  <c r="I490" i="13"/>
  <c r="J490" i="13"/>
  <c r="L490" i="13"/>
  <c r="M502" i="13"/>
  <c r="L502" i="13"/>
  <c r="K502" i="13"/>
  <c r="I502" i="13"/>
  <c r="J502" i="13"/>
  <c r="M506" i="13"/>
  <c r="L506" i="13"/>
  <c r="K506" i="13"/>
  <c r="I506" i="13"/>
  <c r="J506" i="13"/>
  <c r="I225" i="13"/>
  <c r="I193" i="13"/>
  <c r="I161" i="13"/>
  <c r="I129" i="13"/>
  <c r="I97" i="13"/>
  <c r="I65" i="13"/>
  <c r="I33" i="13"/>
  <c r="J499" i="13"/>
  <c r="J397" i="13"/>
  <c r="J345" i="13"/>
  <c r="J281" i="13"/>
  <c r="L14" i="13"/>
  <c r="I14" i="13"/>
  <c r="L26" i="13"/>
  <c r="I26" i="13"/>
  <c r="L42" i="13"/>
  <c r="I42" i="13"/>
  <c r="J42" i="13" s="1"/>
  <c r="L54" i="13"/>
  <c r="I54" i="13"/>
  <c r="J54" i="13" s="1"/>
  <c r="L78" i="13"/>
  <c r="I78" i="13"/>
  <c r="J78" i="13" s="1"/>
  <c r="L94" i="13"/>
  <c r="I94" i="13"/>
  <c r="J94" i="13" s="1"/>
  <c r="L110" i="13"/>
  <c r="I110" i="13"/>
  <c r="J110" i="13" s="1"/>
  <c r="M122" i="13"/>
  <c r="L122" i="13"/>
  <c r="J122" i="13"/>
  <c r="K122" i="13"/>
  <c r="I122" i="13"/>
  <c r="M138" i="13"/>
  <c r="L138" i="13"/>
  <c r="J138" i="13"/>
  <c r="K138" i="13"/>
  <c r="I138" i="13"/>
  <c r="M158" i="13"/>
  <c r="N158" i="13" s="1"/>
  <c r="J158" i="13"/>
  <c r="L158" i="13"/>
  <c r="K158" i="13"/>
  <c r="I158" i="13"/>
  <c r="M178" i="13"/>
  <c r="N178" i="13" s="1"/>
  <c r="L178" i="13"/>
  <c r="J178" i="13"/>
  <c r="K178" i="13"/>
  <c r="I178" i="13"/>
  <c r="M194" i="13"/>
  <c r="N194" i="13" s="1"/>
  <c r="L194" i="13"/>
  <c r="J194" i="13"/>
  <c r="K194" i="13"/>
  <c r="I194" i="13"/>
  <c r="M210" i="13"/>
  <c r="L210" i="13"/>
  <c r="J210" i="13"/>
  <c r="K210" i="13"/>
  <c r="I210" i="13"/>
  <c r="M226" i="13"/>
  <c r="L226" i="13"/>
  <c r="J226" i="13"/>
  <c r="K226" i="13"/>
  <c r="I226" i="13"/>
  <c r="M246" i="13"/>
  <c r="J246" i="13"/>
  <c r="L246" i="13"/>
  <c r="K246" i="13"/>
  <c r="I246" i="13"/>
  <c r="M262" i="13"/>
  <c r="N262" i="13" s="1"/>
  <c r="J262" i="13"/>
  <c r="L262" i="13"/>
  <c r="K262" i="13"/>
  <c r="I262" i="13"/>
  <c r="M278" i="13"/>
  <c r="L278" i="13"/>
  <c r="K278" i="13"/>
  <c r="I278" i="13"/>
  <c r="J278" i="13"/>
  <c r="M298" i="13"/>
  <c r="N298" i="13" s="1"/>
  <c r="L298" i="13"/>
  <c r="K298" i="13"/>
  <c r="J298" i="13"/>
  <c r="I298" i="13"/>
  <c r="M318" i="13"/>
  <c r="L318" i="13"/>
  <c r="K318" i="13"/>
  <c r="I318" i="13"/>
  <c r="J318" i="13"/>
  <c r="M334" i="13"/>
  <c r="L334" i="13"/>
  <c r="K334" i="13"/>
  <c r="I334" i="13"/>
  <c r="J334" i="13"/>
  <c r="M350" i="13"/>
  <c r="L350" i="13"/>
  <c r="I350" i="13"/>
  <c r="K350" i="13"/>
  <c r="J350" i="13"/>
  <c r="M370" i="13"/>
  <c r="N370" i="13" s="1"/>
  <c r="L370" i="13"/>
  <c r="K370" i="13"/>
  <c r="J370" i="13"/>
  <c r="I370" i="13"/>
  <c r="M386" i="13"/>
  <c r="L386" i="13"/>
  <c r="I386" i="13"/>
  <c r="K386" i="13"/>
  <c r="M402" i="13"/>
  <c r="L402" i="13"/>
  <c r="K402" i="13"/>
  <c r="I402" i="13"/>
  <c r="J402" i="13"/>
  <c r="M422" i="13"/>
  <c r="L422" i="13"/>
  <c r="K422" i="13"/>
  <c r="I422" i="13"/>
  <c r="J422" i="13"/>
  <c r="M438" i="13"/>
  <c r="L438" i="13"/>
  <c r="K438" i="13"/>
  <c r="I438" i="13"/>
  <c r="J438" i="13"/>
  <c r="M458" i="13"/>
  <c r="K458" i="13"/>
  <c r="L458" i="13"/>
  <c r="I458" i="13"/>
  <c r="J458" i="13"/>
  <c r="M470" i="13"/>
  <c r="L470" i="13"/>
  <c r="K470" i="13"/>
  <c r="I470" i="13"/>
  <c r="J470" i="13"/>
  <c r="M486" i="13"/>
  <c r="L486" i="13"/>
  <c r="K486" i="13"/>
  <c r="I486" i="13"/>
  <c r="J486" i="13"/>
  <c r="L15" i="13"/>
  <c r="I15" i="13"/>
  <c r="L27" i="13"/>
  <c r="I27" i="13"/>
  <c r="L39" i="13"/>
  <c r="I39" i="13"/>
  <c r="J39" i="13" s="1"/>
  <c r="L51" i="13"/>
  <c r="I51" i="13"/>
  <c r="J51" i="13" s="1"/>
  <c r="L63" i="13"/>
  <c r="I63" i="13"/>
  <c r="J63" i="13" s="1"/>
  <c r="L75" i="13"/>
  <c r="I75" i="13"/>
  <c r="L87" i="13"/>
  <c r="I87" i="13"/>
  <c r="L99" i="13"/>
  <c r="I99" i="13"/>
  <c r="J99" i="13" s="1"/>
  <c r="L107" i="13"/>
  <c r="I107" i="13"/>
  <c r="M123" i="13"/>
  <c r="L123" i="13"/>
  <c r="K123" i="13"/>
  <c r="I123" i="13"/>
  <c r="J123" i="13"/>
  <c r="L135" i="13"/>
  <c r="M135" i="13"/>
  <c r="I135" i="13"/>
  <c r="K135" i="13"/>
  <c r="J135" i="13"/>
  <c r="M147" i="13"/>
  <c r="L147" i="13"/>
  <c r="K147" i="13"/>
  <c r="J147" i="13"/>
  <c r="I147" i="13"/>
  <c r="M159" i="13"/>
  <c r="L159" i="13"/>
  <c r="J159" i="13"/>
  <c r="I159" i="13"/>
  <c r="K159" i="13"/>
  <c r="M171" i="13"/>
  <c r="L171" i="13"/>
  <c r="K171" i="13"/>
  <c r="J171" i="13"/>
  <c r="I171" i="13"/>
  <c r="L183" i="13"/>
  <c r="M183" i="13"/>
  <c r="I183" i="13"/>
  <c r="K183" i="13"/>
  <c r="J183" i="13"/>
  <c r="M195" i="13"/>
  <c r="L195" i="13"/>
  <c r="K195" i="13"/>
  <c r="J195" i="13"/>
  <c r="I195" i="13"/>
  <c r="M207" i="13"/>
  <c r="L207" i="13"/>
  <c r="J207" i="13"/>
  <c r="I207" i="13"/>
  <c r="K207" i="13"/>
  <c r="L215" i="13"/>
  <c r="M215" i="13"/>
  <c r="I215" i="13"/>
  <c r="K215" i="13"/>
  <c r="J215" i="13"/>
  <c r="M227" i="13"/>
  <c r="L227" i="13"/>
  <c r="K227" i="13"/>
  <c r="J227" i="13"/>
  <c r="I227" i="13"/>
  <c r="M239" i="13"/>
  <c r="L239" i="13"/>
  <c r="J239" i="13"/>
  <c r="I239" i="13"/>
  <c r="K239" i="13"/>
  <c r="M251" i="13"/>
  <c r="L251" i="13"/>
  <c r="K251" i="13"/>
  <c r="I251" i="13"/>
  <c r="J251" i="13"/>
  <c r="L263" i="13"/>
  <c r="M263" i="13"/>
  <c r="I263" i="13"/>
  <c r="K263" i="13"/>
  <c r="J263" i="13"/>
  <c r="M271" i="13"/>
  <c r="L271" i="13"/>
  <c r="J271" i="13"/>
  <c r="I271" i="13"/>
  <c r="K271" i="13"/>
  <c r="M291" i="13"/>
  <c r="L291" i="13"/>
  <c r="K291" i="13"/>
  <c r="J291" i="13"/>
  <c r="I291" i="13"/>
  <c r="M307" i="13"/>
  <c r="N307" i="13" s="1"/>
  <c r="L307" i="13"/>
  <c r="K307" i="13"/>
  <c r="J307" i="13"/>
  <c r="I307" i="13"/>
  <c r="M319" i="13"/>
  <c r="N319" i="13" s="1"/>
  <c r="L319" i="13"/>
  <c r="J319" i="13"/>
  <c r="I319" i="13"/>
  <c r="K319" i="13"/>
  <c r="M331" i="13"/>
  <c r="L331" i="13"/>
  <c r="K331" i="13"/>
  <c r="J331" i="13"/>
  <c r="I331" i="13"/>
  <c r="L343" i="13"/>
  <c r="M343" i="13"/>
  <c r="N343" i="13" s="1"/>
  <c r="J343" i="13"/>
  <c r="I343" i="13"/>
  <c r="K343" i="13"/>
  <c r="M351" i="13"/>
  <c r="N351" i="13" s="1"/>
  <c r="L351" i="13"/>
  <c r="K351" i="13"/>
  <c r="J351" i="13"/>
  <c r="I351" i="13"/>
  <c r="L363" i="13"/>
  <c r="M363" i="13"/>
  <c r="K363" i="13"/>
  <c r="J363" i="13"/>
  <c r="I363" i="13"/>
  <c r="M375" i="13"/>
  <c r="L375" i="13"/>
  <c r="I375" i="13"/>
  <c r="K375" i="13"/>
  <c r="L387" i="13"/>
  <c r="M387" i="13"/>
  <c r="I387" i="13"/>
  <c r="K387" i="13"/>
  <c r="J387" i="13"/>
  <c r="M399" i="13"/>
  <c r="L399" i="13"/>
  <c r="K399" i="13"/>
  <c r="J399" i="13"/>
  <c r="I399" i="13"/>
  <c r="M411" i="13"/>
  <c r="L411" i="13"/>
  <c r="K411" i="13"/>
  <c r="I411" i="13"/>
  <c r="J411" i="13"/>
  <c r="M423" i="13"/>
  <c r="L423" i="13"/>
  <c r="K423" i="13"/>
  <c r="I423" i="13"/>
  <c r="J423" i="13"/>
  <c r="M443" i="13"/>
  <c r="L443" i="13"/>
  <c r="K443" i="13"/>
  <c r="I443" i="13"/>
  <c r="M455" i="13"/>
  <c r="L455" i="13"/>
  <c r="K455" i="13"/>
  <c r="I455" i="13"/>
  <c r="J455" i="13"/>
  <c r="M467" i="13"/>
  <c r="L467" i="13"/>
  <c r="I467" i="13"/>
  <c r="K467" i="13"/>
  <c r="M479" i="13"/>
  <c r="K479" i="13"/>
  <c r="L479" i="13"/>
  <c r="I479" i="13"/>
  <c r="J479" i="13"/>
  <c r="M491" i="13"/>
  <c r="N491" i="13" s="1"/>
  <c r="L491" i="13"/>
  <c r="K491" i="13"/>
  <c r="I491" i="13"/>
  <c r="M503" i="13"/>
  <c r="N503" i="13" s="1"/>
  <c r="I503" i="13"/>
  <c r="L503" i="13"/>
  <c r="J503" i="13"/>
  <c r="K503" i="13"/>
  <c r="I505" i="13"/>
  <c r="I489" i="13"/>
  <c r="I473" i="13"/>
  <c r="I457" i="13"/>
  <c r="I441" i="13"/>
  <c r="I425" i="13"/>
  <c r="I409" i="13"/>
  <c r="I393" i="13"/>
  <c r="I377" i="13"/>
  <c r="I361" i="13"/>
  <c r="I345" i="13"/>
  <c r="I329" i="13"/>
  <c r="I313" i="13"/>
  <c r="I297" i="13"/>
  <c r="I281" i="13"/>
  <c r="I265" i="13"/>
  <c r="I249" i="13"/>
  <c r="I217" i="13"/>
  <c r="I185" i="13"/>
  <c r="I153" i="13"/>
  <c r="I121" i="13"/>
  <c r="I89" i="13"/>
  <c r="J89" i="13" s="1"/>
  <c r="I57" i="13"/>
  <c r="I25" i="13"/>
  <c r="J491" i="13"/>
  <c r="J386" i="13"/>
  <c r="J329" i="13"/>
  <c r="J261" i="13"/>
  <c r="L34" i="13"/>
  <c r="I34" i="13"/>
  <c r="J34" i="13" s="1"/>
  <c r="L50" i="13"/>
  <c r="I50" i="13"/>
  <c r="J50" i="13" s="1"/>
  <c r="L66" i="13"/>
  <c r="I66" i="13"/>
  <c r="J66" i="13" s="1"/>
  <c r="L74" i="13"/>
  <c r="J74" i="13"/>
  <c r="I74" i="13"/>
  <c r="L86" i="13"/>
  <c r="I86" i="13"/>
  <c r="J86" i="13" s="1"/>
  <c r="L102" i="13"/>
  <c r="I102" i="13"/>
  <c r="J102" i="13" s="1"/>
  <c r="L114" i="13"/>
  <c r="I114" i="13"/>
  <c r="J114" i="13" s="1"/>
  <c r="M130" i="13"/>
  <c r="N130" i="13" s="1"/>
  <c r="L130" i="13"/>
  <c r="J130" i="13"/>
  <c r="K130" i="13"/>
  <c r="I130" i="13"/>
  <c r="M142" i="13"/>
  <c r="J142" i="13"/>
  <c r="L142" i="13"/>
  <c r="K142" i="13"/>
  <c r="I142" i="13"/>
  <c r="M154" i="13"/>
  <c r="L154" i="13"/>
  <c r="J154" i="13"/>
  <c r="K154" i="13"/>
  <c r="I154" i="13"/>
  <c r="M174" i="13"/>
  <c r="J174" i="13"/>
  <c r="L174" i="13"/>
  <c r="K174" i="13"/>
  <c r="I174" i="13"/>
  <c r="M190" i="13"/>
  <c r="N190" i="13" s="1"/>
  <c r="J190" i="13"/>
  <c r="L190" i="13"/>
  <c r="K190" i="13"/>
  <c r="I190" i="13"/>
  <c r="M202" i="13"/>
  <c r="N202" i="13" s="1"/>
  <c r="L202" i="13"/>
  <c r="J202" i="13"/>
  <c r="K202" i="13"/>
  <c r="I202" i="13"/>
  <c r="M214" i="13"/>
  <c r="J214" i="13"/>
  <c r="L214" i="13"/>
  <c r="K214" i="13"/>
  <c r="I214" i="13"/>
  <c r="M230" i="13"/>
  <c r="J230" i="13"/>
  <c r="L230" i="13"/>
  <c r="K230" i="13"/>
  <c r="I230" i="13"/>
  <c r="M242" i="13"/>
  <c r="N242" i="13" s="1"/>
  <c r="L242" i="13"/>
  <c r="J242" i="13"/>
  <c r="K242" i="13"/>
  <c r="I242" i="13"/>
  <c r="M254" i="13"/>
  <c r="J254" i="13"/>
  <c r="L254" i="13"/>
  <c r="K254" i="13"/>
  <c r="I254" i="13"/>
  <c r="M270" i="13"/>
  <c r="N270" i="13" s="1"/>
  <c r="J270" i="13"/>
  <c r="L270" i="13"/>
  <c r="K270" i="13"/>
  <c r="I270" i="13"/>
  <c r="M282" i="13"/>
  <c r="L282" i="13"/>
  <c r="K282" i="13"/>
  <c r="J282" i="13"/>
  <c r="I282" i="13"/>
  <c r="M294" i="13"/>
  <c r="L294" i="13"/>
  <c r="K294" i="13"/>
  <c r="I294" i="13"/>
  <c r="J294" i="13"/>
  <c r="M310" i="13"/>
  <c r="L310" i="13"/>
  <c r="K310" i="13"/>
  <c r="I310" i="13"/>
  <c r="J310" i="13"/>
  <c r="M322" i="13"/>
  <c r="L322" i="13"/>
  <c r="K322" i="13"/>
  <c r="J322" i="13"/>
  <c r="I322" i="13"/>
  <c r="M338" i="13"/>
  <c r="L338" i="13"/>
  <c r="K338" i="13"/>
  <c r="J338" i="13"/>
  <c r="I338" i="13"/>
  <c r="M354" i="13"/>
  <c r="N354" i="13" s="1"/>
  <c r="L354" i="13"/>
  <c r="J354" i="13"/>
  <c r="I354" i="13"/>
  <c r="K354" i="13"/>
  <c r="M366" i="13"/>
  <c r="L366" i="13"/>
  <c r="K366" i="13"/>
  <c r="I366" i="13"/>
  <c r="J366" i="13"/>
  <c r="M382" i="13"/>
  <c r="L382" i="13"/>
  <c r="J382" i="13"/>
  <c r="I382" i="13"/>
  <c r="K382" i="13"/>
  <c r="M398" i="13"/>
  <c r="L398" i="13"/>
  <c r="K398" i="13"/>
  <c r="J398" i="13"/>
  <c r="I398" i="13"/>
  <c r="M418" i="13"/>
  <c r="L418" i="13"/>
  <c r="I418" i="13"/>
  <c r="K418" i="13"/>
  <c r="M434" i="13"/>
  <c r="L434" i="13"/>
  <c r="K434" i="13"/>
  <c r="I434" i="13"/>
  <c r="J434" i="13"/>
  <c r="M454" i="13"/>
  <c r="L454" i="13"/>
  <c r="K454" i="13"/>
  <c r="I454" i="13"/>
  <c r="J454" i="13"/>
  <c r="M474" i="13"/>
  <c r="L474" i="13"/>
  <c r="K474" i="13"/>
  <c r="I474" i="13"/>
  <c r="J474" i="13"/>
  <c r="M498" i="13"/>
  <c r="L498" i="13"/>
  <c r="K498" i="13"/>
  <c r="I498" i="13"/>
  <c r="J498" i="13"/>
  <c r="L19" i="13"/>
  <c r="I19" i="13"/>
  <c r="L31" i="13"/>
  <c r="I31" i="13"/>
  <c r="L43" i="13"/>
  <c r="I43" i="13"/>
  <c r="L55" i="13"/>
  <c r="I55" i="13"/>
  <c r="L67" i="13"/>
  <c r="I67" i="13"/>
  <c r="J67" i="13" s="1"/>
  <c r="L79" i="13"/>
  <c r="J79" i="13"/>
  <c r="I79" i="13"/>
  <c r="L91" i="13"/>
  <c r="I91" i="13"/>
  <c r="L103" i="13"/>
  <c r="I103" i="13"/>
  <c r="J103" i="13" s="1"/>
  <c r="L111" i="13"/>
  <c r="I111" i="13"/>
  <c r="J111" i="13" s="1"/>
  <c r="L119" i="13"/>
  <c r="I119" i="13"/>
  <c r="M131" i="13"/>
  <c r="L131" i="13"/>
  <c r="K131" i="13"/>
  <c r="J131" i="13"/>
  <c r="I131" i="13"/>
  <c r="M143" i="13"/>
  <c r="L143" i="13"/>
  <c r="J143" i="13"/>
  <c r="I143" i="13"/>
  <c r="K143" i="13"/>
  <c r="M155" i="13"/>
  <c r="L155" i="13"/>
  <c r="K155" i="13"/>
  <c r="I155" i="13"/>
  <c r="J155" i="13"/>
  <c r="L167" i="13"/>
  <c r="M167" i="13"/>
  <c r="I167" i="13"/>
  <c r="K167" i="13"/>
  <c r="J167" i="13"/>
  <c r="M179" i="13"/>
  <c r="L179" i="13"/>
  <c r="K179" i="13"/>
  <c r="J179" i="13"/>
  <c r="I179" i="13"/>
  <c r="M191" i="13"/>
  <c r="L191" i="13"/>
  <c r="J191" i="13"/>
  <c r="I191" i="13"/>
  <c r="K191" i="13"/>
  <c r="M203" i="13"/>
  <c r="L203" i="13"/>
  <c r="K203" i="13"/>
  <c r="J203" i="13"/>
  <c r="I203" i="13"/>
  <c r="M211" i="13"/>
  <c r="N211" i="13" s="1"/>
  <c r="L211" i="13"/>
  <c r="K211" i="13"/>
  <c r="J211" i="13"/>
  <c r="I211" i="13"/>
  <c r="M223" i="13"/>
  <c r="N223" i="13" s="1"/>
  <c r="L223" i="13"/>
  <c r="J223" i="13"/>
  <c r="I223" i="13"/>
  <c r="K223" i="13"/>
  <c r="M235" i="13"/>
  <c r="L235" i="13"/>
  <c r="K235" i="13"/>
  <c r="J235" i="13"/>
  <c r="I235" i="13"/>
  <c r="L247" i="13"/>
  <c r="M247" i="13"/>
  <c r="N247" i="13" s="1"/>
  <c r="I247" i="13"/>
  <c r="K247" i="13"/>
  <c r="J247" i="13"/>
  <c r="M255" i="13"/>
  <c r="N255" i="13" s="1"/>
  <c r="L255" i="13"/>
  <c r="J255" i="13"/>
  <c r="I255" i="13"/>
  <c r="K255" i="13"/>
  <c r="M267" i="13"/>
  <c r="L267" i="13"/>
  <c r="K267" i="13"/>
  <c r="J267" i="13"/>
  <c r="I267" i="13"/>
  <c r="M275" i="13"/>
  <c r="L275" i="13"/>
  <c r="K275" i="13"/>
  <c r="J275" i="13"/>
  <c r="I275" i="13"/>
  <c r="M283" i="13"/>
  <c r="L283" i="13"/>
  <c r="K283" i="13"/>
  <c r="J283" i="13"/>
  <c r="I283" i="13"/>
  <c r="L295" i="13"/>
  <c r="M295" i="13"/>
  <c r="J295" i="13"/>
  <c r="I295" i="13"/>
  <c r="K295" i="13"/>
  <c r="M299" i="13"/>
  <c r="L299" i="13"/>
  <c r="K299" i="13"/>
  <c r="J299" i="13"/>
  <c r="I299" i="13"/>
  <c r="L311" i="13"/>
  <c r="M311" i="13"/>
  <c r="J311" i="13"/>
  <c r="I311" i="13"/>
  <c r="K311" i="13"/>
  <c r="M323" i="13"/>
  <c r="L323" i="13"/>
  <c r="K323" i="13"/>
  <c r="J323" i="13"/>
  <c r="I323" i="13"/>
  <c r="M335" i="13"/>
  <c r="N335" i="13" s="1"/>
  <c r="L335" i="13"/>
  <c r="J335" i="13"/>
  <c r="I335" i="13"/>
  <c r="K335" i="13"/>
  <c r="L355" i="13"/>
  <c r="M355" i="13"/>
  <c r="J355" i="13"/>
  <c r="I355" i="13"/>
  <c r="K355" i="13"/>
  <c r="M367" i="13"/>
  <c r="L367" i="13"/>
  <c r="K367" i="13"/>
  <c r="J367" i="13"/>
  <c r="I367" i="13"/>
  <c r="L379" i="13"/>
  <c r="M379" i="13"/>
  <c r="N379" i="13" s="1"/>
  <c r="K379" i="13"/>
  <c r="I379" i="13"/>
  <c r="J379" i="13"/>
  <c r="M391" i="13"/>
  <c r="L391" i="13"/>
  <c r="K391" i="13"/>
  <c r="I391" i="13"/>
  <c r="J391" i="13"/>
  <c r="M403" i="13"/>
  <c r="L403" i="13"/>
  <c r="I403" i="13"/>
  <c r="J403" i="13"/>
  <c r="K403" i="13"/>
  <c r="M415" i="13"/>
  <c r="L415" i="13"/>
  <c r="K415" i="13"/>
  <c r="J415" i="13"/>
  <c r="I415" i="13"/>
  <c r="M427" i="13"/>
  <c r="L427" i="13"/>
  <c r="K427" i="13"/>
  <c r="I427" i="13"/>
  <c r="M435" i="13"/>
  <c r="L435" i="13"/>
  <c r="I435" i="13"/>
  <c r="K435" i="13"/>
  <c r="M447" i="13"/>
  <c r="K447" i="13"/>
  <c r="I447" i="13"/>
  <c r="J447" i="13"/>
  <c r="L447" i="13"/>
  <c r="M459" i="13"/>
  <c r="L459" i="13"/>
  <c r="K459" i="13"/>
  <c r="I459" i="13"/>
  <c r="M471" i="13"/>
  <c r="I471" i="13"/>
  <c r="L471" i="13"/>
  <c r="K471" i="13"/>
  <c r="J471" i="13"/>
  <c r="M483" i="13"/>
  <c r="L483" i="13"/>
  <c r="I483" i="13"/>
  <c r="K483" i="13"/>
  <c r="M495" i="13"/>
  <c r="L495" i="13"/>
  <c r="K495" i="13"/>
  <c r="I495" i="13"/>
  <c r="J495" i="13"/>
  <c r="M507" i="13"/>
  <c r="L507" i="13"/>
  <c r="K507" i="13"/>
  <c r="I507" i="13"/>
  <c r="L12" i="13"/>
  <c r="I12" i="13"/>
  <c r="L24" i="13"/>
  <c r="I24" i="13"/>
  <c r="L32" i="13"/>
  <c r="I32" i="13"/>
  <c r="J32" i="13" s="1"/>
  <c r="L40" i="13"/>
  <c r="I40" i="13"/>
  <c r="J40" i="13" s="1"/>
  <c r="L48" i="13"/>
  <c r="I48" i="13"/>
  <c r="J48" i="13" s="1"/>
  <c r="L56" i="13"/>
  <c r="I56" i="13"/>
  <c r="J56" i="13" s="1"/>
  <c r="L64" i="13"/>
  <c r="I64" i="13"/>
  <c r="J64" i="13" s="1"/>
  <c r="L68" i="13"/>
  <c r="I68" i="13"/>
  <c r="J68" i="13" s="1"/>
  <c r="L72" i="13"/>
  <c r="J72" i="13"/>
  <c r="I72" i="13"/>
  <c r="L76" i="13"/>
  <c r="I76" i="13"/>
  <c r="J76" i="13" s="1"/>
  <c r="L80" i="13"/>
  <c r="I80" i="13"/>
  <c r="J80" i="13" s="1"/>
  <c r="L84" i="13"/>
  <c r="I84" i="13"/>
  <c r="J84" i="13" s="1"/>
  <c r="L88" i="13"/>
  <c r="J88" i="13"/>
  <c r="I88" i="13"/>
  <c r="L92" i="13"/>
  <c r="I92" i="13"/>
  <c r="J92" i="13" s="1"/>
  <c r="L96" i="13"/>
  <c r="I96" i="13"/>
  <c r="J96" i="13" s="1"/>
  <c r="L100" i="13"/>
  <c r="I100" i="13"/>
  <c r="J100" i="13" s="1"/>
  <c r="L104" i="13"/>
  <c r="I104" i="13"/>
  <c r="J104" i="13" s="1"/>
  <c r="L108" i="13"/>
  <c r="I108" i="13"/>
  <c r="J108" i="13" s="1"/>
  <c r="L112" i="13"/>
  <c r="I112" i="13"/>
  <c r="J112" i="13" s="1"/>
  <c r="L116" i="13"/>
  <c r="I116" i="13"/>
  <c r="J116" i="13" s="1"/>
  <c r="M120" i="13"/>
  <c r="N120" i="13" s="1"/>
  <c r="L120" i="13"/>
  <c r="K120" i="13"/>
  <c r="J120" i="13"/>
  <c r="I120" i="13"/>
  <c r="M124" i="13"/>
  <c r="L124" i="13"/>
  <c r="K124" i="13"/>
  <c r="J124" i="13"/>
  <c r="I124" i="13"/>
  <c r="M128" i="13"/>
  <c r="L128" i="13"/>
  <c r="K128" i="13"/>
  <c r="J128" i="13"/>
  <c r="I128" i="13"/>
  <c r="M132" i="13"/>
  <c r="L132" i="13"/>
  <c r="K132" i="13"/>
  <c r="J132" i="13"/>
  <c r="I132" i="13"/>
  <c r="M136" i="13"/>
  <c r="N136" i="13" s="1"/>
  <c r="L136" i="13"/>
  <c r="K136" i="13"/>
  <c r="J136" i="13"/>
  <c r="I136" i="13"/>
  <c r="M140" i="13"/>
  <c r="L140" i="13"/>
  <c r="K140" i="13"/>
  <c r="J140" i="13"/>
  <c r="I140" i="13"/>
  <c r="M144" i="13"/>
  <c r="L144" i="13"/>
  <c r="K144" i="13"/>
  <c r="J144" i="13"/>
  <c r="I144" i="13"/>
  <c r="M148" i="13"/>
  <c r="L148" i="13"/>
  <c r="K148" i="13"/>
  <c r="J148" i="13"/>
  <c r="I148" i="13"/>
  <c r="M152" i="13"/>
  <c r="N152" i="13" s="1"/>
  <c r="L152" i="13"/>
  <c r="K152" i="13"/>
  <c r="J152" i="13"/>
  <c r="I152" i="13"/>
  <c r="M156" i="13"/>
  <c r="L156" i="13"/>
  <c r="K156" i="13"/>
  <c r="J156" i="13"/>
  <c r="I156" i="13"/>
  <c r="M160" i="13"/>
  <c r="L160" i="13"/>
  <c r="K160" i="13"/>
  <c r="J160" i="13"/>
  <c r="I160" i="13"/>
  <c r="M164" i="13"/>
  <c r="L164" i="13"/>
  <c r="K164" i="13"/>
  <c r="J164" i="13"/>
  <c r="I164" i="13"/>
  <c r="M168" i="13"/>
  <c r="N168" i="13" s="1"/>
  <c r="L168" i="13"/>
  <c r="K168" i="13"/>
  <c r="J168" i="13"/>
  <c r="I168" i="13"/>
  <c r="M172" i="13"/>
  <c r="L172" i="13"/>
  <c r="K172" i="13"/>
  <c r="J172" i="13"/>
  <c r="I172" i="13"/>
  <c r="M176" i="13"/>
  <c r="L176" i="13"/>
  <c r="K176" i="13"/>
  <c r="I176" i="13"/>
  <c r="J176" i="13"/>
  <c r="M180" i="13"/>
  <c r="L180" i="13"/>
  <c r="K180" i="13"/>
  <c r="J180" i="13"/>
  <c r="I180" i="13"/>
  <c r="M184" i="13"/>
  <c r="N184" i="13" s="1"/>
  <c r="L184" i="13"/>
  <c r="K184" i="13"/>
  <c r="J184" i="13"/>
  <c r="I184" i="13"/>
  <c r="M188" i="13"/>
  <c r="L188" i="13"/>
  <c r="K188" i="13"/>
  <c r="J188" i="13"/>
  <c r="I188" i="13"/>
  <c r="M192" i="13"/>
  <c r="L192" i="13"/>
  <c r="K192" i="13"/>
  <c r="J192" i="13"/>
  <c r="I192" i="13"/>
  <c r="M196" i="13"/>
  <c r="L196" i="13"/>
  <c r="K196" i="13"/>
  <c r="J196" i="13"/>
  <c r="I196" i="13"/>
  <c r="M200" i="13"/>
  <c r="N200" i="13" s="1"/>
  <c r="L200" i="13"/>
  <c r="K200" i="13"/>
  <c r="J200" i="13"/>
  <c r="I200" i="13"/>
  <c r="M204" i="13"/>
  <c r="L204" i="13"/>
  <c r="K204" i="13"/>
  <c r="J204" i="13"/>
  <c r="I204" i="13"/>
  <c r="M208" i="13"/>
  <c r="L208" i="13"/>
  <c r="K208" i="13"/>
  <c r="J208" i="13"/>
  <c r="I208" i="13"/>
  <c r="M212" i="13"/>
  <c r="L212" i="13"/>
  <c r="K212" i="13"/>
  <c r="J212" i="13"/>
  <c r="I212" i="13"/>
  <c r="M216" i="13"/>
  <c r="N216" i="13" s="1"/>
  <c r="L216" i="13"/>
  <c r="K216" i="13"/>
  <c r="J216" i="13"/>
  <c r="I216" i="13"/>
  <c r="M220" i="13"/>
  <c r="L220" i="13"/>
  <c r="K220" i="13"/>
  <c r="J220" i="13"/>
  <c r="I220" i="13"/>
  <c r="M224" i="13"/>
  <c r="L224" i="13"/>
  <c r="K224" i="13"/>
  <c r="J224" i="13"/>
  <c r="I224" i="13"/>
  <c r="M228" i="13"/>
  <c r="L228" i="13"/>
  <c r="K228" i="13"/>
  <c r="J228" i="13"/>
  <c r="I228" i="13"/>
  <c r="M232" i="13"/>
  <c r="N232" i="13" s="1"/>
  <c r="L232" i="13"/>
  <c r="K232" i="13"/>
  <c r="J232" i="13"/>
  <c r="I232" i="13"/>
  <c r="M236" i="13"/>
  <c r="L236" i="13"/>
  <c r="K236" i="13"/>
  <c r="J236" i="13"/>
  <c r="I236" i="13"/>
  <c r="M240" i="13"/>
  <c r="L240" i="13"/>
  <c r="K240" i="13"/>
  <c r="I240" i="13"/>
  <c r="M244" i="13"/>
  <c r="L244" i="13"/>
  <c r="K244" i="13"/>
  <c r="J244" i="13"/>
  <c r="I244" i="13"/>
  <c r="M248" i="13"/>
  <c r="L248" i="13"/>
  <c r="K248" i="13"/>
  <c r="J248" i="13"/>
  <c r="I248" i="13"/>
  <c r="M252" i="13"/>
  <c r="N252" i="13" s="1"/>
  <c r="L252" i="13"/>
  <c r="K252" i="13"/>
  <c r="J252" i="13"/>
  <c r="I252" i="13"/>
  <c r="M256" i="13"/>
  <c r="L256" i="13"/>
  <c r="K256" i="13"/>
  <c r="J256" i="13"/>
  <c r="M260" i="13"/>
  <c r="L260" i="13"/>
  <c r="K260" i="13"/>
  <c r="J260" i="13"/>
  <c r="I260" i="13"/>
  <c r="M264" i="13"/>
  <c r="L264" i="13"/>
  <c r="K264" i="13"/>
  <c r="J264" i="13"/>
  <c r="M268" i="13"/>
  <c r="L268" i="13"/>
  <c r="K268" i="13"/>
  <c r="J268" i="13"/>
  <c r="I268" i="13"/>
  <c r="M272" i="13"/>
  <c r="L272" i="13"/>
  <c r="K272" i="13"/>
  <c r="J272" i="13"/>
  <c r="M276" i="13"/>
  <c r="L276" i="13"/>
  <c r="K276" i="13"/>
  <c r="J276" i="13"/>
  <c r="I276" i="13"/>
  <c r="M280" i="13"/>
  <c r="N280" i="13" s="1"/>
  <c r="L280" i="13"/>
  <c r="K280" i="13"/>
  <c r="J280" i="13"/>
  <c r="M284" i="13"/>
  <c r="N284" i="13" s="1"/>
  <c r="L284" i="13"/>
  <c r="K284" i="13"/>
  <c r="J284" i="13"/>
  <c r="I284" i="13"/>
  <c r="M288" i="13"/>
  <c r="L288" i="13"/>
  <c r="K288" i="13"/>
  <c r="J288" i="13"/>
  <c r="M292" i="13"/>
  <c r="L292" i="13"/>
  <c r="K292" i="13"/>
  <c r="J292" i="13"/>
  <c r="I292" i="13"/>
  <c r="M296" i="13"/>
  <c r="L296" i="13"/>
  <c r="K296" i="13"/>
  <c r="J296" i="13"/>
  <c r="M300" i="13"/>
  <c r="L300" i="13"/>
  <c r="K300" i="13"/>
  <c r="J300" i="13"/>
  <c r="I300" i="13"/>
  <c r="M304" i="13"/>
  <c r="L304" i="13"/>
  <c r="K304" i="13"/>
  <c r="J304" i="13"/>
  <c r="M308" i="13"/>
  <c r="L308" i="13"/>
  <c r="K308" i="13"/>
  <c r="J308" i="13"/>
  <c r="I308" i="13"/>
  <c r="M312" i="13"/>
  <c r="N312" i="13" s="1"/>
  <c r="L312" i="13"/>
  <c r="K312" i="13"/>
  <c r="J312" i="13"/>
  <c r="M316" i="13"/>
  <c r="N316" i="13" s="1"/>
  <c r="L316" i="13"/>
  <c r="K316" i="13"/>
  <c r="J316" i="13"/>
  <c r="I316" i="13"/>
  <c r="M320" i="13"/>
  <c r="L320" i="13"/>
  <c r="K320" i="13"/>
  <c r="J320" i="13"/>
  <c r="M324" i="13"/>
  <c r="L324" i="13"/>
  <c r="K324" i="13"/>
  <c r="J324" i="13"/>
  <c r="I324" i="13"/>
  <c r="M328" i="13"/>
  <c r="L328" i="13"/>
  <c r="K328" i="13"/>
  <c r="J328" i="13"/>
  <c r="M332" i="13"/>
  <c r="L332" i="13"/>
  <c r="K332" i="13"/>
  <c r="J332" i="13"/>
  <c r="I332" i="13"/>
  <c r="M336" i="13"/>
  <c r="L336" i="13"/>
  <c r="K336" i="13"/>
  <c r="J336" i="13"/>
  <c r="M340" i="13"/>
  <c r="L340" i="13"/>
  <c r="K340" i="13"/>
  <c r="J340" i="13"/>
  <c r="I340" i="13"/>
  <c r="M344" i="13"/>
  <c r="N344" i="13" s="1"/>
  <c r="L344" i="13"/>
  <c r="K344" i="13"/>
  <c r="J344" i="13"/>
  <c r="M348" i="13"/>
  <c r="N348" i="13" s="1"/>
  <c r="L348" i="13"/>
  <c r="K348" i="13"/>
  <c r="J348" i="13"/>
  <c r="I348" i="13"/>
  <c r="L352" i="13"/>
  <c r="K352" i="13"/>
  <c r="J352" i="13"/>
  <c r="M352" i="13"/>
  <c r="L356" i="13"/>
  <c r="M356" i="13"/>
  <c r="K356" i="13"/>
  <c r="J356" i="13"/>
  <c r="I356" i="13"/>
  <c r="L360" i="13"/>
  <c r="K360" i="13"/>
  <c r="M360" i="13"/>
  <c r="J360" i="13"/>
  <c r="L364" i="13"/>
  <c r="M364" i="13"/>
  <c r="K364" i="13"/>
  <c r="J364" i="13"/>
  <c r="I364" i="13"/>
  <c r="L368" i="13"/>
  <c r="K368" i="13"/>
  <c r="J368" i="13"/>
  <c r="M368" i="13"/>
  <c r="L372" i="13"/>
  <c r="M372" i="13"/>
  <c r="N372" i="13" s="1"/>
  <c r="K372" i="13"/>
  <c r="J372" i="13"/>
  <c r="I372" i="13"/>
  <c r="L376" i="13"/>
  <c r="K376" i="13"/>
  <c r="M376" i="13"/>
  <c r="N376" i="13" s="1"/>
  <c r="J376" i="13"/>
  <c r="L380" i="13"/>
  <c r="M380" i="13"/>
  <c r="K380" i="13"/>
  <c r="J380" i="13"/>
  <c r="I380" i="13"/>
  <c r="L384" i="13"/>
  <c r="K384" i="13"/>
  <c r="J384" i="13"/>
  <c r="M384" i="13"/>
  <c r="N384" i="13" s="1"/>
  <c r="L388" i="13"/>
  <c r="M388" i="13"/>
  <c r="K388" i="13"/>
  <c r="J388" i="13"/>
  <c r="I388" i="13"/>
  <c r="L392" i="13"/>
  <c r="K392" i="13"/>
  <c r="M392" i="13"/>
  <c r="N392" i="13" s="1"/>
  <c r="J392" i="13"/>
  <c r="L396" i="13"/>
  <c r="M396" i="13"/>
  <c r="K396" i="13"/>
  <c r="J396" i="13"/>
  <c r="I396" i="13"/>
  <c r="L400" i="13"/>
  <c r="K400" i="13"/>
  <c r="M400" i="13"/>
  <c r="J400" i="13"/>
  <c r="L404" i="13"/>
  <c r="M404" i="13"/>
  <c r="N404" i="13" s="1"/>
  <c r="K404" i="13"/>
  <c r="J404" i="13"/>
  <c r="I404" i="13"/>
  <c r="L408" i="13"/>
  <c r="K408" i="13"/>
  <c r="M408" i="13"/>
  <c r="J408" i="13"/>
  <c r="L412" i="13"/>
  <c r="M412" i="13"/>
  <c r="N412" i="13" s="1"/>
  <c r="K412" i="13"/>
  <c r="J412" i="13"/>
  <c r="I412" i="13"/>
  <c r="L416" i="13"/>
  <c r="K416" i="13"/>
  <c r="J416" i="13"/>
  <c r="M416" i="13"/>
  <c r="L420" i="13"/>
  <c r="M420" i="13"/>
  <c r="K420" i="13"/>
  <c r="J420" i="13"/>
  <c r="I420" i="13"/>
  <c r="L424" i="13"/>
  <c r="K424" i="13"/>
  <c r="M424" i="13"/>
  <c r="J424" i="13"/>
  <c r="L428" i="13"/>
  <c r="M428" i="13"/>
  <c r="K428" i="13"/>
  <c r="J428" i="13"/>
  <c r="I428" i="13"/>
  <c r="L432" i="13"/>
  <c r="K432" i="13"/>
  <c r="M432" i="13"/>
  <c r="J432" i="13"/>
  <c r="L436" i="13"/>
  <c r="M436" i="13"/>
  <c r="N436" i="13" s="1"/>
  <c r="K436" i="13"/>
  <c r="J436" i="13"/>
  <c r="I436" i="13"/>
  <c r="L440" i="13"/>
  <c r="K440" i="13"/>
  <c r="M440" i="13"/>
  <c r="N440" i="13" s="1"/>
  <c r="J440" i="13"/>
  <c r="L444" i="13"/>
  <c r="M444" i="13"/>
  <c r="N444" i="13" s="1"/>
  <c r="K444" i="13"/>
  <c r="J444" i="13"/>
  <c r="I444" i="13"/>
  <c r="L448" i="13"/>
  <c r="K448" i="13"/>
  <c r="M448" i="13"/>
  <c r="J448" i="13"/>
  <c r="L452" i="13"/>
  <c r="M452" i="13"/>
  <c r="K452" i="13"/>
  <c r="J452" i="13"/>
  <c r="I452" i="13"/>
  <c r="L456" i="13"/>
  <c r="K456" i="13"/>
  <c r="M456" i="13"/>
  <c r="N456" i="13" s="1"/>
  <c r="J456" i="13"/>
  <c r="L460" i="13"/>
  <c r="M460" i="13"/>
  <c r="K460" i="13"/>
  <c r="J460" i="13"/>
  <c r="I460" i="13"/>
  <c r="L464" i="13"/>
  <c r="K464" i="13"/>
  <c r="M464" i="13"/>
  <c r="J464" i="13"/>
  <c r="L468" i="13"/>
  <c r="M468" i="13"/>
  <c r="N468" i="13" s="1"/>
  <c r="K468" i="13"/>
  <c r="J468" i="13"/>
  <c r="I468" i="13"/>
  <c r="L472" i="13"/>
  <c r="K472" i="13"/>
  <c r="M472" i="13"/>
  <c r="J472" i="13"/>
  <c r="L476" i="13"/>
  <c r="M476" i="13"/>
  <c r="N476" i="13" s="1"/>
  <c r="K476" i="13"/>
  <c r="J476" i="13"/>
  <c r="I476" i="13"/>
  <c r="L480" i="13"/>
  <c r="K480" i="13"/>
  <c r="M480" i="13"/>
  <c r="J480" i="13"/>
  <c r="L484" i="13"/>
  <c r="M484" i="13"/>
  <c r="K484" i="13"/>
  <c r="J484" i="13"/>
  <c r="I484" i="13"/>
  <c r="L488" i="13"/>
  <c r="K488" i="13"/>
  <c r="M488" i="13"/>
  <c r="J488" i="13"/>
  <c r="L492" i="13"/>
  <c r="M492" i="13"/>
  <c r="K492" i="13"/>
  <c r="J492" i="13"/>
  <c r="I492" i="13"/>
  <c r="L496" i="13"/>
  <c r="K496" i="13"/>
  <c r="M496" i="13"/>
  <c r="J496" i="13"/>
  <c r="L500" i="13"/>
  <c r="M500" i="13"/>
  <c r="N500" i="13" s="1"/>
  <c r="K500" i="13"/>
  <c r="J500" i="13"/>
  <c r="I500" i="13"/>
  <c r="L504" i="13"/>
  <c r="K504" i="13"/>
  <c r="M504" i="13"/>
  <c r="N504" i="13" s="1"/>
  <c r="J504" i="13"/>
  <c r="L508" i="13"/>
  <c r="M508" i="13"/>
  <c r="N508" i="13" s="1"/>
  <c r="K508" i="13"/>
  <c r="J508" i="13"/>
  <c r="I508" i="13"/>
  <c r="I504" i="13"/>
  <c r="I488" i="13"/>
  <c r="I472" i="13"/>
  <c r="I456" i="13"/>
  <c r="I440" i="13"/>
  <c r="I424" i="13"/>
  <c r="I408" i="13"/>
  <c r="I392" i="13"/>
  <c r="I376" i="13"/>
  <c r="I360" i="13"/>
  <c r="I344" i="13"/>
  <c r="I328" i="13"/>
  <c r="I312" i="13"/>
  <c r="I296" i="13"/>
  <c r="I280" i="13"/>
  <c r="I264" i="13"/>
  <c r="I241" i="13"/>
  <c r="I209" i="13"/>
  <c r="I177" i="13"/>
  <c r="I145" i="13"/>
  <c r="I113" i="13"/>
  <c r="J113" i="13" s="1"/>
  <c r="I81" i="13"/>
  <c r="J81" i="13" s="1"/>
  <c r="I49" i="13"/>
  <c r="J49" i="13" s="1"/>
  <c r="I17" i="13"/>
  <c r="J483" i="13"/>
  <c r="J451" i="13"/>
  <c r="J418" i="13"/>
  <c r="J375" i="13"/>
  <c r="J313" i="13"/>
  <c r="J240" i="13"/>
  <c r="I10" i="13"/>
  <c r="F9" i="13"/>
  <c r="H9" i="13" s="1"/>
  <c r="J9" i="13" s="1"/>
  <c r="C11" i="13"/>
  <c r="C16" i="13"/>
  <c r="C17" i="13"/>
  <c r="C19" i="13"/>
  <c r="C21" i="13"/>
  <c r="N471" i="13" l="1"/>
  <c r="N391" i="13"/>
  <c r="N418" i="13"/>
  <c r="N294" i="13"/>
  <c r="N207" i="13"/>
  <c r="N159" i="13"/>
  <c r="N226" i="13"/>
  <c r="N506" i="13"/>
  <c r="N250" i="13"/>
  <c r="N489" i="13"/>
  <c r="N461" i="13"/>
  <c r="N457" i="13"/>
  <c r="N429" i="13"/>
  <c r="N425" i="13"/>
  <c r="N341" i="13"/>
  <c r="N329" i="13"/>
  <c r="N277" i="13"/>
  <c r="N237" i="13"/>
  <c r="N233" i="13"/>
  <c r="N205" i="13"/>
  <c r="N173" i="13"/>
  <c r="N169" i="13"/>
  <c r="N161" i="13"/>
  <c r="N141" i="13"/>
  <c r="N431" i="13"/>
  <c r="N466" i="13"/>
  <c r="N414" i="13"/>
  <c r="N358" i="13"/>
  <c r="N238" i="13"/>
  <c r="N170" i="13"/>
  <c r="N480" i="13"/>
  <c r="N340" i="13"/>
  <c r="N304" i="13"/>
  <c r="N276" i="13"/>
  <c r="N248" i="13"/>
  <c r="N228" i="13"/>
  <c r="N196" i="13"/>
  <c r="N164" i="13"/>
  <c r="N132" i="13"/>
  <c r="N311" i="13"/>
  <c r="N283" i="13"/>
  <c r="N203" i="13"/>
  <c r="N498" i="13"/>
  <c r="N398" i="13"/>
  <c r="N282" i="13"/>
  <c r="N174" i="13"/>
  <c r="N479" i="13"/>
  <c r="N387" i="13"/>
  <c r="N291" i="13"/>
  <c r="N195" i="13"/>
  <c r="N135" i="13"/>
  <c r="N278" i="13"/>
  <c r="N502" i="13"/>
  <c r="N378" i="13"/>
  <c r="N485" i="13"/>
  <c r="N449" i="13"/>
  <c r="N421" i="13"/>
  <c r="N377" i="13"/>
  <c r="N333" i="13"/>
  <c r="N193" i="13"/>
  <c r="N419" i="13"/>
  <c r="N359" i="13"/>
  <c r="N259" i="13"/>
  <c r="N450" i="13"/>
  <c r="N342" i="13"/>
  <c r="N176" i="13"/>
  <c r="N143" i="13"/>
  <c r="N455" i="13"/>
  <c r="N363" i="13"/>
  <c r="N422" i="13"/>
  <c r="N334" i="13"/>
  <c r="N426" i="13"/>
  <c r="N286" i="13"/>
  <c r="N395" i="13"/>
  <c r="N303" i="13"/>
  <c r="N231" i="13"/>
  <c r="N187" i="13"/>
  <c r="N494" i="13"/>
  <c r="N390" i="13"/>
  <c r="N496" i="13"/>
  <c r="N464" i="13"/>
  <c r="N432" i="13"/>
  <c r="N400" i="13"/>
  <c r="N324" i="13"/>
  <c r="N288" i="13"/>
  <c r="N260" i="13"/>
  <c r="N220" i="13"/>
  <c r="N188" i="13"/>
  <c r="N156" i="13"/>
  <c r="N124" i="13"/>
  <c r="N295" i="13"/>
  <c r="N267" i="13"/>
  <c r="N179" i="13"/>
  <c r="N310" i="13"/>
  <c r="N254" i="13"/>
  <c r="N142" i="13"/>
  <c r="N171" i="13"/>
  <c r="N123" i="13"/>
  <c r="N402" i="13"/>
  <c r="N318" i="13"/>
  <c r="N246" i="13"/>
  <c r="N346" i="13"/>
  <c r="N126" i="13"/>
  <c r="N497" i="13"/>
  <c r="N257" i="13"/>
  <c r="N430" i="13"/>
  <c r="N492" i="13"/>
  <c r="N448" i="13"/>
  <c r="N428" i="13"/>
  <c r="N364" i="13"/>
  <c r="N336" i="13"/>
  <c r="N308" i="13"/>
  <c r="E308" i="19" s="1"/>
  <c r="N272" i="13"/>
  <c r="N212" i="13"/>
  <c r="E212" i="19" s="1"/>
  <c r="N180" i="13"/>
  <c r="N148" i="13"/>
  <c r="N447" i="13"/>
  <c r="N323" i="13"/>
  <c r="N155" i="13"/>
  <c r="N338" i="13"/>
  <c r="E338" i="19" s="1"/>
  <c r="N230" i="13"/>
  <c r="N399" i="13"/>
  <c r="E399" i="19" s="1"/>
  <c r="N239" i="13"/>
  <c r="N183" i="13"/>
  <c r="N147" i="13"/>
  <c r="N438" i="13"/>
  <c r="N350" i="13"/>
  <c r="N210" i="13"/>
  <c r="N442" i="13"/>
  <c r="N306" i="13"/>
  <c r="E306" i="19" s="1"/>
  <c r="N166" i="13"/>
  <c r="N481" i="13"/>
  <c r="N453" i="13"/>
  <c r="N417" i="13"/>
  <c r="N381" i="13"/>
  <c r="N321" i="13"/>
  <c r="E321" i="19" s="1"/>
  <c r="N313" i="13"/>
  <c r="N269" i="13"/>
  <c r="E269" i="19" s="1"/>
  <c r="N261" i="13"/>
  <c r="N197" i="13"/>
  <c r="N133" i="13"/>
  <c r="N487" i="13"/>
  <c r="N407" i="13"/>
  <c r="N315" i="13"/>
  <c r="E315" i="19" s="1"/>
  <c r="N406" i="13"/>
  <c r="N290" i="13"/>
  <c r="E290" i="19" s="1"/>
  <c r="N162" i="13"/>
  <c r="N484" i="13"/>
  <c r="N420" i="13"/>
  <c r="N368" i="13"/>
  <c r="N356" i="13"/>
  <c r="N328" i="13"/>
  <c r="E328" i="19" s="1"/>
  <c r="N300" i="13"/>
  <c r="N264" i="13"/>
  <c r="E264" i="19" s="1"/>
  <c r="N244" i="13"/>
  <c r="N224" i="13"/>
  <c r="N192" i="13"/>
  <c r="N160" i="13"/>
  <c r="N128" i="13"/>
  <c r="N367" i="13"/>
  <c r="E367" i="19" s="1"/>
  <c r="N275" i="13"/>
  <c r="N191" i="13"/>
  <c r="E191" i="19" s="1"/>
  <c r="N474" i="13"/>
  <c r="N382" i="13"/>
  <c r="N154" i="13"/>
  <c r="N375" i="13"/>
  <c r="N271" i="13"/>
  <c r="N215" i="13"/>
  <c r="E215" i="19" s="1"/>
  <c r="N486" i="13"/>
  <c r="N122" i="13"/>
  <c r="N490" i="13"/>
  <c r="N362" i="13"/>
  <c r="N218" i="13"/>
  <c r="N473" i="13"/>
  <c r="N445" i="13"/>
  <c r="N409" i="13"/>
  <c r="E409" i="19" s="1"/>
  <c r="N373" i="13"/>
  <c r="N305" i="13"/>
  <c r="E305" i="19" s="1"/>
  <c r="N297" i="13"/>
  <c r="N289" i="13"/>
  <c r="N253" i="13"/>
  <c r="N189" i="13"/>
  <c r="N125" i="13"/>
  <c r="N463" i="13"/>
  <c r="N347" i="13"/>
  <c r="N243" i="13"/>
  <c r="E243" i="19" s="1"/>
  <c r="N139" i="13"/>
  <c r="N446" i="13"/>
  <c r="N330" i="13"/>
  <c r="N256" i="13"/>
  <c r="N172" i="13"/>
  <c r="N483" i="13"/>
  <c r="E483" i="19" s="1"/>
  <c r="N403" i="13"/>
  <c r="N299" i="13"/>
  <c r="E299" i="19" s="1"/>
  <c r="N167" i="13"/>
  <c r="N131" i="13"/>
  <c r="N410" i="13"/>
  <c r="N501" i="13"/>
  <c r="N465" i="13"/>
  <c r="N437" i="13"/>
  <c r="E437" i="19" s="1"/>
  <c r="N401" i="13"/>
  <c r="N357" i="13"/>
  <c r="E357" i="19" s="1"/>
  <c r="N281" i="13"/>
  <c r="N209" i="13"/>
  <c r="N145" i="13"/>
  <c r="N439" i="13"/>
  <c r="N383" i="13"/>
  <c r="N482" i="13"/>
  <c r="E482" i="19" s="1"/>
  <c r="N374" i="13"/>
  <c r="N134" i="13"/>
  <c r="N292" i="13"/>
  <c r="N236" i="13"/>
  <c r="N204" i="13"/>
  <c r="N140" i="13"/>
  <c r="N488" i="13"/>
  <c r="N424" i="13"/>
  <c r="E424" i="19" s="1"/>
  <c r="N416" i="13"/>
  <c r="N360" i="13"/>
  <c r="E360" i="19" s="1"/>
  <c r="N352" i="13"/>
  <c r="N434" i="13"/>
  <c r="N411" i="13"/>
  <c r="N251" i="13"/>
  <c r="N458" i="13"/>
  <c r="N462" i="13"/>
  <c r="E462" i="19" s="1"/>
  <c r="N326" i="13"/>
  <c r="N182" i="13"/>
  <c r="E182" i="19" s="1"/>
  <c r="N493" i="13"/>
  <c r="N201" i="13"/>
  <c r="N137" i="13"/>
  <c r="N499" i="13"/>
  <c r="N219" i="13"/>
  <c r="N302" i="13"/>
  <c r="E302" i="19" s="1"/>
  <c r="N138" i="13"/>
  <c r="N234" i="13"/>
  <c r="E234" i="19" s="1"/>
  <c r="N325" i="13"/>
  <c r="N265" i="13"/>
  <c r="N229" i="13"/>
  <c r="N165" i="13"/>
  <c r="N475" i="13"/>
  <c r="N222" i="13"/>
  <c r="E222" i="19" s="1"/>
  <c r="N320" i="13"/>
  <c r="N460" i="13"/>
  <c r="E460" i="19" s="1"/>
  <c r="N396" i="13"/>
  <c r="N472" i="13"/>
  <c r="N452" i="13"/>
  <c r="N408" i="13"/>
  <c r="N388" i="13"/>
  <c r="N332" i="13"/>
  <c r="N296" i="13"/>
  <c r="N268" i="13"/>
  <c r="E268" i="19" s="1"/>
  <c r="N240" i="13"/>
  <c r="N208" i="13"/>
  <c r="N144" i="13"/>
  <c r="E144" i="19" s="1"/>
  <c r="N415" i="13"/>
  <c r="N355" i="13"/>
  <c r="N235" i="13"/>
  <c r="E235" i="19" s="1"/>
  <c r="N322" i="13"/>
  <c r="N214" i="13"/>
  <c r="E214" i="19" s="1"/>
  <c r="N331" i="13"/>
  <c r="N263" i="13"/>
  <c r="N227" i="13"/>
  <c r="N477" i="13"/>
  <c r="N413" i="13"/>
  <c r="N369" i="13"/>
  <c r="E369" i="19" s="1"/>
  <c r="N317" i="13"/>
  <c r="N451" i="13"/>
  <c r="E451" i="19" s="1"/>
  <c r="N274" i="13"/>
  <c r="N380" i="13"/>
  <c r="N495" i="13"/>
  <c r="N454" i="13"/>
  <c r="N366" i="13"/>
  <c r="N423" i="13"/>
  <c r="E423" i="19" s="1"/>
  <c r="N470" i="13"/>
  <c r="N386" i="13"/>
  <c r="E386" i="19" s="1"/>
  <c r="N478" i="13"/>
  <c r="N198" i="13"/>
  <c r="N469" i="13"/>
  <c r="E469" i="19" s="1"/>
  <c r="N433" i="13"/>
  <c r="N405" i="13"/>
  <c r="N397" i="13"/>
  <c r="E397" i="19" s="1"/>
  <c r="N345" i="13"/>
  <c r="N241" i="13"/>
  <c r="E241" i="19" s="1"/>
  <c r="N225" i="13"/>
  <c r="N213" i="13"/>
  <c r="E213" i="19" s="1"/>
  <c r="N177" i="13"/>
  <c r="E177" i="19" s="1"/>
  <c r="N149" i="13"/>
  <c r="N371" i="13"/>
  <c r="N339" i="13"/>
  <c r="E339" i="19" s="1"/>
  <c r="N279" i="13"/>
  <c r="N314" i="13"/>
  <c r="E314" i="19" s="1"/>
  <c r="N459" i="13"/>
  <c r="E459" i="19" s="1"/>
  <c r="N435" i="13"/>
  <c r="E435" i="19" s="1"/>
  <c r="N427" i="13"/>
  <c r="E427" i="19" s="1"/>
  <c r="N467" i="13"/>
  <c r="E467" i="19" s="1"/>
  <c r="N507" i="13"/>
  <c r="E507" i="19" s="1"/>
  <c r="N443" i="13"/>
  <c r="E443" i="19" s="1"/>
  <c r="J47" i="13"/>
  <c r="J109" i="13"/>
  <c r="J45" i="13"/>
  <c r="J31" i="13"/>
  <c r="J69" i="13"/>
  <c r="J119" i="13"/>
  <c r="J27" i="13"/>
  <c r="J59" i="13"/>
  <c r="J33" i="13"/>
  <c r="J101" i="13"/>
  <c r="J37" i="13"/>
  <c r="J65" i="13"/>
  <c r="J105" i="13"/>
  <c r="J87" i="13"/>
  <c r="J97" i="13"/>
  <c r="J55" i="13"/>
  <c r="J57" i="13"/>
  <c r="J75" i="13"/>
  <c r="J43" i="13"/>
  <c r="J107" i="13"/>
  <c r="J85" i="13"/>
  <c r="J117" i="13"/>
  <c r="J53" i="13"/>
  <c r="J115" i="13"/>
  <c r="J83" i="13"/>
  <c r="E134" i="19"/>
  <c r="E504" i="19"/>
  <c r="E472" i="19"/>
  <c r="E440" i="19"/>
  <c r="E408" i="19"/>
  <c r="E376" i="19"/>
  <c r="E254" i="19"/>
  <c r="E142" i="19"/>
  <c r="E158" i="19"/>
  <c r="E198" i="19"/>
  <c r="E126" i="19"/>
  <c r="E414" i="19"/>
  <c r="E170" i="19"/>
  <c r="E265" i="19"/>
  <c r="E508" i="19"/>
  <c r="E476" i="19"/>
  <c r="E444" i="19"/>
  <c r="E412" i="19"/>
  <c r="E380" i="19"/>
  <c r="E354" i="19"/>
  <c r="E242" i="19"/>
  <c r="E130" i="19"/>
  <c r="E207" i="19"/>
  <c r="E159" i="19"/>
  <c r="E210" i="19"/>
  <c r="E138" i="19"/>
  <c r="E250" i="19"/>
  <c r="E505" i="19"/>
  <c r="E473" i="19"/>
  <c r="E441" i="19"/>
  <c r="E309" i="19"/>
  <c r="E289" i="19"/>
  <c r="E253" i="19"/>
  <c r="E221" i="19"/>
  <c r="E189" i="19"/>
  <c r="E157" i="19"/>
  <c r="E125" i="19"/>
  <c r="E359" i="19"/>
  <c r="E416" i="19"/>
  <c r="E384" i="19"/>
  <c r="E352" i="19"/>
  <c r="E348" i="19"/>
  <c r="E344" i="19"/>
  <c r="E316" i="19"/>
  <c r="E312" i="19"/>
  <c r="E284" i="19"/>
  <c r="E280" i="19"/>
  <c r="E252" i="19"/>
  <c r="E232" i="19"/>
  <c r="E216" i="19"/>
  <c r="E200" i="19"/>
  <c r="E184" i="19"/>
  <c r="E168" i="19"/>
  <c r="E152" i="19"/>
  <c r="E136" i="19"/>
  <c r="E120" i="19"/>
  <c r="E415" i="19"/>
  <c r="E275" i="19"/>
  <c r="E398" i="19"/>
  <c r="E282" i="19"/>
  <c r="E230" i="19"/>
  <c r="E174" i="19"/>
  <c r="E387" i="19"/>
  <c r="E291" i="19"/>
  <c r="E195" i="19"/>
  <c r="E183" i="19"/>
  <c r="E147" i="19"/>
  <c r="E135" i="19"/>
  <c r="E262" i="19"/>
  <c r="E378" i="19"/>
  <c r="E166" i="19"/>
  <c r="E501" i="19"/>
  <c r="E497" i="19"/>
  <c r="E465" i="19"/>
  <c r="E433" i="19"/>
  <c r="E405" i="19"/>
  <c r="E401" i="19"/>
  <c r="E353" i="19"/>
  <c r="E301" i="19"/>
  <c r="E209" i="19"/>
  <c r="E145" i="19"/>
  <c r="E347" i="19"/>
  <c r="E231" i="19"/>
  <c r="E139" i="19"/>
  <c r="E372" i="19"/>
  <c r="E240" i="19"/>
  <c r="E496" i="19"/>
  <c r="E464" i="19"/>
  <c r="E432" i="19"/>
  <c r="E400" i="19"/>
  <c r="E324" i="19"/>
  <c r="E320" i="19"/>
  <c r="E292" i="19"/>
  <c r="E288" i="19"/>
  <c r="E260" i="19"/>
  <c r="E256" i="19"/>
  <c r="E236" i="19"/>
  <c r="E220" i="19"/>
  <c r="E204" i="19"/>
  <c r="E188" i="19"/>
  <c r="E172" i="19"/>
  <c r="E156" i="19"/>
  <c r="E140" i="19"/>
  <c r="E124" i="19"/>
  <c r="E311" i="19"/>
  <c r="E190" i="19"/>
  <c r="E491" i="19"/>
  <c r="E343" i="19"/>
  <c r="E361" i="19"/>
  <c r="E297" i="19"/>
  <c r="E249" i="19"/>
  <c r="E217" i="19"/>
  <c r="E185" i="19"/>
  <c r="E153" i="19"/>
  <c r="E121" i="19"/>
  <c r="E238" i="19"/>
  <c r="E500" i="19"/>
  <c r="E468" i="19"/>
  <c r="E436" i="19"/>
  <c r="E404" i="19"/>
  <c r="E143" i="19"/>
  <c r="E239" i="19"/>
  <c r="E194" i="19"/>
  <c r="E122" i="19"/>
  <c r="E393" i="19"/>
  <c r="E365" i="19"/>
  <c r="E293" i="19"/>
  <c r="E245" i="19"/>
  <c r="E181" i="19"/>
  <c r="E149" i="19"/>
  <c r="E303" i="19"/>
  <c r="E355" i="19"/>
  <c r="E345" i="19"/>
  <c r="E257" i="19"/>
  <c r="E225" i="19"/>
  <c r="E129" i="19"/>
  <c r="E162" i="19"/>
  <c r="E456" i="19"/>
  <c r="E484" i="19"/>
  <c r="E452" i="19"/>
  <c r="E420" i="19"/>
  <c r="E388" i="19"/>
  <c r="E368" i="19"/>
  <c r="E356" i="19"/>
  <c r="E332" i="19"/>
  <c r="E300" i="19"/>
  <c r="E296" i="19"/>
  <c r="E244" i="19"/>
  <c r="E224" i="19"/>
  <c r="E208" i="19"/>
  <c r="E192" i="19"/>
  <c r="E176" i="19"/>
  <c r="E160" i="19"/>
  <c r="E128" i="19"/>
  <c r="E471" i="19"/>
  <c r="E391" i="19"/>
  <c r="E379" i="19"/>
  <c r="E335" i="19"/>
  <c r="E255" i="19"/>
  <c r="E247" i="19"/>
  <c r="E211" i="19"/>
  <c r="E454" i="19"/>
  <c r="E366" i="19"/>
  <c r="E310" i="19"/>
  <c r="E202" i="19"/>
  <c r="E319" i="19"/>
  <c r="E171" i="19"/>
  <c r="E123" i="19"/>
  <c r="E458" i="19"/>
  <c r="E370" i="19"/>
  <c r="E298" i="19"/>
  <c r="E226" i="19"/>
  <c r="E478" i="19"/>
  <c r="E410" i="19"/>
  <c r="E346" i="19"/>
  <c r="E266" i="19"/>
  <c r="E485" i="19"/>
  <c r="E481" i="19"/>
  <c r="E453" i="19"/>
  <c r="E449" i="19"/>
  <c r="E421" i="19"/>
  <c r="E417" i="19"/>
  <c r="E381" i="19"/>
  <c r="E377" i="19"/>
  <c r="E333" i="19"/>
  <c r="E325" i="19"/>
  <c r="E313" i="19"/>
  <c r="E261" i="19"/>
  <c r="E229" i="19"/>
  <c r="E197" i="19"/>
  <c r="E193" i="19"/>
  <c r="E165" i="19"/>
  <c r="E133" i="19"/>
  <c r="E499" i="19"/>
  <c r="E431" i="19"/>
  <c r="E219" i="19"/>
  <c r="E199" i="19"/>
  <c r="E163" i="19"/>
  <c r="E151" i="19"/>
  <c r="E430" i="19"/>
  <c r="E374" i="19"/>
  <c r="E258" i="19"/>
  <c r="E186" i="19"/>
  <c r="E447" i="19"/>
  <c r="E323" i="19"/>
  <c r="E283" i="19"/>
  <c r="E203" i="19"/>
  <c r="E155" i="19"/>
  <c r="E434" i="19"/>
  <c r="E418" i="19"/>
  <c r="E294" i="19"/>
  <c r="E503" i="19"/>
  <c r="E411" i="19"/>
  <c r="E351" i="19"/>
  <c r="E307" i="19"/>
  <c r="E251" i="19"/>
  <c r="E438" i="19"/>
  <c r="E350" i="19"/>
  <c r="E278" i="19"/>
  <c r="E506" i="19"/>
  <c r="E394" i="19"/>
  <c r="E326" i="19"/>
  <c r="E477" i="19"/>
  <c r="E445" i="19"/>
  <c r="E413" i="19"/>
  <c r="E373" i="19"/>
  <c r="E317" i="19"/>
  <c r="E487" i="19"/>
  <c r="E475" i="19"/>
  <c r="E419" i="19"/>
  <c r="E407" i="19"/>
  <c r="E259" i="19"/>
  <c r="E466" i="19"/>
  <c r="E358" i="19"/>
  <c r="E488" i="19"/>
  <c r="E498" i="19"/>
  <c r="E479" i="19"/>
  <c r="E486" i="19"/>
  <c r="E422" i="19"/>
  <c r="E334" i="19"/>
  <c r="E502" i="19"/>
  <c r="E442" i="19"/>
  <c r="E281" i="19"/>
  <c r="E463" i="19"/>
  <c r="E395" i="19"/>
  <c r="E187" i="19"/>
  <c r="E450" i="19"/>
  <c r="E406" i="19"/>
  <c r="E342" i="19"/>
  <c r="E392" i="19"/>
  <c r="E492" i="19"/>
  <c r="E480" i="19"/>
  <c r="E448" i="19"/>
  <c r="E428" i="19"/>
  <c r="E396" i="19"/>
  <c r="E364" i="19"/>
  <c r="E340" i="19"/>
  <c r="E336" i="19"/>
  <c r="E304" i="19"/>
  <c r="E276" i="19"/>
  <c r="E272" i="19"/>
  <c r="E248" i="19"/>
  <c r="E228" i="19"/>
  <c r="E196" i="19"/>
  <c r="E180" i="19"/>
  <c r="E164" i="19"/>
  <c r="E148" i="19"/>
  <c r="E132" i="19"/>
  <c r="E495" i="19"/>
  <c r="E403" i="19"/>
  <c r="E295" i="19"/>
  <c r="E267" i="19"/>
  <c r="E223" i="19"/>
  <c r="E179" i="19"/>
  <c r="E167" i="19"/>
  <c r="E131" i="19"/>
  <c r="E474" i="19"/>
  <c r="E382" i="19"/>
  <c r="E322" i="19"/>
  <c r="E270" i="19"/>
  <c r="E154" i="19"/>
  <c r="E455" i="19"/>
  <c r="E375" i="19"/>
  <c r="E363" i="19"/>
  <c r="E331" i="19"/>
  <c r="E271" i="19"/>
  <c r="E263" i="19"/>
  <c r="E227" i="19"/>
  <c r="E470" i="19"/>
  <c r="E402" i="19"/>
  <c r="E318" i="19"/>
  <c r="E246" i="19"/>
  <c r="E178" i="19"/>
  <c r="E490" i="19"/>
  <c r="E426" i="19"/>
  <c r="E362" i="19"/>
  <c r="E286" i="19"/>
  <c r="E218" i="19"/>
  <c r="E146" i="19"/>
  <c r="E493" i="19"/>
  <c r="E489" i="19"/>
  <c r="E461" i="19"/>
  <c r="E457" i="19"/>
  <c r="E429" i="19"/>
  <c r="E425" i="19"/>
  <c r="E389" i="19"/>
  <c r="E385" i="19"/>
  <c r="E349" i="19"/>
  <c r="E341" i="19"/>
  <c r="E337" i="19"/>
  <c r="E329" i="19"/>
  <c r="E285" i="19"/>
  <c r="E277" i="19"/>
  <c r="E273" i="19"/>
  <c r="E237" i="19"/>
  <c r="E233" i="19"/>
  <c r="E205" i="19"/>
  <c r="E201" i="19"/>
  <c r="E173" i="19"/>
  <c r="E169" i="19"/>
  <c r="E161" i="19"/>
  <c r="E141" i="19"/>
  <c r="E137" i="19"/>
  <c r="E439" i="19"/>
  <c r="E383" i="19"/>
  <c r="E371" i="19"/>
  <c r="E327" i="19"/>
  <c r="E287" i="19"/>
  <c r="E279" i="19"/>
  <c r="E175" i="19"/>
  <c r="E127" i="19"/>
  <c r="E494" i="19"/>
  <c r="E446" i="19"/>
  <c r="E390" i="19"/>
  <c r="E330" i="19"/>
  <c r="E274" i="19"/>
  <c r="E206" i="19"/>
  <c r="E150" i="19"/>
  <c r="C39" i="13"/>
  <c r="C47" i="13"/>
  <c r="C55" i="13"/>
  <c r="C71" i="13"/>
  <c r="C79" i="13"/>
  <c r="C87" i="13"/>
  <c r="C95" i="13"/>
  <c r="C107" i="13"/>
  <c r="C111" i="13"/>
  <c r="C119" i="13"/>
  <c r="C151" i="13"/>
  <c r="C159" i="13"/>
  <c r="C163" i="13"/>
  <c r="C171" i="13"/>
  <c r="C175" i="13"/>
  <c r="C179" i="13"/>
  <c r="C191" i="13"/>
  <c r="C195" i="13"/>
  <c r="C199" i="13"/>
  <c r="C203" i="13"/>
  <c r="C207" i="13"/>
  <c r="C211" i="13"/>
  <c r="C235" i="13"/>
  <c r="C251" i="13"/>
  <c r="C255" i="13"/>
  <c r="C259" i="13"/>
  <c r="C267" i="13"/>
  <c r="C311" i="13"/>
  <c r="C319" i="13"/>
  <c r="C327" i="13"/>
  <c r="C335" i="13"/>
  <c r="C343" i="13"/>
  <c r="C385" i="13"/>
  <c r="C502" i="13"/>
  <c r="C88" i="13"/>
  <c r="C96" i="13"/>
  <c r="C108" i="13"/>
  <c r="C112" i="13"/>
  <c r="C120" i="13"/>
  <c r="C152" i="13"/>
  <c r="C192" i="13"/>
  <c r="C196" i="13"/>
  <c r="C200" i="13"/>
  <c r="C204" i="13"/>
  <c r="C208" i="13"/>
  <c r="C212" i="13"/>
  <c r="C351" i="13"/>
  <c r="C358" i="13"/>
  <c r="C405" i="13"/>
  <c r="C412" i="13"/>
  <c r="C419" i="13"/>
  <c r="C431" i="13"/>
  <c r="C447" i="13"/>
  <c r="C12" i="13"/>
  <c r="C20" i="13"/>
  <c r="C9" i="13"/>
  <c r="C10" i="13"/>
  <c r="C29" i="13"/>
  <c r="C37" i="13"/>
  <c r="C45" i="13"/>
  <c r="C53" i="13"/>
  <c r="C61" i="13"/>
  <c r="C69" i="13"/>
  <c r="C77" i="13"/>
  <c r="C85" i="13"/>
  <c r="C359" i="13"/>
  <c r="C448" i="13"/>
  <c r="C13" i="13"/>
  <c r="C22" i="13"/>
  <c r="C30" i="13"/>
  <c r="C38" i="13"/>
  <c r="C46" i="13"/>
  <c r="C54" i="13"/>
  <c r="C62" i="13"/>
  <c r="C70" i="13"/>
  <c r="C78" i="13"/>
  <c r="C86" i="13"/>
  <c r="C302" i="13"/>
  <c r="C310" i="13"/>
  <c r="C326" i="13"/>
  <c r="C334" i="13"/>
  <c r="C342" i="13"/>
  <c r="C350" i="13"/>
  <c r="C396" i="13"/>
  <c r="C425" i="13"/>
  <c r="C481" i="13"/>
  <c r="C485" i="13"/>
  <c r="C15" i="13"/>
  <c r="C432" i="13"/>
  <c r="C497" i="13"/>
  <c r="C318" i="13"/>
  <c r="C366" i="13"/>
  <c r="C433" i="13"/>
  <c r="C440" i="13"/>
  <c r="C449" i="13"/>
  <c r="C26" i="13"/>
  <c r="C31" i="13"/>
  <c r="C58" i="13"/>
  <c r="C63" i="13"/>
  <c r="C103" i="13"/>
  <c r="C304" i="13"/>
  <c r="C413" i="13"/>
  <c r="C501" i="13"/>
  <c r="C43" i="13"/>
  <c r="C439" i="13"/>
  <c r="C14" i="13"/>
  <c r="C18" i="13"/>
  <c r="C27" i="13"/>
  <c r="C41" i="13"/>
  <c r="C59" i="13"/>
  <c r="C104" i="13"/>
  <c r="C263" i="13"/>
  <c r="C404" i="13"/>
  <c r="C469" i="13"/>
  <c r="C25" i="13"/>
  <c r="C57" i="13"/>
  <c r="C384" i="13"/>
  <c r="C503" i="13"/>
  <c r="C42" i="13"/>
  <c r="C239" i="13"/>
  <c r="C397" i="13"/>
  <c r="C441" i="13"/>
  <c r="C477" i="13"/>
  <c r="C23" i="13"/>
  <c r="C28" i="13"/>
  <c r="C44" i="13"/>
  <c r="C60" i="13"/>
  <c r="C75" i="13"/>
  <c r="C101" i="13"/>
  <c r="C114" i="13"/>
  <c r="C118" i="13"/>
  <c r="C121" i="13"/>
  <c r="C150" i="13"/>
  <c r="C156" i="13"/>
  <c r="C162" i="13"/>
  <c r="C169" i="13"/>
  <c r="C183" i="13"/>
  <c r="C187" i="13"/>
  <c r="C216" i="13"/>
  <c r="C220" i="13"/>
  <c r="C224" i="13"/>
  <c r="C228" i="13"/>
  <c r="C232" i="13"/>
  <c r="C238" i="13"/>
  <c r="C245" i="13"/>
  <c r="C249" i="13"/>
  <c r="C272" i="13"/>
  <c r="C276" i="13"/>
  <c r="C280" i="13"/>
  <c r="C284" i="13"/>
  <c r="C306" i="13"/>
  <c r="C317" i="13"/>
  <c r="C324" i="13"/>
  <c r="C331" i="13"/>
  <c r="C338" i="13"/>
  <c r="C349" i="13"/>
  <c r="C356" i="13"/>
  <c r="C363" i="13"/>
  <c r="C370" i="13"/>
  <c r="C376" i="13"/>
  <c r="C380" i="13"/>
  <c r="C393" i="13"/>
  <c r="C400" i="13"/>
  <c r="C406" i="13"/>
  <c r="C410" i="13"/>
  <c r="C416" i="13"/>
  <c r="C421" i="13"/>
  <c r="C427" i="13"/>
  <c r="C438" i="13"/>
  <c r="C445" i="13"/>
  <c r="C452" i="13"/>
  <c r="C456" i="13"/>
  <c r="C32" i="13"/>
  <c r="C48" i="13"/>
  <c r="C64" i="13"/>
  <c r="C74" i="13"/>
  <c r="C80" i="13"/>
  <c r="C90" i="13"/>
  <c r="C93" i="13"/>
  <c r="C100" i="13"/>
  <c r="C117" i="13"/>
  <c r="C125" i="13"/>
  <c r="C129" i="13"/>
  <c r="C133" i="13"/>
  <c r="C137" i="13"/>
  <c r="C141" i="13"/>
  <c r="C145" i="13"/>
  <c r="C149" i="13"/>
  <c r="C155" i="13"/>
  <c r="C168" i="13"/>
  <c r="C174" i="13"/>
  <c r="C182" i="13"/>
  <c r="C186" i="13"/>
  <c r="C190" i="13"/>
  <c r="C198" i="13"/>
  <c r="C206" i="13"/>
  <c r="C215" i="13"/>
  <c r="C219" i="13"/>
  <c r="C223" i="13"/>
  <c r="C227" i="13"/>
  <c r="C231" i="13"/>
  <c r="C244" i="13"/>
  <c r="C248" i="13"/>
  <c r="C254" i="13"/>
  <c r="C262" i="13"/>
  <c r="C271" i="13"/>
  <c r="C275" i="13"/>
  <c r="C279" i="13"/>
  <c r="C283" i="13"/>
  <c r="C287" i="13"/>
  <c r="C291" i="13"/>
  <c r="C295" i="13"/>
  <c r="C299" i="13"/>
  <c r="C309" i="13"/>
  <c r="C316" i="13"/>
  <c r="C323" i="13"/>
  <c r="C330" i="13"/>
  <c r="C341" i="13"/>
  <c r="C348" i="13"/>
  <c r="C355" i="13"/>
  <c r="C362" i="13"/>
  <c r="C375" i="13"/>
  <c r="C379" i="13"/>
  <c r="C383" i="13"/>
  <c r="C392" i="13"/>
  <c r="C403" i="13"/>
  <c r="C409" i="13"/>
  <c r="C415" i="13"/>
  <c r="C430" i="13"/>
  <c r="C437" i="13"/>
  <c r="C444" i="13"/>
  <c r="C451" i="13"/>
  <c r="C455" i="13"/>
  <c r="C463" i="13"/>
  <c r="C33" i="13"/>
  <c r="C34" i="13"/>
  <c r="C35" i="13"/>
  <c r="C36" i="13"/>
  <c r="C49" i="13"/>
  <c r="C50" i="13"/>
  <c r="C51" i="13"/>
  <c r="C52" i="13"/>
  <c r="C65" i="13"/>
  <c r="C66" i="13"/>
  <c r="C67" i="13"/>
  <c r="C68" i="13"/>
  <c r="C73" i="13"/>
  <c r="C81" i="13"/>
  <c r="C82" i="13"/>
  <c r="C83" i="13"/>
  <c r="C84" i="13"/>
  <c r="C89" i="13"/>
  <c r="K89" i="13" s="1"/>
  <c r="M89" i="13" s="1"/>
  <c r="C91" i="13"/>
  <c r="C92" i="13"/>
  <c r="C99" i="13"/>
  <c r="C106" i="13"/>
  <c r="K106" i="13" s="1"/>
  <c r="M106" i="13" s="1"/>
  <c r="C109" i="13"/>
  <c r="C116" i="13"/>
  <c r="C124" i="13"/>
  <c r="C128" i="13"/>
  <c r="C132" i="13"/>
  <c r="C136" i="13"/>
  <c r="C140" i="13"/>
  <c r="C144" i="13"/>
  <c r="C148" i="13"/>
  <c r="C158" i="13"/>
  <c r="C167" i="13"/>
  <c r="C234" i="13"/>
  <c r="C243" i="13"/>
  <c r="C247" i="13"/>
  <c r="C303" i="13"/>
  <c r="C315" i="13"/>
  <c r="C322" i="13"/>
  <c r="C333" i="13"/>
  <c r="C340" i="13"/>
  <c r="C347" i="13"/>
  <c r="C354" i="13"/>
  <c r="C365" i="13"/>
  <c r="C374" i="13"/>
  <c r="C378" i="13"/>
  <c r="C382" i="13"/>
  <c r="C389" i="13"/>
  <c r="C395" i="13"/>
  <c r="C402" i="13"/>
  <c r="C408" i="13"/>
  <c r="C418" i="13"/>
  <c r="C424" i="13"/>
  <c r="C429" i="13"/>
  <c r="C436" i="13"/>
  <c r="C443" i="13"/>
  <c r="C454" i="13"/>
  <c r="C24" i="13"/>
  <c r="C40" i="13"/>
  <c r="C56" i="13"/>
  <c r="C72" i="13"/>
  <c r="C98" i="13"/>
  <c r="K98" i="13" s="1"/>
  <c r="M98" i="13" s="1"/>
  <c r="C102" i="13"/>
  <c r="C105" i="13"/>
  <c r="C115" i="13"/>
  <c r="C122" i="13"/>
  <c r="C123" i="13"/>
  <c r="C127" i="13"/>
  <c r="C131" i="13"/>
  <c r="C135" i="13"/>
  <c r="C139" i="13"/>
  <c r="C143" i="13"/>
  <c r="C147" i="13"/>
  <c r="C153" i="13"/>
  <c r="C157" i="13"/>
  <c r="C170" i="13"/>
  <c r="C178" i="13"/>
  <c r="C184" i="13"/>
  <c r="C188" i="13"/>
  <c r="C194" i="13"/>
  <c r="C202" i="13"/>
  <c r="C210" i="13"/>
  <c r="C217" i="13"/>
  <c r="C221" i="13"/>
  <c r="C225" i="13"/>
  <c r="C229" i="13"/>
  <c r="C233" i="13"/>
  <c r="C250" i="13"/>
  <c r="C258" i="13"/>
  <c r="C266" i="13"/>
  <c r="C273" i="13"/>
  <c r="C277" i="13"/>
  <c r="C281" i="13"/>
  <c r="C285" i="13"/>
  <c r="C289" i="13"/>
  <c r="C293" i="13"/>
  <c r="C297" i="13"/>
  <c r="C301" i="13"/>
  <c r="C307" i="13"/>
  <c r="C314" i="13"/>
  <c r="C325" i="13"/>
  <c r="C332" i="13"/>
  <c r="C339" i="13"/>
  <c r="C346" i="13"/>
  <c r="C357" i="13"/>
  <c r="C364" i="13"/>
  <c r="C371" i="13"/>
  <c r="C377" i="13"/>
  <c r="C381" i="13"/>
  <c r="C388" i="13"/>
  <c r="C394" i="13"/>
  <c r="C401" i="13"/>
  <c r="C411" i="13"/>
  <c r="C417" i="13"/>
  <c r="C423" i="13"/>
  <c r="C428" i="13"/>
  <c r="C435" i="13"/>
  <c r="C446" i="13"/>
  <c r="C76" i="13"/>
  <c r="C94" i="13"/>
  <c r="C97" i="13"/>
  <c r="C110" i="13"/>
  <c r="K110" i="13" s="1"/>
  <c r="M110" i="13" s="1"/>
  <c r="C113" i="13"/>
  <c r="C126" i="13"/>
  <c r="C134" i="13"/>
  <c r="C142" i="13"/>
  <c r="C154" i="13"/>
  <c r="C164" i="13"/>
  <c r="C165" i="13"/>
  <c r="C166" i="13"/>
  <c r="C176" i="13"/>
  <c r="C177" i="13"/>
  <c r="C185" i="13"/>
  <c r="C193" i="13"/>
  <c r="C201" i="13"/>
  <c r="C209" i="13"/>
  <c r="C218" i="13"/>
  <c r="C226" i="13"/>
  <c r="C236" i="13"/>
  <c r="C237" i="13"/>
  <c r="C246" i="13"/>
  <c r="C256" i="13"/>
  <c r="C257" i="13"/>
  <c r="C264" i="13"/>
  <c r="C265" i="13"/>
  <c r="C274" i="13"/>
  <c r="C282" i="13"/>
  <c r="C290" i="13"/>
  <c r="C292" i="13"/>
  <c r="C298" i="13"/>
  <c r="C300" i="13"/>
  <c r="C308" i="13"/>
  <c r="C320" i="13"/>
  <c r="C321" i="13"/>
  <c r="C336" i="13"/>
  <c r="C337" i="13"/>
  <c r="C352" i="13"/>
  <c r="C353" i="13"/>
  <c r="C367" i="13"/>
  <c r="C368" i="13"/>
  <c r="C369" i="13"/>
  <c r="C372" i="13"/>
  <c r="C373" i="13"/>
  <c r="C398" i="13"/>
  <c r="C399" i="13"/>
  <c r="C414" i="13"/>
  <c r="C426" i="13"/>
  <c r="C442" i="13"/>
  <c r="C453" i="13"/>
  <c r="C461" i="13"/>
  <c r="C462" i="13"/>
  <c r="C464" i="13"/>
  <c r="C468" i="13"/>
  <c r="C470" i="13"/>
  <c r="C475" i="13"/>
  <c r="C482" i="13"/>
  <c r="C488" i="13"/>
  <c r="C489" i="13"/>
  <c r="C496" i="13"/>
  <c r="C498" i="13"/>
  <c r="C458" i="13"/>
  <c r="C460" i="13"/>
  <c r="C467" i="13"/>
  <c r="C474" i="13"/>
  <c r="C480" i="13"/>
  <c r="C487" i="13"/>
  <c r="C492" i="13"/>
  <c r="C495" i="13"/>
  <c r="C130" i="13"/>
  <c r="C138" i="13"/>
  <c r="C146" i="13"/>
  <c r="C160" i="13"/>
  <c r="C161" i="13"/>
  <c r="C172" i="13"/>
  <c r="C173" i="13"/>
  <c r="C180" i="13"/>
  <c r="C181" i="13"/>
  <c r="C189" i="13"/>
  <c r="C197" i="13"/>
  <c r="C205" i="13"/>
  <c r="C213" i="13"/>
  <c r="C214" i="13"/>
  <c r="C222" i="13"/>
  <c r="C230" i="13"/>
  <c r="C240" i="13"/>
  <c r="C241" i="13"/>
  <c r="C242" i="13"/>
  <c r="C252" i="13"/>
  <c r="C253" i="13"/>
  <c r="C260" i="13"/>
  <c r="C261" i="13"/>
  <c r="C268" i="13"/>
  <c r="C269" i="13"/>
  <c r="C270" i="13"/>
  <c r="C278" i="13"/>
  <c r="C286" i="13"/>
  <c r="C288" i="13"/>
  <c r="C294" i="13"/>
  <c r="C296" i="13"/>
  <c r="C305" i="13"/>
  <c r="C312" i="13"/>
  <c r="C313" i="13"/>
  <c r="C328" i="13"/>
  <c r="C329" i="13"/>
  <c r="C344" i="13"/>
  <c r="C345" i="13"/>
  <c r="C360" i="13"/>
  <c r="C361" i="13"/>
  <c r="C386" i="13"/>
  <c r="C387" i="13"/>
  <c r="C390" i="13"/>
  <c r="C391" i="13"/>
  <c r="C407" i="13"/>
  <c r="C420" i="13"/>
  <c r="C422" i="13"/>
  <c r="C434" i="13"/>
  <c r="C450" i="13"/>
  <c r="C457" i="13"/>
  <c r="C459" i="13"/>
  <c r="C466" i="13"/>
  <c r="C472" i="13"/>
  <c r="C473" i="13"/>
  <c r="C479" i="13"/>
  <c r="C484" i="13"/>
  <c r="C486" i="13"/>
  <c r="C491" i="13"/>
  <c r="C493" i="13"/>
  <c r="C494" i="13"/>
  <c r="C500" i="13"/>
  <c r="C504" i="13"/>
  <c r="C505" i="13"/>
  <c r="C506" i="13"/>
  <c r="C507" i="13"/>
  <c r="C508" i="13"/>
  <c r="C465" i="13"/>
  <c r="C471" i="13"/>
  <c r="C476" i="13"/>
  <c r="C478" i="13"/>
  <c r="C483" i="13"/>
  <c r="C490" i="13"/>
  <c r="C499" i="13"/>
  <c r="G507" i="19" l="1"/>
  <c r="F507" i="19"/>
  <c r="G459" i="19"/>
  <c r="F459" i="19"/>
  <c r="G467" i="19"/>
  <c r="F467" i="19"/>
  <c r="G427" i="19"/>
  <c r="F427" i="19"/>
  <c r="G443" i="19"/>
  <c r="F443" i="19"/>
  <c r="G435" i="19"/>
  <c r="F435" i="19"/>
  <c r="N110" i="13"/>
  <c r="E110" i="19" s="1"/>
  <c r="N89" i="13"/>
  <c r="E89" i="19" s="1"/>
  <c r="N98" i="13"/>
  <c r="E98" i="19" s="1"/>
  <c r="N106" i="13"/>
  <c r="E106" i="19" s="1"/>
  <c r="K50" i="13"/>
  <c r="M50" i="13" s="1"/>
  <c r="K66" i="13"/>
  <c r="M66" i="13" s="1"/>
  <c r="K94" i="13"/>
  <c r="M94" i="13" s="1"/>
  <c r="K81" i="13"/>
  <c r="M81" i="13" s="1"/>
  <c r="K56" i="13"/>
  <c r="M56" i="13" s="1"/>
  <c r="K92" i="13"/>
  <c r="M92" i="13" s="1"/>
  <c r="K68" i="13"/>
  <c r="M68" i="13" s="1"/>
  <c r="K52" i="13"/>
  <c r="M52" i="13" s="1"/>
  <c r="K90" i="13"/>
  <c r="M90" i="13" s="1"/>
  <c r="K44" i="13"/>
  <c r="M44" i="13" s="1"/>
  <c r="K113" i="13"/>
  <c r="M113" i="13" s="1"/>
  <c r="K76" i="13"/>
  <c r="M76" i="13" s="1"/>
  <c r="K102" i="13"/>
  <c r="M102" i="13" s="1"/>
  <c r="K109" i="13"/>
  <c r="M109" i="13" s="1"/>
  <c r="K91" i="13"/>
  <c r="M91" i="13" s="1"/>
  <c r="K82" i="13"/>
  <c r="M82" i="13" s="1"/>
  <c r="K67" i="13"/>
  <c r="M67" i="13" s="1"/>
  <c r="K51" i="13"/>
  <c r="M51" i="13" s="1"/>
  <c r="K117" i="13"/>
  <c r="M117" i="13" s="1"/>
  <c r="K80" i="13"/>
  <c r="M80" i="13" s="1"/>
  <c r="K101" i="13"/>
  <c r="M101" i="13" s="1"/>
  <c r="K86" i="13"/>
  <c r="M86" i="13" s="1"/>
  <c r="K54" i="13"/>
  <c r="M54" i="13" s="1"/>
  <c r="K85" i="13"/>
  <c r="M85" i="13" s="1"/>
  <c r="K53" i="13"/>
  <c r="M53" i="13" s="1"/>
  <c r="K108" i="13"/>
  <c r="M108" i="13" s="1"/>
  <c r="K111" i="13"/>
  <c r="M111" i="13" s="1"/>
  <c r="K79" i="13"/>
  <c r="M79" i="13" s="1"/>
  <c r="K100" i="13"/>
  <c r="M100" i="13" s="1"/>
  <c r="K57" i="13"/>
  <c r="M57" i="13" s="1"/>
  <c r="K43" i="13"/>
  <c r="M43" i="13" s="1"/>
  <c r="N43" i="13" s="1"/>
  <c r="K78" i="13"/>
  <c r="M78" i="13" s="1"/>
  <c r="K46" i="13"/>
  <c r="M46" i="13" s="1"/>
  <c r="K77" i="13"/>
  <c r="M77" i="13" s="1"/>
  <c r="K45" i="13"/>
  <c r="M45" i="13" s="1"/>
  <c r="N45" i="13" s="1"/>
  <c r="K96" i="13"/>
  <c r="M96" i="13" s="1"/>
  <c r="K107" i="13"/>
  <c r="M107" i="13" s="1"/>
  <c r="K71" i="13"/>
  <c r="M71" i="13" s="1"/>
  <c r="K74" i="13"/>
  <c r="M74" i="13" s="1"/>
  <c r="K75" i="13"/>
  <c r="M75" i="13" s="1"/>
  <c r="K103" i="13"/>
  <c r="M103" i="13" s="1"/>
  <c r="K97" i="13"/>
  <c r="M97" i="13" s="1"/>
  <c r="K115" i="13"/>
  <c r="M115" i="13" s="1"/>
  <c r="K72" i="13"/>
  <c r="M72" i="13" s="1"/>
  <c r="K99" i="13"/>
  <c r="M99" i="13" s="1"/>
  <c r="K84" i="13"/>
  <c r="M84" i="13" s="1"/>
  <c r="K73" i="13"/>
  <c r="M73" i="13" s="1"/>
  <c r="K65" i="13"/>
  <c r="M65" i="13" s="1"/>
  <c r="K49" i="13"/>
  <c r="M49" i="13" s="1"/>
  <c r="K93" i="13"/>
  <c r="M93" i="13" s="1"/>
  <c r="K64" i="13"/>
  <c r="M64" i="13" s="1"/>
  <c r="K118" i="13"/>
  <c r="M118" i="13" s="1"/>
  <c r="K60" i="13"/>
  <c r="M60" i="13" s="1"/>
  <c r="K42" i="13"/>
  <c r="M42" i="13" s="1"/>
  <c r="K104" i="13"/>
  <c r="M104" i="13" s="1"/>
  <c r="K63" i="13"/>
  <c r="M63" i="13" s="1"/>
  <c r="K70" i="13"/>
  <c r="M70" i="13" s="1"/>
  <c r="K69" i="13"/>
  <c r="M69" i="13" s="1"/>
  <c r="K88" i="13"/>
  <c r="M88" i="13" s="1"/>
  <c r="K95" i="13"/>
  <c r="M95" i="13" s="1"/>
  <c r="K55" i="13"/>
  <c r="M55" i="13" s="1"/>
  <c r="N55" i="13" s="1"/>
  <c r="K105" i="13"/>
  <c r="M105" i="13" s="1"/>
  <c r="K116" i="13"/>
  <c r="M116" i="13" s="1"/>
  <c r="K83" i="13"/>
  <c r="M83" i="13" s="1"/>
  <c r="K48" i="13"/>
  <c r="M48" i="13" s="1"/>
  <c r="K114" i="13"/>
  <c r="M114" i="13" s="1"/>
  <c r="K59" i="13"/>
  <c r="M59" i="13" s="1"/>
  <c r="K58" i="13"/>
  <c r="M58" i="13" s="1"/>
  <c r="K62" i="13"/>
  <c r="M62" i="13" s="1"/>
  <c r="K61" i="13"/>
  <c r="M61" i="13" s="1"/>
  <c r="K112" i="13"/>
  <c r="M112" i="13" s="1"/>
  <c r="K119" i="13"/>
  <c r="M119" i="13" s="1"/>
  <c r="K87" i="13"/>
  <c r="M87" i="13" s="1"/>
  <c r="K47" i="13"/>
  <c r="M47" i="13" s="1"/>
  <c r="G274" i="19"/>
  <c r="F274" i="19"/>
  <c r="F494" i="19"/>
  <c r="G494" i="19"/>
  <c r="G287" i="19"/>
  <c r="F287" i="19"/>
  <c r="G383" i="19"/>
  <c r="F383" i="19"/>
  <c r="F141" i="19"/>
  <c r="G141" i="19"/>
  <c r="F201" i="19"/>
  <c r="G201" i="19"/>
  <c r="F273" i="19"/>
  <c r="G273" i="19"/>
  <c r="F337" i="19"/>
  <c r="G337" i="19"/>
  <c r="G389" i="19"/>
  <c r="F389" i="19"/>
  <c r="G461" i="19"/>
  <c r="F461" i="19"/>
  <c r="G146" i="19"/>
  <c r="F146" i="19"/>
  <c r="G426" i="19"/>
  <c r="F426" i="19"/>
  <c r="G178" i="19"/>
  <c r="F178" i="19"/>
  <c r="G402" i="19"/>
  <c r="F402" i="19"/>
  <c r="G227" i="19"/>
  <c r="F227" i="19"/>
  <c r="G363" i="19"/>
  <c r="F363" i="19"/>
  <c r="G322" i="19"/>
  <c r="F322" i="19"/>
  <c r="G179" i="19"/>
  <c r="F179" i="19"/>
  <c r="G299" i="19"/>
  <c r="F299" i="19"/>
  <c r="G180" i="19"/>
  <c r="F180" i="19"/>
  <c r="G248" i="19"/>
  <c r="F248" i="19"/>
  <c r="G308" i="19"/>
  <c r="F308" i="19"/>
  <c r="G396" i="19"/>
  <c r="F396" i="19"/>
  <c r="G480" i="19"/>
  <c r="F480" i="19"/>
  <c r="G392" i="19"/>
  <c r="F392" i="19"/>
  <c r="G187" i="19"/>
  <c r="F187" i="19"/>
  <c r="F281" i="19"/>
  <c r="G281" i="19"/>
  <c r="F422" i="19"/>
  <c r="G422" i="19"/>
  <c r="G424" i="19"/>
  <c r="F424" i="19"/>
  <c r="G466" i="19"/>
  <c r="F466" i="19"/>
  <c r="G419" i="19"/>
  <c r="F419" i="19"/>
  <c r="F369" i="19"/>
  <c r="G369" i="19"/>
  <c r="G445" i="19"/>
  <c r="F445" i="19"/>
  <c r="G394" i="19"/>
  <c r="F394" i="19"/>
  <c r="F278" i="19"/>
  <c r="G278" i="19"/>
  <c r="G411" i="19"/>
  <c r="F411" i="19"/>
  <c r="G434" i="19"/>
  <c r="F434" i="19"/>
  <c r="G155" i="19"/>
  <c r="F155" i="19"/>
  <c r="G447" i="19"/>
  <c r="F447" i="19"/>
  <c r="G374" i="19"/>
  <c r="F374" i="19"/>
  <c r="G219" i="19"/>
  <c r="F219" i="19"/>
  <c r="F193" i="19"/>
  <c r="G193" i="19"/>
  <c r="F269" i="19"/>
  <c r="G269" i="19"/>
  <c r="G333" i="19"/>
  <c r="F333" i="19"/>
  <c r="G421" i="19"/>
  <c r="F421" i="19"/>
  <c r="G485" i="19"/>
  <c r="F485" i="19"/>
  <c r="F478" i="19"/>
  <c r="G478" i="19"/>
  <c r="G370" i="19"/>
  <c r="F370" i="19"/>
  <c r="G171" i="19"/>
  <c r="F171" i="19"/>
  <c r="G202" i="19"/>
  <c r="F202" i="19"/>
  <c r="G247" i="19"/>
  <c r="F247" i="19"/>
  <c r="G391" i="19"/>
  <c r="F391" i="19"/>
  <c r="G144" i="19"/>
  <c r="F144" i="19"/>
  <c r="G208" i="19"/>
  <c r="F208" i="19"/>
  <c r="G268" i="19"/>
  <c r="F268" i="19"/>
  <c r="G332" i="19"/>
  <c r="F332" i="19"/>
  <c r="G420" i="19"/>
  <c r="F420" i="19"/>
  <c r="F129" i="19"/>
  <c r="G129" i="19"/>
  <c r="G397" i="19"/>
  <c r="F397" i="19"/>
  <c r="F181" i="19"/>
  <c r="G181" i="19"/>
  <c r="G365" i="19"/>
  <c r="F365" i="19"/>
  <c r="G234" i="19"/>
  <c r="F234" i="19"/>
  <c r="G404" i="19"/>
  <c r="F404" i="19"/>
  <c r="F238" i="19"/>
  <c r="G238" i="19"/>
  <c r="F121" i="19"/>
  <c r="G121" i="19"/>
  <c r="F249" i="19"/>
  <c r="G249" i="19"/>
  <c r="G311" i="19"/>
  <c r="F311" i="19"/>
  <c r="G172" i="19"/>
  <c r="F172" i="19"/>
  <c r="G236" i="19"/>
  <c r="F236" i="19"/>
  <c r="G292" i="19"/>
  <c r="F292" i="19"/>
  <c r="G432" i="19"/>
  <c r="F432" i="19"/>
  <c r="G372" i="19"/>
  <c r="F372" i="19"/>
  <c r="G347" i="19"/>
  <c r="F347" i="19"/>
  <c r="F145" i="19"/>
  <c r="G145" i="19"/>
  <c r="G301" i="19"/>
  <c r="F301" i="19"/>
  <c r="G405" i="19"/>
  <c r="F405" i="19"/>
  <c r="G497" i="19"/>
  <c r="F497" i="19"/>
  <c r="G306" i="19"/>
  <c r="F306" i="19"/>
  <c r="G135" i="19"/>
  <c r="F135" i="19"/>
  <c r="G291" i="19"/>
  <c r="F291" i="19"/>
  <c r="F230" i="19"/>
  <c r="G230" i="19"/>
  <c r="G235" i="19"/>
  <c r="F235" i="19"/>
  <c r="G120" i="19"/>
  <c r="F120" i="19"/>
  <c r="G184" i="19"/>
  <c r="F184" i="19"/>
  <c r="G252" i="19"/>
  <c r="F252" i="19"/>
  <c r="G316" i="19"/>
  <c r="F316" i="19"/>
  <c r="G384" i="19"/>
  <c r="F384" i="19"/>
  <c r="F221" i="19"/>
  <c r="G221" i="19"/>
  <c r="G441" i="19"/>
  <c r="F441" i="19"/>
  <c r="F250" i="19"/>
  <c r="G250" i="19"/>
  <c r="G159" i="19"/>
  <c r="F159" i="19"/>
  <c r="G242" i="19"/>
  <c r="F242" i="19"/>
  <c r="G380" i="19"/>
  <c r="F380" i="19"/>
  <c r="G508" i="19"/>
  <c r="F508" i="19"/>
  <c r="G414" i="19"/>
  <c r="F414" i="19"/>
  <c r="F254" i="19"/>
  <c r="G254" i="19"/>
  <c r="G472" i="19"/>
  <c r="F472" i="19"/>
  <c r="G330" i="19"/>
  <c r="F330" i="19"/>
  <c r="G127" i="19"/>
  <c r="F127" i="19"/>
  <c r="G327" i="19"/>
  <c r="F327" i="19"/>
  <c r="G439" i="19"/>
  <c r="F439" i="19"/>
  <c r="F161" i="19"/>
  <c r="G161" i="19"/>
  <c r="F205" i="19"/>
  <c r="G205" i="19"/>
  <c r="F277" i="19"/>
  <c r="G277" i="19"/>
  <c r="G341" i="19"/>
  <c r="F341" i="19"/>
  <c r="G425" i="19"/>
  <c r="F425" i="19"/>
  <c r="G489" i="19"/>
  <c r="F489" i="19"/>
  <c r="F218" i="19"/>
  <c r="G218" i="19"/>
  <c r="G490" i="19"/>
  <c r="F490" i="19"/>
  <c r="F246" i="19"/>
  <c r="G246" i="19"/>
  <c r="F470" i="19"/>
  <c r="G470" i="19"/>
  <c r="G263" i="19"/>
  <c r="F263" i="19"/>
  <c r="G375" i="19"/>
  <c r="F375" i="19"/>
  <c r="F154" i="19"/>
  <c r="G154" i="19"/>
  <c r="G382" i="19"/>
  <c r="F382" i="19"/>
  <c r="G223" i="19"/>
  <c r="F223" i="19"/>
  <c r="G403" i="19"/>
  <c r="F403" i="19"/>
  <c r="F132" i="19"/>
  <c r="G132" i="19"/>
  <c r="F196" i="19"/>
  <c r="G196" i="19"/>
  <c r="G272" i="19"/>
  <c r="F272" i="19"/>
  <c r="G336" i="19"/>
  <c r="F336" i="19"/>
  <c r="G428" i="19"/>
  <c r="F428" i="19"/>
  <c r="G492" i="19"/>
  <c r="F492" i="19"/>
  <c r="F342" i="19"/>
  <c r="G342" i="19"/>
  <c r="G395" i="19"/>
  <c r="F395" i="19"/>
  <c r="G442" i="19"/>
  <c r="F442" i="19"/>
  <c r="F486" i="19"/>
  <c r="G486" i="19"/>
  <c r="G488" i="19"/>
  <c r="F488" i="19"/>
  <c r="G259" i="19"/>
  <c r="F259" i="19"/>
  <c r="G475" i="19"/>
  <c r="F475" i="19"/>
  <c r="G373" i="19"/>
  <c r="F373" i="19"/>
  <c r="G477" i="19"/>
  <c r="F477" i="19"/>
  <c r="F462" i="19"/>
  <c r="G462" i="19"/>
  <c r="G350" i="19"/>
  <c r="F350" i="19"/>
  <c r="G251" i="19"/>
  <c r="F251" i="19"/>
  <c r="G503" i="19"/>
  <c r="F503" i="19"/>
  <c r="G203" i="19"/>
  <c r="F203" i="19"/>
  <c r="F186" i="19"/>
  <c r="G186" i="19"/>
  <c r="F430" i="19"/>
  <c r="G430" i="19"/>
  <c r="G151" i="19"/>
  <c r="F151" i="19"/>
  <c r="G431" i="19"/>
  <c r="F431" i="19"/>
  <c r="F197" i="19"/>
  <c r="G197" i="19"/>
  <c r="F313" i="19"/>
  <c r="G313" i="19"/>
  <c r="G377" i="19"/>
  <c r="F377" i="19"/>
  <c r="G449" i="19"/>
  <c r="F449" i="19"/>
  <c r="G266" i="19"/>
  <c r="F266" i="19"/>
  <c r="G458" i="19"/>
  <c r="F458" i="19"/>
  <c r="G319" i="19"/>
  <c r="F319" i="19"/>
  <c r="F310" i="19"/>
  <c r="G310" i="19"/>
  <c r="G255" i="19"/>
  <c r="F255" i="19"/>
  <c r="G471" i="19"/>
  <c r="F471" i="19"/>
  <c r="G160" i="19"/>
  <c r="F160" i="19"/>
  <c r="G224" i="19"/>
  <c r="F224" i="19"/>
  <c r="G296" i="19"/>
  <c r="F296" i="19"/>
  <c r="G356" i="19"/>
  <c r="F356" i="19"/>
  <c r="G452" i="19"/>
  <c r="F452" i="19"/>
  <c r="G162" i="19"/>
  <c r="F162" i="19"/>
  <c r="F225" i="19"/>
  <c r="G225" i="19"/>
  <c r="G355" i="19"/>
  <c r="F355" i="19"/>
  <c r="F213" i="19"/>
  <c r="G213" i="19"/>
  <c r="G393" i="19"/>
  <c r="F393" i="19"/>
  <c r="F122" i="19"/>
  <c r="G122" i="19"/>
  <c r="G436" i="19"/>
  <c r="F436" i="19"/>
  <c r="F153" i="19"/>
  <c r="G153" i="19"/>
  <c r="F297" i="19"/>
  <c r="G297" i="19"/>
  <c r="G343" i="19"/>
  <c r="F343" i="19"/>
  <c r="G124" i="19"/>
  <c r="F124" i="19"/>
  <c r="G188" i="19"/>
  <c r="F188" i="19"/>
  <c r="G256" i="19"/>
  <c r="F256" i="19"/>
  <c r="G320" i="19"/>
  <c r="F320" i="19"/>
  <c r="G464" i="19"/>
  <c r="F464" i="19"/>
  <c r="G139" i="19"/>
  <c r="F139" i="19"/>
  <c r="F177" i="19"/>
  <c r="G177" i="19"/>
  <c r="F353" i="19"/>
  <c r="G353" i="19"/>
  <c r="G433" i="19"/>
  <c r="F433" i="19"/>
  <c r="G501" i="19"/>
  <c r="F501" i="19"/>
  <c r="F378" i="19"/>
  <c r="G378" i="19"/>
  <c r="G147" i="19"/>
  <c r="F147" i="19"/>
  <c r="G387" i="19"/>
  <c r="F387" i="19"/>
  <c r="F282" i="19"/>
  <c r="G282" i="19"/>
  <c r="G275" i="19"/>
  <c r="F275" i="19"/>
  <c r="G136" i="19"/>
  <c r="F136" i="19"/>
  <c r="G200" i="19"/>
  <c r="F200" i="19"/>
  <c r="G280" i="19"/>
  <c r="F280" i="19"/>
  <c r="G344" i="19"/>
  <c r="F344" i="19"/>
  <c r="G416" i="19"/>
  <c r="F416" i="19"/>
  <c r="F125" i="19"/>
  <c r="G125" i="19"/>
  <c r="F253" i="19"/>
  <c r="G253" i="19"/>
  <c r="G473" i="19"/>
  <c r="F473" i="19"/>
  <c r="G138" i="19"/>
  <c r="F138" i="19"/>
  <c r="G207" i="19"/>
  <c r="F207" i="19"/>
  <c r="G354" i="19"/>
  <c r="F354" i="19"/>
  <c r="G412" i="19"/>
  <c r="F412" i="19"/>
  <c r="F265" i="19"/>
  <c r="G265" i="19"/>
  <c r="F158" i="19"/>
  <c r="G158" i="19"/>
  <c r="G376" i="19"/>
  <c r="F376" i="19"/>
  <c r="G504" i="19"/>
  <c r="F504" i="19"/>
  <c r="F150" i="19"/>
  <c r="G150" i="19"/>
  <c r="G390" i="19"/>
  <c r="F390" i="19"/>
  <c r="G175" i="19"/>
  <c r="F175" i="19"/>
  <c r="G339" i="19"/>
  <c r="F339" i="19"/>
  <c r="F169" i="19"/>
  <c r="G169" i="19"/>
  <c r="F233" i="19"/>
  <c r="G233" i="19"/>
  <c r="F285" i="19"/>
  <c r="G285" i="19"/>
  <c r="G349" i="19"/>
  <c r="F349" i="19"/>
  <c r="G429" i="19"/>
  <c r="F429" i="19"/>
  <c r="G493" i="19"/>
  <c r="F493" i="19"/>
  <c r="F286" i="19"/>
  <c r="G286" i="19"/>
  <c r="F318" i="19"/>
  <c r="G318" i="19"/>
  <c r="G271" i="19"/>
  <c r="F271" i="19"/>
  <c r="G455" i="19"/>
  <c r="F455" i="19"/>
  <c r="F214" i="19"/>
  <c r="G214" i="19"/>
  <c r="G474" i="19"/>
  <c r="F474" i="19"/>
  <c r="G131" i="19"/>
  <c r="F131" i="19"/>
  <c r="G267" i="19"/>
  <c r="F267" i="19"/>
  <c r="G483" i="19"/>
  <c r="F483" i="19"/>
  <c r="G148" i="19"/>
  <c r="F148" i="19"/>
  <c r="G212" i="19"/>
  <c r="F212" i="19"/>
  <c r="G276" i="19"/>
  <c r="F276" i="19"/>
  <c r="G340" i="19"/>
  <c r="F340" i="19"/>
  <c r="G448" i="19"/>
  <c r="F448" i="19"/>
  <c r="G406" i="19"/>
  <c r="F406" i="19"/>
  <c r="G451" i="19"/>
  <c r="F451" i="19"/>
  <c r="F502" i="19"/>
  <c r="G502" i="19"/>
  <c r="G479" i="19"/>
  <c r="F479" i="19"/>
  <c r="F302" i="19"/>
  <c r="G302" i="19"/>
  <c r="G315" i="19"/>
  <c r="F315" i="19"/>
  <c r="G487" i="19"/>
  <c r="F487" i="19"/>
  <c r="F305" i="19"/>
  <c r="G305" i="19"/>
  <c r="G409" i="19"/>
  <c r="F409" i="19"/>
  <c r="G506" i="19"/>
  <c r="F506" i="19"/>
  <c r="F438" i="19"/>
  <c r="G438" i="19"/>
  <c r="G307" i="19"/>
  <c r="F307" i="19"/>
  <c r="F294" i="19"/>
  <c r="G294" i="19"/>
  <c r="G283" i="19"/>
  <c r="F283" i="19"/>
  <c r="G258" i="19"/>
  <c r="F258" i="19"/>
  <c r="G482" i="19"/>
  <c r="F482" i="19"/>
  <c r="G163" i="19"/>
  <c r="F163" i="19"/>
  <c r="G499" i="19"/>
  <c r="F499" i="19"/>
  <c r="F133" i="19"/>
  <c r="G133" i="19"/>
  <c r="F229" i="19"/>
  <c r="G229" i="19"/>
  <c r="F321" i="19"/>
  <c r="G321" i="19"/>
  <c r="G381" i="19"/>
  <c r="F381" i="19"/>
  <c r="G453" i="19"/>
  <c r="F453" i="19"/>
  <c r="F346" i="19"/>
  <c r="G346" i="19"/>
  <c r="G226" i="19"/>
  <c r="F226" i="19"/>
  <c r="G423" i="19"/>
  <c r="F423" i="19"/>
  <c r="G366" i="19"/>
  <c r="F366" i="19"/>
  <c r="G335" i="19"/>
  <c r="F335" i="19"/>
  <c r="G176" i="19"/>
  <c r="F176" i="19"/>
  <c r="G244" i="19"/>
  <c r="F244" i="19"/>
  <c r="G300" i="19"/>
  <c r="F300" i="19"/>
  <c r="G368" i="19"/>
  <c r="F368" i="19"/>
  <c r="G484" i="19"/>
  <c r="F484" i="19"/>
  <c r="F222" i="19"/>
  <c r="G222" i="19"/>
  <c r="F257" i="19"/>
  <c r="G257" i="19"/>
  <c r="F245" i="19"/>
  <c r="G245" i="19"/>
  <c r="G469" i="19"/>
  <c r="F469" i="19"/>
  <c r="G194" i="19"/>
  <c r="F194" i="19"/>
  <c r="G143" i="19"/>
  <c r="F143" i="19"/>
  <c r="G468" i="19"/>
  <c r="F468" i="19"/>
  <c r="F185" i="19"/>
  <c r="G185" i="19"/>
  <c r="F361" i="19"/>
  <c r="G361" i="19"/>
  <c r="G491" i="19"/>
  <c r="F491" i="19"/>
  <c r="G140" i="19"/>
  <c r="F140" i="19"/>
  <c r="G204" i="19"/>
  <c r="F204" i="19"/>
  <c r="F260" i="19"/>
  <c r="G260" i="19"/>
  <c r="G324" i="19"/>
  <c r="F324" i="19"/>
  <c r="G496" i="19"/>
  <c r="F496" i="19"/>
  <c r="G231" i="19"/>
  <c r="F231" i="19"/>
  <c r="F209" i="19"/>
  <c r="G209" i="19"/>
  <c r="G357" i="19"/>
  <c r="F357" i="19"/>
  <c r="G437" i="19"/>
  <c r="F437" i="19"/>
  <c r="G183" i="19"/>
  <c r="F183" i="19"/>
  <c r="G399" i="19"/>
  <c r="F399" i="19"/>
  <c r="G338" i="19"/>
  <c r="F338" i="19"/>
  <c r="G367" i="19"/>
  <c r="F367" i="19"/>
  <c r="G152" i="19"/>
  <c r="F152" i="19"/>
  <c r="G216" i="19"/>
  <c r="F216" i="19"/>
  <c r="G284" i="19"/>
  <c r="F284" i="19"/>
  <c r="G348" i="19"/>
  <c r="F348" i="19"/>
  <c r="G359" i="19"/>
  <c r="F359" i="19"/>
  <c r="F157" i="19"/>
  <c r="G157" i="19"/>
  <c r="F289" i="19"/>
  <c r="G289" i="19"/>
  <c r="G505" i="19"/>
  <c r="F505" i="19"/>
  <c r="G210" i="19"/>
  <c r="F210" i="19"/>
  <c r="G444" i="19"/>
  <c r="F444" i="19"/>
  <c r="F126" i="19"/>
  <c r="G126" i="19"/>
  <c r="G408" i="19"/>
  <c r="F408" i="19"/>
  <c r="F206" i="19"/>
  <c r="G206" i="19"/>
  <c r="F446" i="19"/>
  <c r="G446" i="19"/>
  <c r="G279" i="19"/>
  <c r="F279" i="19"/>
  <c r="G371" i="19"/>
  <c r="F371" i="19"/>
  <c r="F137" i="19"/>
  <c r="G137" i="19"/>
  <c r="F173" i="19"/>
  <c r="G173" i="19"/>
  <c r="F237" i="19"/>
  <c r="G237" i="19"/>
  <c r="F329" i="19"/>
  <c r="G329" i="19"/>
  <c r="G385" i="19"/>
  <c r="F385" i="19"/>
  <c r="G457" i="19"/>
  <c r="F457" i="19"/>
  <c r="G362" i="19"/>
  <c r="F362" i="19"/>
  <c r="G386" i="19"/>
  <c r="F386" i="19"/>
  <c r="G215" i="19"/>
  <c r="F215" i="19"/>
  <c r="G331" i="19"/>
  <c r="F331" i="19"/>
  <c r="F270" i="19"/>
  <c r="G270" i="19"/>
  <c r="G167" i="19"/>
  <c r="F167" i="19"/>
  <c r="G295" i="19"/>
  <c r="F295" i="19"/>
  <c r="G495" i="19"/>
  <c r="F495" i="19"/>
  <c r="F164" i="19"/>
  <c r="G164" i="19"/>
  <c r="F228" i="19"/>
  <c r="G228" i="19"/>
  <c r="G304" i="19"/>
  <c r="F304" i="19"/>
  <c r="G364" i="19"/>
  <c r="F364" i="19"/>
  <c r="G460" i="19"/>
  <c r="F460" i="19"/>
  <c r="G360" i="19"/>
  <c r="F360" i="19"/>
  <c r="G450" i="19"/>
  <c r="F450" i="19"/>
  <c r="G463" i="19"/>
  <c r="F463" i="19"/>
  <c r="F334" i="19"/>
  <c r="G334" i="19"/>
  <c r="G498" i="19"/>
  <c r="F498" i="19"/>
  <c r="G358" i="19"/>
  <c r="F358" i="19"/>
  <c r="G407" i="19"/>
  <c r="F407" i="19"/>
  <c r="G317" i="19"/>
  <c r="F317" i="19"/>
  <c r="G413" i="19"/>
  <c r="F413" i="19"/>
  <c r="F326" i="19"/>
  <c r="G326" i="19"/>
  <c r="G351" i="19"/>
  <c r="F351" i="19"/>
  <c r="G418" i="19"/>
  <c r="F418" i="19"/>
  <c r="G323" i="19"/>
  <c r="F323" i="19"/>
  <c r="F314" i="19"/>
  <c r="G314" i="19"/>
  <c r="G199" i="19"/>
  <c r="F199" i="19"/>
  <c r="F165" i="19"/>
  <c r="G165" i="19"/>
  <c r="F261" i="19"/>
  <c r="G261" i="19"/>
  <c r="G325" i="19"/>
  <c r="F325" i="19"/>
  <c r="G417" i="19"/>
  <c r="F417" i="19"/>
  <c r="G481" i="19"/>
  <c r="F481" i="19"/>
  <c r="F410" i="19"/>
  <c r="G410" i="19"/>
  <c r="G298" i="19"/>
  <c r="F298" i="19"/>
  <c r="G123" i="19"/>
  <c r="F123" i="19"/>
  <c r="F454" i="19"/>
  <c r="G454" i="19"/>
  <c r="G211" i="19"/>
  <c r="F211" i="19"/>
  <c r="G379" i="19"/>
  <c r="F379" i="19"/>
  <c r="G128" i="19"/>
  <c r="F128" i="19"/>
  <c r="G192" i="19"/>
  <c r="F192" i="19"/>
  <c r="G264" i="19"/>
  <c r="F264" i="19"/>
  <c r="G328" i="19"/>
  <c r="F328" i="19"/>
  <c r="G388" i="19"/>
  <c r="F388" i="19"/>
  <c r="G456" i="19"/>
  <c r="F456" i="19"/>
  <c r="F345" i="19"/>
  <c r="G345" i="19"/>
  <c r="G303" i="19"/>
  <c r="F303" i="19"/>
  <c r="F149" i="19"/>
  <c r="G149" i="19"/>
  <c r="F293" i="19"/>
  <c r="G293" i="19"/>
  <c r="G239" i="19"/>
  <c r="F239" i="19"/>
  <c r="G191" i="19"/>
  <c r="F191" i="19"/>
  <c r="G500" i="19"/>
  <c r="F500" i="19"/>
  <c r="F217" i="19"/>
  <c r="G217" i="19"/>
  <c r="F182" i="19"/>
  <c r="G182" i="19"/>
  <c r="F190" i="19"/>
  <c r="G190" i="19"/>
  <c r="G156" i="19"/>
  <c r="F156" i="19"/>
  <c r="G220" i="19"/>
  <c r="F220" i="19"/>
  <c r="G288" i="19"/>
  <c r="F288" i="19"/>
  <c r="G400" i="19"/>
  <c r="F400" i="19"/>
  <c r="G240" i="19"/>
  <c r="F240" i="19"/>
  <c r="G243" i="19"/>
  <c r="F243" i="19"/>
  <c r="F241" i="19"/>
  <c r="G241" i="19"/>
  <c r="G401" i="19"/>
  <c r="F401" i="19"/>
  <c r="G465" i="19"/>
  <c r="F465" i="19"/>
  <c r="F166" i="19"/>
  <c r="G166" i="19"/>
  <c r="F262" i="19"/>
  <c r="G262" i="19"/>
  <c r="G195" i="19"/>
  <c r="F195" i="19"/>
  <c r="F174" i="19"/>
  <c r="G174" i="19"/>
  <c r="G398" i="19"/>
  <c r="F398" i="19"/>
  <c r="G415" i="19"/>
  <c r="F415" i="19"/>
  <c r="G168" i="19"/>
  <c r="F168" i="19"/>
  <c r="G232" i="19"/>
  <c r="F232" i="19"/>
  <c r="G312" i="19"/>
  <c r="F312" i="19"/>
  <c r="G352" i="19"/>
  <c r="F352" i="19"/>
  <c r="G290" i="19"/>
  <c r="F290" i="19"/>
  <c r="F189" i="19"/>
  <c r="G189" i="19"/>
  <c r="G309" i="19"/>
  <c r="F309" i="19"/>
  <c r="G130" i="19"/>
  <c r="F130" i="19"/>
  <c r="G476" i="19"/>
  <c r="F476" i="19"/>
  <c r="G170" i="19"/>
  <c r="F170" i="19"/>
  <c r="F198" i="19"/>
  <c r="G198" i="19"/>
  <c r="F142" i="19"/>
  <c r="G142" i="19"/>
  <c r="G440" i="19"/>
  <c r="F440" i="19"/>
  <c r="F134" i="19"/>
  <c r="G134" i="19"/>
  <c r="F102" i="13"/>
  <c r="F106" i="13"/>
  <c r="F118" i="13"/>
  <c r="F166" i="13"/>
  <c r="F182" i="13"/>
  <c r="F230" i="13"/>
  <c r="F246" i="13"/>
  <c r="F262" i="13"/>
  <c r="F266" i="13"/>
  <c r="F278" i="13"/>
  <c r="F282" i="13"/>
  <c r="F294" i="13"/>
  <c r="F298" i="13"/>
  <c r="F310" i="13"/>
  <c r="F326" i="13"/>
  <c r="F342" i="13"/>
  <c r="F346" i="13"/>
  <c r="F358" i="13"/>
  <c r="F362" i="13"/>
  <c r="F374" i="13"/>
  <c r="F378" i="13"/>
  <c r="F390" i="13"/>
  <c r="F394" i="13"/>
  <c r="F406" i="13"/>
  <c r="F410" i="13"/>
  <c r="F442" i="13"/>
  <c r="F454" i="13"/>
  <c r="F458" i="13"/>
  <c r="F470" i="13"/>
  <c r="F474" i="13"/>
  <c r="F486" i="13"/>
  <c r="F502" i="13"/>
  <c r="F91" i="13"/>
  <c r="F107" i="13"/>
  <c r="F123" i="13"/>
  <c r="F139" i="13"/>
  <c r="F155" i="13"/>
  <c r="F171" i="13"/>
  <c r="F187" i="13"/>
  <c r="F203" i="13"/>
  <c r="F219" i="13"/>
  <c r="F235" i="13"/>
  <c r="F251" i="13"/>
  <c r="F267" i="13"/>
  <c r="F283" i="13"/>
  <c r="F299" i="13"/>
  <c r="F315" i="13"/>
  <c r="F331" i="13"/>
  <c r="F347" i="13"/>
  <c r="F363" i="13"/>
  <c r="F379" i="13"/>
  <c r="F395" i="13"/>
  <c r="F411" i="13"/>
  <c r="F427" i="13"/>
  <c r="F443" i="13"/>
  <c r="F459" i="13"/>
  <c r="F475" i="13"/>
  <c r="F491" i="13"/>
  <c r="F507" i="13"/>
  <c r="F80" i="13"/>
  <c r="F92" i="13"/>
  <c r="F124" i="13"/>
  <c r="F128" i="13"/>
  <c r="F140" i="13"/>
  <c r="F144" i="13"/>
  <c r="F156" i="13"/>
  <c r="F172" i="13"/>
  <c r="F188" i="13"/>
  <c r="F192" i="13"/>
  <c r="F204" i="13"/>
  <c r="F208" i="13"/>
  <c r="F220" i="13"/>
  <c r="F236" i="13"/>
  <c r="F252" i="13"/>
  <c r="F268" i="13"/>
  <c r="F284" i="13"/>
  <c r="F300" i="13"/>
  <c r="F316" i="13"/>
  <c r="F332" i="13"/>
  <c r="F348" i="13"/>
  <c r="F364" i="13"/>
  <c r="F380" i="13"/>
  <c r="F396" i="13"/>
  <c r="F412" i="13"/>
  <c r="F428" i="13"/>
  <c r="F444" i="13"/>
  <c r="F460" i="13"/>
  <c r="F476" i="13"/>
  <c r="F492" i="13"/>
  <c r="F508" i="13"/>
  <c r="F81" i="13"/>
  <c r="F97" i="13"/>
  <c r="F113" i="13"/>
  <c r="F129" i="13"/>
  <c r="F145" i="13"/>
  <c r="F161" i="13"/>
  <c r="F177" i="13"/>
  <c r="F193" i="13"/>
  <c r="F209" i="13"/>
  <c r="F225" i="13"/>
  <c r="F241" i="13"/>
  <c r="F257" i="13"/>
  <c r="F273" i="13"/>
  <c r="F289" i="13"/>
  <c r="F305" i="13"/>
  <c r="F321" i="13"/>
  <c r="F337" i="13"/>
  <c r="F353" i="13"/>
  <c r="F369" i="13"/>
  <c r="F385" i="13"/>
  <c r="F401" i="13"/>
  <c r="F413" i="13"/>
  <c r="F445" i="13"/>
  <c r="F461" i="13"/>
  <c r="F465" i="13"/>
  <c r="F477" i="13"/>
  <c r="F82" i="13"/>
  <c r="F86" i="13"/>
  <c r="F98" i="13"/>
  <c r="F130" i="13"/>
  <c r="F134" i="13"/>
  <c r="F146" i="13"/>
  <c r="F150" i="13"/>
  <c r="F162" i="13"/>
  <c r="F178" i="13"/>
  <c r="F194" i="13"/>
  <c r="F198" i="13"/>
  <c r="F210" i="13"/>
  <c r="F214" i="13"/>
  <c r="F226" i="13"/>
  <c r="F242" i="13"/>
  <c r="F258" i="13"/>
  <c r="F274" i="13"/>
  <c r="F290" i="13"/>
  <c r="F306" i="13"/>
  <c r="F322" i="13"/>
  <c r="F338" i="13"/>
  <c r="F354" i="13"/>
  <c r="F370" i="13"/>
  <c r="F386" i="13"/>
  <c r="F402" i="13"/>
  <c r="F418" i="13"/>
  <c r="F422" i="13"/>
  <c r="F438" i="13"/>
  <c r="F450" i="13"/>
  <c r="F466" i="13"/>
  <c r="F490" i="13"/>
  <c r="F498" i="13"/>
  <c r="F87" i="13"/>
  <c r="F103" i="13"/>
  <c r="F119" i="13"/>
  <c r="F135" i="13"/>
  <c r="F151" i="13"/>
  <c r="F167" i="13"/>
  <c r="F183" i="13"/>
  <c r="F199" i="13"/>
  <c r="F215" i="13"/>
  <c r="F231" i="13"/>
  <c r="F247" i="13"/>
  <c r="F263" i="13"/>
  <c r="F279" i="13"/>
  <c r="F295" i="13"/>
  <c r="F311" i="13"/>
  <c r="F327" i="13"/>
  <c r="F343" i="13"/>
  <c r="F359" i="13"/>
  <c r="F375" i="13"/>
  <c r="F391" i="13"/>
  <c r="F407" i="13"/>
  <c r="F423" i="13"/>
  <c r="F439" i="13"/>
  <c r="F455" i="13"/>
  <c r="F471" i="13"/>
  <c r="F487" i="13"/>
  <c r="F503" i="13"/>
  <c r="F88" i="13"/>
  <c r="F104" i="13"/>
  <c r="F108" i="13"/>
  <c r="F120" i="13"/>
  <c r="F136" i="13"/>
  <c r="F152" i="13"/>
  <c r="F168" i="13"/>
  <c r="F184" i="13"/>
  <c r="F200" i="13"/>
  <c r="F232" i="13"/>
  <c r="F248" i="13"/>
  <c r="F264" i="13"/>
  <c r="F296" i="13"/>
  <c r="F312" i="13"/>
  <c r="F328" i="13"/>
  <c r="F360" i="13"/>
  <c r="F376" i="13"/>
  <c r="F392" i="13"/>
  <c r="F424" i="13"/>
  <c r="F440" i="13"/>
  <c r="F456" i="13"/>
  <c r="F472" i="13"/>
  <c r="F488" i="13"/>
  <c r="F504" i="13"/>
  <c r="F89" i="13"/>
  <c r="F93" i="13"/>
  <c r="F105" i="13"/>
  <c r="F109" i="13"/>
  <c r="F121" i="13"/>
  <c r="F125" i="13"/>
  <c r="F137" i="13"/>
  <c r="F141" i="13"/>
  <c r="F153" i="13"/>
  <c r="F157" i="13"/>
  <c r="F169" i="13"/>
  <c r="F173" i="13"/>
  <c r="F185" i="13"/>
  <c r="F189" i="13"/>
  <c r="F201" i="13"/>
  <c r="F205" i="13"/>
  <c r="F217" i="13"/>
  <c r="F221" i="13"/>
  <c r="F233" i="13"/>
  <c r="F237" i="13"/>
  <c r="F249" i="13"/>
  <c r="F253" i="13"/>
  <c r="F265" i="13"/>
  <c r="F269" i="13"/>
  <c r="F281" i="13"/>
  <c r="F285" i="13"/>
  <c r="F297" i="13"/>
  <c r="F301" i="13"/>
  <c r="F313" i="13"/>
  <c r="F317" i="13"/>
  <c r="F329" i="13"/>
  <c r="F333" i="13"/>
  <c r="F345" i="13"/>
  <c r="F349" i="13"/>
  <c r="F361" i="13"/>
  <c r="F365" i="13"/>
  <c r="F377" i="13"/>
  <c r="F381" i="13"/>
  <c r="F393" i="13"/>
  <c r="F397" i="13"/>
  <c r="F409" i="13"/>
  <c r="F425" i="13"/>
  <c r="F429" i="13"/>
  <c r="F441" i="13"/>
  <c r="F457" i="13"/>
  <c r="F473" i="13"/>
  <c r="F489" i="13"/>
  <c r="F493" i="13"/>
  <c r="F505" i="13"/>
  <c r="F94" i="13"/>
  <c r="F110" i="13"/>
  <c r="F114" i="13"/>
  <c r="F126" i="13"/>
  <c r="F142" i="13"/>
  <c r="F158" i="13"/>
  <c r="F174" i="13"/>
  <c r="F190" i="13"/>
  <c r="F206" i="13"/>
  <c r="F222" i="13"/>
  <c r="F238" i="13"/>
  <c r="F254" i="13"/>
  <c r="F270" i="13"/>
  <c r="F286" i="13"/>
  <c r="F302" i="13"/>
  <c r="F318" i="13"/>
  <c r="F334" i="13"/>
  <c r="F350" i="13"/>
  <c r="F366" i="13"/>
  <c r="F382" i="13"/>
  <c r="F398" i="13"/>
  <c r="F414" i="13"/>
  <c r="F430" i="13"/>
  <c r="F434" i="13"/>
  <c r="F446" i="13"/>
  <c r="F462" i="13"/>
  <c r="F478" i="13"/>
  <c r="F482" i="13"/>
  <c r="F494" i="13"/>
  <c r="F83" i="13"/>
  <c r="F99" i="13"/>
  <c r="F115" i="13"/>
  <c r="F131" i="13"/>
  <c r="F147" i="13"/>
  <c r="F163" i="13"/>
  <c r="F179" i="13"/>
  <c r="F195" i="13"/>
  <c r="F211" i="13"/>
  <c r="F227" i="13"/>
  <c r="F243" i="13"/>
  <c r="F259" i="13"/>
  <c r="F275" i="13"/>
  <c r="F291" i="13"/>
  <c r="F307" i="13"/>
  <c r="F323" i="13"/>
  <c r="F339" i="13"/>
  <c r="F355" i="13"/>
  <c r="F371" i="13"/>
  <c r="F387" i="13"/>
  <c r="F403" i="13"/>
  <c r="F419" i="13"/>
  <c r="F435" i="13"/>
  <c r="F451" i="13"/>
  <c r="F467" i="13"/>
  <c r="F483" i="13"/>
  <c r="F499" i="13"/>
  <c r="F84" i="13"/>
  <c r="F100" i="13"/>
  <c r="F116" i="13"/>
  <c r="F132" i="13"/>
  <c r="F148" i="13"/>
  <c r="F164" i="13"/>
  <c r="F180" i="13"/>
  <c r="F196" i="13"/>
  <c r="F212" i="13"/>
  <c r="F216" i="13"/>
  <c r="F228" i="13"/>
  <c r="F244" i="13"/>
  <c r="F260" i="13"/>
  <c r="F276" i="13"/>
  <c r="F280" i="13"/>
  <c r="F292" i="13"/>
  <c r="F308" i="13"/>
  <c r="F324" i="13"/>
  <c r="F340" i="13"/>
  <c r="F344" i="13"/>
  <c r="F356" i="13"/>
  <c r="F372" i="13"/>
  <c r="F388" i="13"/>
  <c r="F404" i="13"/>
  <c r="F408" i="13"/>
  <c r="F420" i="13"/>
  <c r="F436" i="13"/>
  <c r="F452" i="13"/>
  <c r="F468" i="13"/>
  <c r="F484" i="13"/>
  <c r="F500" i="13"/>
  <c r="F421" i="13"/>
  <c r="F453" i="13"/>
  <c r="F469" i="13"/>
  <c r="F485" i="13"/>
  <c r="F501" i="13"/>
  <c r="F90" i="13"/>
  <c r="F122" i="13"/>
  <c r="F138" i="13"/>
  <c r="F154" i="13"/>
  <c r="F170" i="13"/>
  <c r="F186" i="13"/>
  <c r="F202" i="13"/>
  <c r="F218" i="13"/>
  <c r="F234" i="13"/>
  <c r="F250" i="13"/>
  <c r="F314" i="13"/>
  <c r="F330" i="13"/>
  <c r="F426" i="13"/>
  <c r="F506" i="13"/>
  <c r="F95" i="13"/>
  <c r="F111" i="13"/>
  <c r="F127" i="13"/>
  <c r="F143" i="13"/>
  <c r="F159" i="13"/>
  <c r="F175" i="13"/>
  <c r="F191" i="13"/>
  <c r="F207" i="13"/>
  <c r="F223" i="13"/>
  <c r="F239" i="13"/>
  <c r="F255" i="13"/>
  <c r="F271" i="13"/>
  <c r="F287" i="13"/>
  <c r="F303" i="13"/>
  <c r="F319" i="13"/>
  <c r="F335" i="13"/>
  <c r="F351" i="13"/>
  <c r="F367" i="13"/>
  <c r="F383" i="13"/>
  <c r="F399" i="13"/>
  <c r="F415" i="13"/>
  <c r="F431" i="13"/>
  <c r="F447" i="13"/>
  <c r="F463" i="13"/>
  <c r="F479" i="13"/>
  <c r="F495" i="13"/>
  <c r="F96" i="13"/>
  <c r="F112" i="13"/>
  <c r="F160" i="13"/>
  <c r="F176" i="13"/>
  <c r="F224" i="13"/>
  <c r="F240" i="13"/>
  <c r="F256" i="13"/>
  <c r="F272" i="13"/>
  <c r="F288" i="13"/>
  <c r="F304" i="13"/>
  <c r="F320" i="13"/>
  <c r="F336" i="13"/>
  <c r="F352" i="13"/>
  <c r="F368" i="13"/>
  <c r="F384" i="13"/>
  <c r="F400" i="13"/>
  <c r="F416" i="13"/>
  <c r="F432" i="13"/>
  <c r="F448" i="13"/>
  <c r="F464" i="13"/>
  <c r="F480" i="13"/>
  <c r="F496" i="13"/>
  <c r="F85" i="13"/>
  <c r="F101" i="13"/>
  <c r="F117" i="13"/>
  <c r="F133" i="13"/>
  <c r="F149" i="13"/>
  <c r="F165" i="13"/>
  <c r="F181" i="13"/>
  <c r="F197" i="13"/>
  <c r="F213" i="13"/>
  <c r="F229" i="13"/>
  <c r="F245" i="13"/>
  <c r="F261" i="13"/>
  <c r="F277" i="13"/>
  <c r="F293" i="13"/>
  <c r="F309" i="13"/>
  <c r="F325" i="13"/>
  <c r="F341" i="13"/>
  <c r="F357" i="13"/>
  <c r="F373" i="13"/>
  <c r="F389" i="13"/>
  <c r="F405" i="13"/>
  <c r="F417" i="13"/>
  <c r="F433" i="13"/>
  <c r="F437" i="13"/>
  <c r="F449" i="13"/>
  <c r="F481" i="13"/>
  <c r="F497" i="13"/>
  <c r="F63" i="13"/>
  <c r="F73" i="13"/>
  <c r="F42" i="13"/>
  <c r="F60" i="13"/>
  <c r="F46" i="13"/>
  <c r="F55" i="13"/>
  <c r="F64" i="13"/>
  <c r="F72" i="13"/>
  <c r="F65" i="13"/>
  <c r="F34" i="13"/>
  <c r="F50" i="13"/>
  <c r="F43" i="13"/>
  <c r="F68" i="13"/>
  <c r="F61" i="13"/>
  <c r="F77" i="13"/>
  <c r="F66" i="13"/>
  <c r="F59" i="13"/>
  <c r="F21" i="13"/>
  <c r="H21" i="13" s="1"/>
  <c r="J21" i="13" s="1"/>
  <c r="F30" i="13"/>
  <c r="F38" i="13"/>
  <c r="F39" i="13"/>
  <c r="F47" i="13"/>
  <c r="F57" i="13"/>
  <c r="F51" i="13"/>
  <c r="F16" i="13"/>
  <c r="H16" i="13" s="1"/>
  <c r="J16" i="13" s="1"/>
  <c r="F58" i="13"/>
  <c r="F11" i="13"/>
  <c r="H11" i="13" s="1"/>
  <c r="J11" i="13" s="1"/>
  <c r="F12" i="13"/>
  <c r="H12" i="13" s="1"/>
  <c r="J12" i="13" s="1"/>
  <c r="F29" i="13"/>
  <c r="F13" i="13"/>
  <c r="H13" i="13" s="1"/>
  <c r="J13" i="13" s="1"/>
  <c r="F48" i="13"/>
  <c r="F56" i="13"/>
  <c r="F33" i="13"/>
  <c r="F41" i="13"/>
  <c r="F49" i="13"/>
  <c r="F26" i="13"/>
  <c r="H26" i="13" s="1"/>
  <c r="J26" i="13" s="1"/>
  <c r="F27" i="13"/>
  <c r="F35" i="13"/>
  <c r="F52" i="13"/>
  <c r="F45" i="13"/>
  <c r="F76" i="13"/>
  <c r="F69" i="13"/>
  <c r="F22" i="13"/>
  <c r="H22" i="13" s="1"/>
  <c r="J22" i="13" s="1"/>
  <c r="F31" i="13"/>
  <c r="F17" i="13"/>
  <c r="H17" i="13" s="1"/>
  <c r="J17" i="13" s="1"/>
  <c r="F28" i="13"/>
  <c r="F44" i="13"/>
  <c r="F14" i="13"/>
  <c r="H14" i="13" s="1"/>
  <c r="J14" i="13" s="1"/>
  <c r="F78" i="13"/>
  <c r="F15" i="13"/>
  <c r="H15" i="13" s="1"/>
  <c r="J15" i="13" s="1"/>
  <c r="F23" i="13"/>
  <c r="H23" i="13" s="1"/>
  <c r="J23" i="13" s="1"/>
  <c r="F32" i="13"/>
  <c r="F40" i="13"/>
  <c r="F25" i="13"/>
  <c r="H25" i="13" s="1"/>
  <c r="J25" i="13" s="1"/>
  <c r="F10" i="13"/>
  <c r="H10" i="13" s="1"/>
  <c r="J10" i="13" s="1"/>
  <c r="F18" i="13"/>
  <c r="H18" i="13" s="1"/>
  <c r="J18" i="13" s="1"/>
  <c r="F74" i="13"/>
  <c r="F20" i="13"/>
  <c r="H20" i="13" s="1"/>
  <c r="J20" i="13" s="1"/>
  <c r="F36" i="13"/>
  <c r="F62" i="13"/>
  <c r="F67" i="13"/>
  <c r="F37" i="13"/>
  <c r="F54" i="13"/>
  <c r="F53" i="13"/>
  <c r="F70" i="13"/>
  <c r="F71" i="13"/>
  <c r="F79" i="13"/>
  <c r="F24" i="13"/>
  <c r="H24" i="13" s="1"/>
  <c r="J24" i="13" s="1"/>
  <c r="F19" i="13"/>
  <c r="H19" i="13" s="1"/>
  <c r="J19" i="13" s="1"/>
  <c r="F75" i="13"/>
  <c r="G106" i="19" l="1"/>
  <c r="F106" i="19"/>
  <c r="F89" i="19"/>
  <c r="G89" i="19"/>
  <c r="F110" i="19"/>
  <c r="G110" i="19"/>
  <c r="F98" i="19"/>
  <c r="G98" i="19"/>
  <c r="N112" i="13"/>
  <c r="E112" i="19" s="1"/>
  <c r="N59" i="13"/>
  <c r="E59" i="19" s="1"/>
  <c r="N116" i="13"/>
  <c r="E116" i="19" s="1"/>
  <c r="N88" i="13"/>
  <c r="E88" i="19" s="1"/>
  <c r="N104" i="13"/>
  <c r="E104" i="19" s="1"/>
  <c r="N64" i="13"/>
  <c r="E64" i="19" s="1"/>
  <c r="N73" i="13"/>
  <c r="E73" i="19" s="1"/>
  <c r="N115" i="13"/>
  <c r="E115" i="19" s="1"/>
  <c r="N74" i="13"/>
  <c r="E74" i="19" s="1"/>
  <c r="E45" i="19"/>
  <c r="F45" i="19" s="1"/>
  <c r="E43" i="19"/>
  <c r="G43" i="19" s="1"/>
  <c r="N111" i="13"/>
  <c r="E111" i="19" s="1"/>
  <c r="N54" i="13"/>
  <c r="E54" i="19" s="1"/>
  <c r="N117" i="13"/>
  <c r="E117" i="19" s="1"/>
  <c r="N91" i="13"/>
  <c r="E91" i="19" s="1"/>
  <c r="N113" i="13"/>
  <c r="E113" i="19" s="1"/>
  <c r="N68" i="13"/>
  <c r="E68" i="19" s="1"/>
  <c r="N94" i="13"/>
  <c r="E94" i="19" s="1"/>
  <c r="N61" i="13"/>
  <c r="E61" i="19" s="1"/>
  <c r="N114" i="13"/>
  <c r="E114" i="19" s="1"/>
  <c r="N105" i="13"/>
  <c r="E105" i="19" s="1"/>
  <c r="N69" i="13"/>
  <c r="E69" i="19" s="1"/>
  <c r="N42" i="13"/>
  <c r="E42" i="19" s="1"/>
  <c r="N93" i="13"/>
  <c r="E93" i="19" s="1"/>
  <c r="N84" i="13"/>
  <c r="E84" i="19" s="1"/>
  <c r="N97" i="13"/>
  <c r="E97" i="19" s="1"/>
  <c r="N71" i="13"/>
  <c r="E71" i="19" s="1"/>
  <c r="N77" i="13"/>
  <c r="E77" i="19" s="1"/>
  <c r="N57" i="13"/>
  <c r="E57" i="19" s="1"/>
  <c r="N108" i="13"/>
  <c r="E108" i="19" s="1"/>
  <c r="N86" i="13"/>
  <c r="E86" i="19" s="1"/>
  <c r="N51" i="13"/>
  <c r="E51" i="19" s="1"/>
  <c r="N109" i="13"/>
  <c r="E109" i="19" s="1"/>
  <c r="N44" i="13"/>
  <c r="E44" i="19" s="1"/>
  <c r="N92" i="13"/>
  <c r="E92" i="19" s="1"/>
  <c r="N66" i="13"/>
  <c r="E66" i="19" s="1"/>
  <c r="N47" i="13"/>
  <c r="E47" i="19" s="1"/>
  <c r="N87" i="13"/>
  <c r="E87" i="19" s="1"/>
  <c r="N62" i="13"/>
  <c r="E62" i="19" s="1"/>
  <c r="N48" i="13"/>
  <c r="E48" i="19" s="1"/>
  <c r="E55" i="19"/>
  <c r="G55" i="19" s="1"/>
  <c r="N70" i="13"/>
  <c r="E70" i="19" s="1"/>
  <c r="N60" i="13"/>
  <c r="E60" i="19" s="1"/>
  <c r="G60" i="19" s="1"/>
  <c r="N49" i="13"/>
  <c r="E49" i="19" s="1"/>
  <c r="N99" i="13"/>
  <c r="E99" i="19" s="1"/>
  <c r="F99" i="19" s="1"/>
  <c r="N103" i="13"/>
  <c r="E103" i="19" s="1"/>
  <c r="N107" i="13"/>
  <c r="E107" i="19" s="1"/>
  <c r="G107" i="19" s="1"/>
  <c r="N46" i="13"/>
  <c r="E46" i="19" s="1"/>
  <c r="N100" i="13"/>
  <c r="E100" i="19" s="1"/>
  <c r="N101" i="13"/>
  <c r="E101" i="19" s="1"/>
  <c r="N67" i="13"/>
  <c r="E67" i="19" s="1"/>
  <c r="N102" i="13"/>
  <c r="E102" i="19" s="1"/>
  <c r="N90" i="13"/>
  <c r="E90" i="19" s="1"/>
  <c r="N56" i="13"/>
  <c r="E56" i="19" s="1"/>
  <c r="N50" i="13"/>
  <c r="E50" i="19" s="1"/>
  <c r="N119" i="13"/>
  <c r="E119" i="19" s="1"/>
  <c r="N58" i="13"/>
  <c r="E58" i="19" s="1"/>
  <c r="N83" i="13"/>
  <c r="E83" i="19" s="1"/>
  <c r="N95" i="13"/>
  <c r="E95" i="19" s="1"/>
  <c r="N63" i="13"/>
  <c r="E63" i="19" s="1"/>
  <c r="N118" i="13"/>
  <c r="E118" i="19" s="1"/>
  <c r="N65" i="13"/>
  <c r="E65" i="19" s="1"/>
  <c r="N72" i="13"/>
  <c r="E72" i="19" s="1"/>
  <c r="N75" i="13"/>
  <c r="E75" i="19" s="1"/>
  <c r="N96" i="13"/>
  <c r="E96" i="19" s="1"/>
  <c r="N78" i="13"/>
  <c r="E78" i="19" s="1"/>
  <c r="N79" i="13"/>
  <c r="E79" i="19" s="1"/>
  <c r="N85" i="13"/>
  <c r="E85" i="19" s="1"/>
  <c r="N80" i="13"/>
  <c r="E80" i="19" s="1"/>
  <c r="N82" i="13"/>
  <c r="E82" i="19" s="1"/>
  <c r="N76" i="13"/>
  <c r="E76" i="19" s="1"/>
  <c r="N52" i="13"/>
  <c r="E52" i="19" s="1"/>
  <c r="N81" i="13"/>
  <c r="E81" i="19" s="1"/>
  <c r="N53" i="13"/>
  <c r="E53" i="19" s="1"/>
  <c r="K34" i="13"/>
  <c r="M34" i="13" s="1"/>
  <c r="K26" i="13"/>
  <c r="K38" i="13"/>
  <c r="M38" i="13" s="1"/>
  <c r="K39" i="13"/>
  <c r="M39" i="13" s="1"/>
  <c r="K31" i="13"/>
  <c r="M31" i="13" s="1"/>
  <c r="K32" i="13"/>
  <c r="M32" i="13" s="1"/>
  <c r="K30" i="13"/>
  <c r="M30" i="13" s="1"/>
  <c r="K33" i="13"/>
  <c r="M33" i="13" s="1"/>
  <c r="K41" i="13"/>
  <c r="M41" i="13" s="1"/>
  <c r="K40" i="13"/>
  <c r="M40" i="13" s="1"/>
  <c r="K37" i="13"/>
  <c r="M37" i="13" s="1"/>
  <c r="K28" i="13"/>
  <c r="M28" i="13" s="1"/>
  <c r="K29" i="13"/>
  <c r="M29" i="13" s="1"/>
  <c r="K36" i="13"/>
  <c r="M36" i="13" s="1"/>
  <c r="K27" i="13"/>
  <c r="M27" i="13" s="1"/>
  <c r="K35" i="13"/>
  <c r="M35" i="13" s="1"/>
  <c r="F55" i="19"/>
  <c r="K16" i="13"/>
  <c r="M16" i="13" s="1"/>
  <c r="N16" i="13" s="1"/>
  <c r="K11" i="13"/>
  <c r="M11" i="13" s="1"/>
  <c r="K22" i="13"/>
  <c r="M22" i="13" s="1"/>
  <c r="N22" i="13" s="1"/>
  <c r="K9" i="13"/>
  <c r="M9" i="13" s="1"/>
  <c r="K10" i="13"/>
  <c r="M10" i="13" s="1"/>
  <c r="K18" i="13"/>
  <c r="M18" i="13" s="1"/>
  <c r="N18" i="13" s="1"/>
  <c r="K15" i="13"/>
  <c r="M15" i="13" s="1"/>
  <c r="N15" i="13" s="1"/>
  <c r="K23" i="13"/>
  <c r="M23" i="13" s="1"/>
  <c r="K12" i="13"/>
  <c r="M12" i="13" s="1"/>
  <c r="K21" i="13"/>
  <c r="M21" i="13" s="1"/>
  <c r="K13" i="13"/>
  <c r="M13" i="13" s="1"/>
  <c r="K20" i="13"/>
  <c r="M20" i="13" s="1"/>
  <c r="N20" i="13" s="1"/>
  <c r="K25" i="13"/>
  <c r="M25" i="13" s="1"/>
  <c r="K19" i="13"/>
  <c r="M19" i="13" s="1"/>
  <c r="N19" i="13" s="1"/>
  <c r="K24" i="13"/>
  <c r="M24" i="13" s="1"/>
  <c r="N24" i="13" s="1"/>
  <c r="M26" i="13"/>
  <c r="K14" i="13"/>
  <c r="M14" i="13" s="1"/>
  <c r="N14" i="13" s="1"/>
  <c r="K17" i="13"/>
  <c r="M17" i="13" s="1"/>
  <c r="G45" i="19" l="1"/>
  <c r="G112" i="19"/>
  <c r="F112" i="19"/>
  <c r="G100" i="19"/>
  <c r="F100" i="19"/>
  <c r="F107" i="19"/>
  <c r="F58" i="19"/>
  <c r="G58" i="19"/>
  <c r="G44" i="19"/>
  <c r="F44" i="19"/>
  <c r="F85" i="19"/>
  <c r="G85" i="19"/>
  <c r="G80" i="19"/>
  <c r="F80" i="19"/>
  <c r="G81" i="19"/>
  <c r="F81" i="19"/>
  <c r="G118" i="19"/>
  <c r="F118" i="19"/>
  <c r="G90" i="19"/>
  <c r="F90" i="19"/>
  <c r="G108" i="19"/>
  <c r="F108" i="19"/>
  <c r="F69" i="19"/>
  <c r="G69" i="19"/>
  <c r="G117" i="19"/>
  <c r="F117" i="19"/>
  <c r="G52" i="19"/>
  <c r="F52" i="19"/>
  <c r="F75" i="19"/>
  <c r="G75" i="19"/>
  <c r="G63" i="19"/>
  <c r="F63" i="19"/>
  <c r="G119" i="19"/>
  <c r="F119" i="19"/>
  <c r="F102" i="19"/>
  <c r="G102" i="19"/>
  <c r="F103" i="19"/>
  <c r="G103" i="19"/>
  <c r="F48" i="19"/>
  <c r="G48" i="19"/>
  <c r="G47" i="19"/>
  <c r="F47" i="19"/>
  <c r="F109" i="19"/>
  <c r="G109" i="19"/>
  <c r="F57" i="19"/>
  <c r="G57" i="19"/>
  <c r="G84" i="19"/>
  <c r="F84" i="19"/>
  <c r="G105" i="19"/>
  <c r="F105" i="19"/>
  <c r="F68" i="19"/>
  <c r="G68" i="19"/>
  <c r="F54" i="19"/>
  <c r="G54" i="19"/>
  <c r="G74" i="19"/>
  <c r="F74" i="19"/>
  <c r="G104" i="19"/>
  <c r="F104" i="19"/>
  <c r="G76" i="19"/>
  <c r="F76" i="19"/>
  <c r="G79" i="19"/>
  <c r="F79" i="19"/>
  <c r="G72" i="19"/>
  <c r="F72" i="19"/>
  <c r="F95" i="19"/>
  <c r="G95" i="19"/>
  <c r="F50" i="19"/>
  <c r="G50" i="19"/>
  <c r="F67" i="19"/>
  <c r="G67" i="19"/>
  <c r="G46" i="19"/>
  <c r="F46" i="19"/>
  <c r="G62" i="19"/>
  <c r="F62" i="19"/>
  <c r="F66" i="19"/>
  <c r="G66" i="19"/>
  <c r="G51" i="19"/>
  <c r="F51" i="19"/>
  <c r="G77" i="19"/>
  <c r="F77" i="19"/>
  <c r="F93" i="19"/>
  <c r="G93" i="19"/>
  <c r="G114" i="19"/>
  <c r="F114" i="19"/>
  <c r="F113" i="19"/>
  <c r="G113" i="19"/>
  <c r="G111" i="19"/>
  <c r="F111" i="19"/>
  <c r="G115" i="19"/>
  <c r="F115" i="19"/>
  <c r="G88" i="19"/>
  <c r="F88" i="19"/>
  <c r="F53" i="19"/>
  <c r="G53" i="19"/>
  <c r="G82" i="19"/>
  <c r="F82" i="19"/>
  <c r="F78" i="19"/>
  <c r="G78" i="19"/>
  <c r="F65" i="19"/>
  <c r="G65" i="19"/>
  <c r="G83" i="19"/>
  <c r="F83" i="19"/>
  <c r="F56" i="19"/>
  <c r="G56" i="19"/>
  <c r="F101" i="19"/>
  <c r="G101" i="19"/>
  <c r="G70" i="19"/>
  <c r="F70" i="19"/>
  <c r="F87" i="19"/>
  <c r="G87" i="19"/>
  <c r="G92" i="19"/>
  <c r="F92" i="19"/>
  <c r="G86" i="19"/>
  <c r="F86" i="19"/>
  <c r="G71" i="19"/>
  <c r="F71" i="19"/>
  <c r="G42" i="19"/>
  <c r="F42" i="19"/>
  <c r="F61" i="19"/>
  <c r="G61" i="19"/>
  <c r="G91" i="19"/>
  <c r="F91" i="19"/>
  <c r="F73" i="19"/>
  <c r="G73" i="19"/>
  <c r="G116" i="19"/>
  <c r="F116" i="19"/>
  <c r="F96" i="19"/>
  <c r="G96" i="19"/>
  <c r="F49" i="19"/>
  <c r="G49" i="19"/>
  <c r="F97" i="19"/>
  <c r="G97" i="19"/>
  <c r="G94" i="19"/>
  <c r="F94" i="19"/>
  <c r="F64" i="19"/>
  <c r="G64" i="19"/>
  <c r="F59" i="19"/>
  <c r="G59" i="19"/>
  <c r="N38" i="13"/>
  <c r="E38" i="19" s="1"/>
  <c r="F60" i="19"/>
  <c r="N29" i="13"/>
  <c r="E29" i="19" s="1"/>
  <c r="N31" i="13"/>
  <c r="E31" i="19" s="1"/>
  <c r="N13" i="13"/>
  <c r="E13" i="19" s="1"/>
  <c r="E14" i="19"/>
  <c r="F14" i="19" s="1"/>
  <c r="E22" i="19"/>
  <c r="F22" i="19" s="1"/>
  <c r="F43" i="19"/>
  <c r="N35" i="13"/>
  <c r="E35" i="19" s="1"/>
  <c r="F35" i="19" s="1"/>
  <c r="N28" i="13"/>
  <c r="E28" i="19" s="1"/>
  <c r="N33" i="13"/>
  <c r="E33" i="19" s="1"/>
  <c r="F33" i="19" s="1"/>
  <c r="N39" i="13"/>
  <c r="E39" i="19" s="1"/>
  <c r="N23" i="13"/>
  <c r="E23" i="19" s="1"/>
  <c r="N10" i="13"/>
  <c r="E10" i="19" s="1"/>
  <c r="N12" i="13"/>
  <c r="E12" i="19" s="1"/>
  <c r="N17" i="13"/>
  <c r="E17" i="19" s="1"/>
  <c r="N25" i="13"/>
  <c r="E25" i="19" s="1"/>
  <c r="N37" i="13"/>
  <c r="E37" i="19" s="1"/>
  <c r="E20" i="19"/>
  <c r="F20" i="19" s="1"/>
  <c r="N30" i="13"/>
  <c r="E30" i="19" s="1"/>
  <c r="G30" i="19" s="1"/>
  <c r="E15" i="19"/>
  <c r="F15" i="19" s="1"/>
  <c r="N9" i="13"/>
  <c r="E9" i="19" s="1"/>
  <c r="G9" i="19" s="1"/>
  <c r="E16" i="19"/>
  <c r="F16" i="19" s="1"/>
  <c r="G99" i="19"/>
  <c r="N36" i="13"/>
  <c r="E36" i="19" s="1"/>
  <c r="F36" i="19" s="1"/>
  <c r="N40" i="13"/>
  <c r="E40" i="19" s="1"/>
  <c r="N32" i="13"/>
  <c r="E32" i="19" s="1"/>
  <c r="N21" i="13"/>
  <c r="E21" i="19" s="1"/>
  <c r="N27" i="13"/>
  <c r="E27" i="19" s="1"/>
  <c r="G27" i="19" s="1"/>
  <c r="N26" i="13"/>
  <c r="E26" i="19" s="1"/>
  <c r="F26" i="19" s="1"/>
  <c r="E24" i="19"/>
  <c r="F24" i="19" s="1"/>
  <c r="E19" i="19"/>
  <c r="G19" i="19" s="1"/>
  <c r="E18" i="19"/>
  <c r="G18" i="19" s="1"/>
  <c r="N41" i="13"/>
  <c r="E41" i="19" s="1"/>
  <c r="N34" i="13"/>
  <c r="E34" i="19" s="1"/>
  <c r="G34" i="19" s="1"/>
  <c r="N11" i="13"/>
  <c r="E11" i="19" s="1"/>
  <c r="G24" i="19"/>
  <c r="G16" i="19"/>
  <c r="G14" i="19" l="1"/>
  <c r="G15" i="19"/>
  <c r="G12" i="19"/>
  <c r="F12" i="19"/>
  <c r="G26" i="19"/>
  <c r="G22" i="19"/>
  <c r="F29" i="19"/>
  <c r="G29" i="19"/>
  <c r="G33" i="19"/>
  <c r="F19" i="19"/>
  <c r="F41" i="19"/>
  <c r="G41" i="19"/>
  <c r="F17" i="19"/>
  <c r="G17" i="19"/>
  <c r="F40" i="19"/>
  <c r="G40" i="19"/>
  <c r="G10" i="19"/>
  <c r="F10" i="19"/>
  <c r="F13" i="19"/>
  <c r="G13" i="19"/>
  <c r="F39" i="19"/>
  <c r="G39" i="19"/>
  <c r="G11" i="19"/>
  <c r="F11" i="19"/>
  <c r="F37" i="19"/>
  <c r="G37" i="19"/>
  <c r="G21" i="19"/>
  <c r="F21" i="19"/>
  <c r="F25" i="19"/>
  <c r="G25" i="19"/>
  <c r="F23" i="19"/>
  <c r="G23" i="19"/>
  <c r="F28" i="19"/>
  <c r="G28" i="19"/>
  <c r="G31" i="19"/>
  <c r="F31" i="19"/>
  <c r="F38" i="19"/>
  <c r="G38" i="19"/>
  <c r="G35" i="19"/>
  <c r="F34" i="19"/>
  <c r="G32" i="19"/>
  <c r="F32" i="19"/>
  <c r="G20" i="19"/>
  <c r="F18" i="19"/>
  <c r="F27" i="19"/>
  <c r="G36" i="19"/>
  <c r="F9" i="19"/>
  <c r="F12" i="20" s="1"/>
  <c r="F30" i="19"/>
  <c r="H12" i="20" l="1"/>
  <c r="H13" i="20" s="1"/>
  <c r="F13" i="20"/>
</calcChain>
</file>

<file path=xl/sharedStrings.xml><?xml version="1.0" encoding="utf-8"?>
<sst xmlns="http://schemas.openxmlformats.org/spreadsheetml/2006/main" count="96" uniqueCount="75">
  <si>
    <t>Tributo</t>
  </si>
  <si>
    <t>Juros</t>
  </si>
  <si>
    <t>Multa</t>
  </si>
  <si>
    <t>Último dia do mês/período ou data da ocorrência</t>
  </si>
  <si>
    <t>Valor Original</t>
  </si>
  <si>
    <t>Termo Inicial</t>
  </si>
  <si>
    <t>%Taxa</t>
  </si>
  <si>
    <t>Valor Juros Tributo</t>
  </si>
  <si>
    <t>Valor Básico</t>
  </si>
  <si>
    <t>Termo Inicial (DAVB)</t>
  </si>
  <si>
    <t>Valor Básico atualizado</t>
  </si>
  <si>
    <t>%Multa</t>
  </si>
  <si>
    <t>Quantidade do referencial</t>
  </si>
  <si>
    <t>Quant. Ufesp</t>
  </si>
  <si>
    <t>Valor da Ufesp</t>
  </si>
  <si>
    <t>Nome:</t>
  </si>
  <si>
    <t>AIIM:</t>
  </si>
  <si>
    <t>Data da Lavratura:</t>
  </si>
  <si>
    <t>Valor da UFESP na Lavratura:</t>
  </si>
  <si>
    <t>1a</t>
  </si>
  <si>
    <t>Valor Original do Tributo</t>
  </si>
  <si>
    <t>Valor Atualizado do Tributo</t>
  </si>
  <si>
    <t>Multa Mínima 70 Ufesps por Item (Valor)</t>
  </si>
  <si>
    <t>Recálculo da Multa Após Vigência da Lei 16.497/2017 que Incluiu o Artigo 85-B na Lei do ICMS Prevendo Redução da Multa nos Casos de Confissão Irretratável do Débito</t>
  </si>
  <si>
    <t>N° do Item</t>
  </si>
  <si>
    <t>Somatório Novo Valor Multa após Redução por Item</t>
  </si>
  <si>
    <t>%Multa para Redução (art 85-B)</t>
  </si>
  <si>
    <t>Valor Multa Após Redução (art 85-B)</t>
  </si>
  <si>
    <t>Valor Multa Mínima (art 85-B)</t>
  </si>
  <si>
    <t>Valor Base Multa p/ Recálculo Confissão (art 85-B)</t>
  </si>
  <si>
    <t>1.</t>
  </si>
  <si>
    <t>a)</t>
  </si>
  <si>
    <t>b)</t>
  </si>
  <si>
    <t>Campos Editáveis</t>
  </si>
  <si>
    <t>-</t>
  </si>
  <si>
    <t>c)</t>
  </si>
  <si>
    <t>CNPJ/CPF:</t>
  </si>
  <si>
    <t>Aba "DDF Original"</t>
  </si>
  <si>
    <t>A inserção na aba "DDF Original" da presente planilha dos dados copiados conforme item "b" acima será realizada selecionando-se a célula correspondente à coluna 1 e ao subitem "1 . 1" e acionando-se o comando "Colar Especial" -&gt; "Valores (V)".</t>
  </si>
  <si>
    <r>
      <rPr>
        <b/>
        <sz val="11"/>
        <color rgb="FF000000"/>
        <rFont val="Calibri"/>
        <family val="2"/>
      </rPr>
      <t>AIIM</t>
    </r>
    <r>
      <rPr>
        <sz val="11"/>
        <color theme="1"/>
        <rFont val="Calibri"/>
        <family val="2"/>
        <scheme val="minor"/>
      </rPr>
      <t xml:space="preserve"> - Informar o número do AIIM com o dígito.</t>
    </r>
  </si>
  <si>
    <r>
      <rPr>
        <b/>
        <sz val="11"/>
        <color rgb="FF000000"/>
        <rFont val="Calibri"/>
        <family val="2"/>
      </rPr>
      <t>Data da Lavratura</t>
    </r>
    <r>
      <rPr>
        <sz val="11"/>
        <color theme="1"/>
        <rFont val="Calibri"/>
        <family val="2"/>
        <scheme val="minor"/>
      </rPr>
      <t xml:space="preserve"> - Informar a data da lavratura do AIIM.</t>
    </r>
  </si>
  <si>
    <r>
      <rPr>
        <b/>
        <sz val="11"/>
        <color rgb="FF000000"/>
        <rFont val="Calibri"/>
        <family val="2"/>
      </rPr>
      <t>Valor da UFESP na Lavratura</t>
    </r>
    <r>
      <rPr>
        <sz val="11"/>
        <color theme="1"/>
        <rFont val="Calibri"/>
        <family val="2"/>
        <scheme val="minor"/>
      </rPr>
      <t xml:space="preserve"> - Informar o valor da UFESP vigente na data da lavratura</t>
    </r>
  </si>
  <si>
    <t>Subitem do AIIM</t>
  </si>
  <si>
    <t>MI, MA ou LI</t>
  </si>
  <si>
    <t>Valor Multa - (9)*(10) ou (12)*(13) ou LI</t>
  </si>
  <si>
    <t>Valor da Multa</t>
  </si>
  <si>
    <t>Valor da Multa Após Redução (art 85-B)</t>
  </si>
  <si>
    <t>Cálculo da Multa Após Redução pela Confissão Irretratável com os Descontos para Pagamento à Vista Dentro dos 15 Dias (70%) ou 30 Dias (60%) da Notificação da Lavratura do AIIM</t>
  </si>
  <si>
    <t>Valor da Multa Após Redução e com Desconto de 70%</t>
  </si>
  <si>
    <t>Valor da Multa Após Redução e com Desconto de 60%</t>
  </si>
  <si>
    <t>Essa aba será utilizada para inserir os dados do DDF original objeto do recálculo.</t>
  </si>
  <si>
    <r>
      <rPr>
        <b/>
        <sz val="11"/>
        <color rgb="FF000000"/>
        <rFont val="Calibri"/>
        <family val="2"/>
      </rPr>
      <t>CNPJ/CPF</t>
    </r>
    <r>
      <rPr>
        <sz val="11"/>
        <color theme="1"/>
        <rFont val="Calibri"/>
        <family val="2"/>
        <scheme val="minor"/>
      </rPr>
      <t xml:space="preserve"> - Informar o número do CNPJ/CPF do contribuinte.</t>
    </r>
  </si>
  <si>
    <r>
      <rPr>
        <b/>
        <sz val="11"/>
        <color rgb="FF000000"/>
        <rFont val="Calibri"/>
        <family val="2"/>
      </rPr>
      <t>Nome</t>
    </r>
    <r>
      <rPr>
        <sz val="11"/>
        <color theme="1"/>
        <rFont val="Calibri"/>
        <family val="2"/>
        <scheme val="minor"/>
      </rPr>
      <t xml:space="preserve"> - Informar o nome do contribuinte.</t>
    </r>
  </si>
  <si>
    <r>
      <rPr>
        <b/>
        <sz val="11"/>
        <color rgb="FF000000"/>
        <rFont val="Calibri"/>
        <family val="2"/>
      </rPr>
      <t xml:space="preserve">Colunas 1 a 15 </t>
    </r>
    <r>
      <rPr>
        <sz val="11"/>
        <color theme="1"/>
        <rFont val="Calibri"/>
        <family val="2"/>
        <scheme val="minor"/>
      </rPr>
      <t>- Seguir as orientações constantes nas alíneas "b" e "c" do item 1 acima, referente à aba "DDF Original".</t>
    </r>
  </si>
  <si>
    <t>Para pagamento em 15 ou 30 dias da Notificação do AIIM</t>
  </si>
  <si>
    <t>15 dias</t>
  </si>
  <si>
    <t>30 dias</t>
  </si>
  <si>
    <t>Imposto</t>
  </si>
  <si>
    <t>Juros de Mora</t>
  </si>
  <si>
    <t>Multa Líquida</t>
  </si>
  <si>
    <t>SOMA</t>
  </si>
  <si>
    <t>lavrado em</t>
  </si>
  <si>
    <t>Anexo ao AIIM nº</t>
  </si>
  <si>
    <t>GOVERNO DO ESTADO DE SÃO PAULO</t>
  </si>
  <si>
    <t xml:space="preserve">      QUADRO 3</t>
  </si>
  <si>
    <t>Conforme o disposto no §8º,1 do artigo 527 do RICMS, o valor da UFESP aplicado é:</t>
  </si>
  <si>
    <r>
      <t xml:space="preserve">Os dados do DDF original a serem preenchidos (colunas 1 a 15) serão obtidos a partir do AIIM transmitido no sistema AIIMWEB &gt;&gt; Consulta &gt;&gt; Por Número AIIM &gt;&gt; </t>
    </r>
    <r>
      <rPr>
        <i/>
        <sz val="11"/>
        <color theme="1"/>
        <rFont val="Calibri"/>
        <family val="2"/>
        <scheme val="minor"/>
      </rPr>
      <t>digitar o nº</t>
    </r>
    <r>
      <rPr>
        <sz val="11"/>
        <color theme="1"/>
        <rFont val="Calibri"/>
        <family val="2"/>
        <scheme val="minor"/>
      </rPr>
      <t xml:space="preserve"> &gt;&gt; DDF &gt;&gt; Exportar DDF (csv), selecionando na planilha gerada a partir da coluna 1 e da linha correspondente ao subitem "1 . 1", até a coluna 15 e a linha correspondente ao último subitem e, em seguida, acionando o comando "Copiar" ou as teclas "Ctrl" + "C".</t>
    </r>
  </si>
  <si>
    <t>Caso alguma condição prevista no §1º do artigo 85-B da lei 6.374/89 não seja atendida, a redução da penalidade será indeferida e deverão ser considerados para pagamento os valores constantes no Demonstrativo de Débito Fiscal, não invalidando a confissão irretratável do débito fiscal e a renúncia ao contencioso administrativo tributário para os demais fins.</t>
  </si>
  <si>
    <t>Os valores apresentados neste demonstrativo, com diminuição da penalidade, são válidos para pagamento após expressa confissão irretratável do débito fiscal e renúncia ao contencioso administrativo tributário, bem como o atendimento das demais condições previstas no § 1º do artigo 85-B da lei 6.374/89</t>
  </si>
  <si>
    <t xml:space="preserve">A entrega da confissão bem como o respectivo deferimento ou indeferimento NÃO suspende ou altera o início do prazo para aproveitamento da redução da penalidade prevista no Artigo 85-B da Lei 6.374/89.
</t>
  </si>
  <si>
    <t>Procedimentos para pagamento do AIIM com redução das penalidades, conforme valores do Quadro 3:</t>
  </si>
  <si>
    <t>Ajuda para Utilização da Planilha Auxiliar para Cálculo do Demonstrativo para Pagamento Após Confissão - v. 23-07-2019</t>
  </si>
  <si>
    <t>SECRETARIA DA FAZENDA E PLANEJAMENTO</t>
  </si>
  <si>
    <t>SUBSECRETARIA DA RECEITA ESTADUAL</t>
  </si>
  <si>
    <t>1. Acessar a Conta Fiscal do AIIM - https://www10.fazenda.sp.gov.br/ContaFiscalAiim;
2. Consultar o AIIM;
3. Clicar em “Confessar Débito Lei nº 6.374/1989, Art. 85-B”;
4. Selecionar os subitens confessados;
5. Simular os cálculos;
6. Se a seleção estiver correta, basta clicar em “confessar” e confirmar o procedimento.
Feito isso, a confissão ficará pendente de análise pela Secretaria da Fazenda, sendo possível já gerar a respectiva DARE para pagamento.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</si>
</sst>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_-* #,##0.00_-;\-* #,##0.00_-;_-* \-??_-;_-@_-"/>
    <numFmt numFmtId="166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8.5"/>
      <color theme="1"/>
      <name val="Calibri"/>
      <family val="2"/>
      <scheme val="minor"/>
    </font>
    <font>
      <b/>
      <i/>
      <sz val="12"/>
      <color rgb="FF000000"/>
      <name val="Calibri"/>
      <family val="2"/>
    </font>
    <font>
      <b/>
      <i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</font>
    <font>
      <b/>
      <i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  <xf numFmtId="0" fontId="7" fillId="0" borderId="0"/>
    <xf numFmtId="0" fontId="1" fillId="0" borderId="0"/>
    <xf numFmtId="0" fontId="1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1" fillId="0" borderId="0" applyBorder="0" applyProtection="0"/>
    <xf numFmtId="9" fontId="7" fillId="0" borderId="0" applyBorder="0" applyProtection="0"/>
    <xf numFmtId="9" fontId="7" fillId="0" borderId="0" applyBorder="0" applyProtection="0"/>
    <xf numFmtId="165" fontId="11" fillId="0" borderId="0" applyBorder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7" fillId="0" borderId="0" applyBorder="0" applyProtection="0"/>
  </cellStyleXfs>
  <cellXfs count="1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/>
    <xf numFmtId="14" fontId="3" fillId="4" borderId="1" xfId="0" applyNumberFormat="1" applyFont="1" applyFill="1" applyBorder="1" applyProtection="1">
      <protection locked="0"/>
    </xf>
    <xf numFmtId="4" fontId="3" fillId="4" borderId="1" xfId="0" applyNumberFormat="1" applyFont="1" applyFill="1" applyBorder="1" applyAlignment="1" applyProtection="1">
      <protection locked="0"/>
    </xf>
    <xf numFmtId="1" fontId="2" fillId="4" borderId="1" xfId="0" applyNumberFormat="1" applyFont="1" applyFill="1" applyBorder="1" applyAlignment="1" applyProtection="1">
      <alignment horizontal="center"/>
      <protection locked="0"/>
    </xf>
    <xf numFmtId="43" fontId="2" fillId="4" borderId="1" xfId="1" applyFont="1" applyFill="1" applyBorder="1" applyProtection="1">
      <protection locked="0"/>
    </xf>
    <xf numFmtId="14" fontId="2" fillId="4" borderId="1" xfId="0" applyNumberFormat="1" applyFont="1" applyFill="1" applyBorder="1" applyProtection="1">
      <protection locked="0"/>
    </xf>
    <xf numFmtId="0" fontId="2" fillId="4" borderId="1" xfId="0" applyFont="1" applyFill="1" applyBorder="1" applyProtection="1">
      <protection locked="0"/>
    </xf>
    <xf numFmtId="8" fontId="2" fillId="4" borderId="1" xfId="1" applyNumberFormat="1" applyFont="1" applyFill="1" applyBorder="1" applyProtection="1">
      <protection locked="0"/>
    </xf>
    <xf numFmtId="0" fontId="4" fillId="2" borderId="1" xfId="0" applyFont="1" applyFill="1" applyBorder="1" applyProtection="1"/>
    <xf numFmtId="0" fontId="5" fillId="0" borderId="0" xfId="0" applyFont="1" applyProtection="1"/>
    <xf numFmtId="0" fontId="4" fillId="0" borderId="1" xfId="0" applyFont="1" applyFill="1" applyBorder="1" applyAlignment="1" applyProtection="1"/>
    <xf numFmtId="0" fontId="5" fillId="0" borderId="0" xfId="0" applyFont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6" fillId="3" borderId="1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1" fontId="5" fillId="0" borderId="1" xfId="0" applyNumberFormat="1" applyFont="1" applyBorder="1" applyAlignment="1" applyProtection="1">
      <alignment horizontal="center"/>
    </xf>
    <xf numFmtId="44" fontId="5" fillId="0" borderId="1" xfId="2" applyFont="1" applyBorder="1" applyProtection="1"/>
    <xf numFmtId="0" fontId="5" fillId="2" borderId="1" xfId="0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Protection="1"/>
    <xf numFmtId="4" fontId="4" fillId="0" borderId="1" xfId="0" applyNumberFormat="1" applyFont="1" applyFill="1" applyBorder="1" applyAlignment="1" applyProtection="1"/>
    <xf numFmtId="43" fontId="5" fillId="0" borderId="1" xfId="1" applyNumberFormat="1" applyFont="1" applyBorder="1" applyProtection="1"/>
    <xf numFmtId="164" fontId="5" fillId="0" borderId="1" xfId="1" applyNumberFormat="1" applyFont="1" applyBorder="1" applyProtection="1"/>
    <xf numFmtId="0" fontId="7" fillId="0" borderId="0" xfId="3"/>
    <xf numFmtId="0" fontId="7" fillId="0" borderId="0" xfId="3" applyAlignment="1">
      <alignment vertical="top"/>
    </xf>
    <xf numFmtId="0" fontId="9" fillId="6" borderId="0" xfId="3" applyFont="1" applyFill="1" applyAlignment="1">
      <alignment vertical="top"/>
    </xf>
    <xf numFmtId="0" fontId="1" fillId="0" borderId="0" xfId="5" applyAlignment="1">
      <alignment vertical="top" wrapText="1"/>
    </xf>
    <xf numFmtId="0" fontId="1" fillId="0" borderId="0" xfId="5" applyFont="1" applyAlignment="1">
      <alignment horizontal="right" vertical="top" wrapText="1"/>
    </xf>
    <xf numFmtId="0" fontId="0" fillId="0" borderId="0" xfId="4" applyFont="1" applyAlignment="1">
      <alignment vertical="top" wrapText="1"/>
    </xf>
    <xf numFmtId="0" fontId="7" fillId="0" borderId="0" xfId="3" applyAlignment="1">
      <alignment vertical="top" wrapText="1"/>
    </xf>
    <xf numFmtId="0" fontId="0" fillId="0" borderId="0" xfId="5" applyFont="1" applyAlignment="1">
      <alignment horizontal="right" vertical="top" wrapText="1"/>
    </xf>
    <xf numFmtId="0" fontId="7" fillId="0" borderId="0" xfId="4" applyAlignment="1">
      <alignment vertical="top" wrapText="1"/>
    </xf>
    <xf numFmtId="0" fontId="10" fillId="0" borderId="0" xfId="4" applyFont="1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8" fontId="5" fillId="0" borderId="1" xfId="2" applyNumberFormat="1" applyFont="1" applyBorder="1" applyProtection="1"/>
    <xf numFmtId="44" fontId="5" fillId="0" borderId="1" xfId="2" applyNumberFormat="1" applyFont="1" applyBorder="1" applyProtection="1"/>
    <xf numFmtId="0" fontId="4" fillId="0" borderId="0" xfId="0" applyFont="1" applyFill="1" applyBorder="1" applyAlignment="1" applyProtection="1"/>
    <xf numFmtId="0" fontId="4" fillId="0" borderId="0" xfId="0" applyFont="1" applyAlignment="1" applyProtection="1">
      <alignment horizontal="center" vertical="center" wrapText="1"/>
    </xf>
    <xf numFmtId="0" fontId="13" fillId="0" borderId="0" xfId="0" applyFont="1"/>
    <xf numFmtId="14" fontId="4" fillId="0" borderId="0" xfId="0" applyNumberFormat="1" applyFont="1" applyFill="1" applyBorder="1" applyProtection="1"/>
    <xf numFmtId="44" fontId="0" fillId="0" borderId="0" xfId="0" applyNumberFormat="1" applyBorder="1" applyAlignment="1">
      <alignment horizontal="center"/>
    </xf>
    <xf numFmtId="44" fontId="13" fillId="0" borderId="0" xfId="0" applyNumberFormat="1" applyFont="1" applyBorder="1" applyAlignment="1">
      <alignment horizontal="center"/>
    </xf>
    <xf numFmtId="44" fontId="0" fillId="0" borderId="0" xfId="0" applyNumberFormat="1" applyBorder="1" applyAlignment="1"/>
    <xf numFmtId="0" fontId="13" fillId="0" borderId="0" xfId="0" applyFont="1" applyFill="1" applyBorder="1" applyAlignment="1" applyProtection="1">
      <alignment vertical="center" wrapText="1"/>
    </xf>
    <xf numFmtId="0" fontId="5" fillId="0" borderId="0" xfId="0" applyFont="1" applyBorder="1" applyProtection="1"/>
    <xf numFmtId="0" fontId="5" fillId="0" borderId="11" xfId="0" applyFont="1" applyBorder="1" applyProtection="1"/>
    <xf numFmtId="0" fontId="5" fillId="0" borderId="8" xfId="0" applyFont="1" applyBorder="1" applyProtection="1"/>
    <xf numFmtId="0" fontId="5" fillId="0" borderId="12" xfId="0" applyFont="1" applyBorder="1" applyProtection="1"/>
    <xf numFmtId="0" fontId="5" fillId="0" borderId="10" xfId="0" applyFont="1" applyBorder="1" applyProtection="1"/>
    <xf numFmtId="0" fontId="5" fillId="0" borderId="16" xfId="0" applyFont="1" applyBorder="1" applyProtection="1"/>
    <xf numFmtId="0" fontId="0" fillId="0" borderId="16" xfId="0" applyBorder="1"/>
    <xf numFmtId="0" fontId="5" fillId="0" borderId="17" xfId="0" applyFont="1" applyBorder="1" applyProtection="1"/>
    <xf numFmtId="0" fontId="5" fillId="0" borderId="18" xfId="0" applyFont="1" applyBorder="1" applyProtection="1"/>
    <xf numFmtId="0" fontId="5" fillId="0" borderId="19" xfId="0" applyFont="1" applyBorder="1" applyProtection="1"/>
    <xf numFmtId="0" fontId="4" fillId="0" borderId="10" xfId="0" applyFont="1" applyFill="1" applyBorder="1" applyProtection="1"/>
    <xf numFmtId="0" fontId="5" fillId="0" borderId="10" xfId="0" applyFont="1" applyFill="1" applyBorder="1" applyProtection="1"/>
    <xf numFmtId="0" fontId="14" fillId="0" borderId="0" xfId="0" applyFont="1" applyBorder="1" applyAlignment="1" applyProtection="1"/>
    <xf numFmtId="0" fontId="14" fillId="0" borderId="16" xfId="0" applyFont="1" applyBorder="1" applyAlignment="1" applyProtection="1"/>
    <xf numFmtId="0" fontId="14" fillId="0" borderId="10" xfId="0" applyFont="1" applyBorder="1" applyAlignment="1" applyProtection="1"/>
    <xf numFmtId="0" fontId="0" fillId="0" borderId="0" xfId="0" applyAlignment="1"/>
    <xf numFmtId="0" fontId="16" fillId="0" borderId="0" xfId="0" applyFont="1" applyAlignment="1">
      <alignment vertical="center" wrapText="1"/>
    </xf>
    <xf numFmtId="1" fontId="5" fillId="0" borderId="1" xfId="0" applyNumberFormat="1" applyFont="1" applyFill="1" applyBorder="1" applyAlignment="1" applyProtection="1">
      <alignment horizontal="center"/>
    </xf>
    <xf numFmtId="44" fontId="5" fillId="0" borderId="1" xfId="2" applyFont="1" applyFill="1" applyBorder="1" applyProtection="1"/>
    <xf numFmtId="43" fontId="5" fillId="0" borderId="1" xfId="1" applyNumberFormat="1" applyFont="1" applyFill="1" applyBorder="1" applyProtection="1"/>
    <xf numFmtId="8" fontId="5" fillId="0" borderId="1" xfId="2" applyNumberFormat="1" applyFont="1" applyFill="1" applyBorder="1" applyProtection="1"/>
    <xf numFmtId="164" fontId="5" fillId="0" borderId="1" xfId="1" applyNumberFormat="1" applyFont="1" applyFill="1" applyBorder="1" applyProtection="1"/>
    <xf numFmtId="4" fontId="0" fillId="0" borderId="0" xfId="0" applyNumberFormat="1"/>
    <xf numFmtId="44" fontId="0" fillId="0" borderId="0" xfId="2" applyFont="1"/>
    <xf numFmtId="166" fontId="0" fillId="0" borderId="0" xfId="0" applyNumberFormat="1"/>
    <xf numFmtId="0" fontId="17" fillId="0" borderId="0" xfId="0" applyFont="1" applyAlignment="1"/>
    <xf numFmtId="4" fontId="18" fillId="0" borderId="0" xfId="0" applyNumberFormat="1" applyFont="1"/>
    <xf numFmtId="0" fontId="20" fillId="0" borderId="0" xfId="0" applyFont="1" applyAlignment="1">
      <alignment vertical="center" wrapText="1"/>
    </xf>
    <xf numFmtId="44" fontId="22" fillId="0" borderId="0" xfId="2" applyFont="1" applyAlignment="1"/>
    <xf numFmtId="0" fontId="21" fillId="0" borderId="0" xfId="0" applyFont="1" applyAlignment="1">
      <alignment vertical="center" wrapText="1"/>
    </xf>
    <xf numFmtId="0" fontId="13" fillId="0" borderId="0" xfId="0" applyFont="1" applyAlignment="1"/>
    <xf numFmtId="0" fontId="23" fillId="0" borderId="0" xfId="0" applyFont="1" applyAlignment="1">
      <alignment wrapText="1"/>
    </xf>
    <xf numFmtId="0" fontId="23" fillId="0" borderId="0" xfId="0" applyFont="1" applyAlignment="1"/>
    <xf numFmtId="0" fontId="24" fillId="0" borderId="0" xfId="0" applyFont="1" applyAlignment="1">
      <alignment vertical="center" readingOrder="1"/>
    </xf>
    <xf numFmtId="0" fontId="8" fillId="5" borderId="0" xfId="3" applyFont="1" applyFill="1" applyAlignment="1">
      <alignment horizontal="center" vertical="top"/>
    </xf>
    <xf numFmtId="0" fontId="9" fillId="7" borderId="0" xfId="4" applyFont="1" applyFill="1" applyAlignment="1">
      <alignment vertical="top" wrapText="1"/>
    </xf>
    <xf numFmtId="0" fontId="9" fillId="7" borderId="0" xfId="3" applyFont="1" applyFill="1" applyAlignment="1">
      <alignment vertical="top" wrapText="1"/>
    </xf>
    <xf numFmtId="0" fontId="9" fillId="6" borderId="0" xfId="4" applyFont="1" applyFill="1" applyAlignment="1">
      <alignment vertical="top" wrapText="1"/>
    </xf>
    <xf numFmtId="0" fontId="7" fillId="0" borderId="0" xfId="3" applyAlignment="1">
      <alignment vertical="top" wrapText="1"/>
    </xf>
    <xf numFmtId="0" fontId="0" fillId="0" borderId="0" xfId="4" applyFont="1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4" fillId="0" borderId="2" xfId="0" applyFont="1" applyFill="1" applyBorder="1" applyAlignment="1" applyProtection="1">
      <alignment horizontal="left"/>
    </xf>
    <xf numFmtId="0" fontId="4" fillId="0" borderId="3" xfId="0" applyFont="1" applyFill="1" applyBorder="1" applyAlignment="1" applyProtection="1">
      <alignment horizontal="left"/>
    </xf>
    <xf numFmtId="0" fontId="4" fillId="2" borderId="2" xfId="0" applyFont="1" applyFill="1" applyBorder="1" applyAlignment="1" applyProtection="1">
      <alignment horizontal="left"/>
    </xf>
    <xf numFmtId="0" fontId="4" fillId="2" borderId="3" xfId="0" applyFont="1" applyFill="1" applyBorder="1" applyAlignment="1" applyProtection="1">
      <alignment horizontal="left"/>
    </xf>
    <xf numFmtId="0" fontId="4" fillId="0" borderId="1" xfId="0" applyNumberFormat="1" applyFont="1" applyFill="1" applyBorder="1" applyAlignment="1" applyProtection="1">
      <alignment horizontal="left"/>
    </xf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4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left"/>
    </xf>
    <xf numFmtId="0" fontId="15" fillId="0" borderId="0" xfId="0" applyFont="1" applyFill="1" applyBorder="1" applyAlignment="1" applyProtection="1">
      <alignment horizontal="center"/>
    </xf>
    <xf numFmtId="44" fontId="0" fillId="0" borderId="20" xfId="0" applyNumberFormat="1" applyBorder="1" applyAlignment="1">
      <alignment horizontal="center"/>
    </xf>
    <xf numFmtId="44" fontId="0" fillId="0" borderId="13" xfId="0" applyNumberFormat="1" applyBorder="1" applyAlignment="1">
      <alignment horizontal="center"/>
    </xf>
    <xf numFmtId="44" fontId="0" fillId="0" borderId="7" xfId="0" applyNumberFormat="1" applyBorder="1" applyAlignment="1">
      <alignment horizontal="center"/>
    </xf>
    <xf numFmtId="44" fontId="0" fillId="0" borderId="14" xfId="0" applyNumberFormat="1" applyBorder="1" applyAlignment="1">
      <alignment horizontal="center"/>
    </xf>
    <xf numFmtId="0" fontId="13" fillId="0" borderId="5" xfId="0" applyFont="1" applyFill="1" applyBorder="1" applyAlignment="1" applyProtection="1">
      <alignment horizontal="center" vertical="center" wrapText="1"/>
    </xf>
    <xf numFmtId="0" fontId="13" fillId="0" borderId="9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/>
    </xf>
    <xf numFmtId="0" fontId="13" fillId="0" borderId="6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>
      <alignment horizontal="center"/>
    </xf>
    <xf numFmtId="0" fontId="4" fillId="0" borderId="10" xfId="0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horizontal="center" vertical="center"/>
    </xf>
    <xf numFmtId="14" fontId="4" fillId="0" borderId="0" xfId="0" applyNumberFormat="1" applyFont="1" applyFill="1" applyBorder="1" applyAlignment="1" applyProtection="1">
      <alignment horizontal="center" vertical="center"/>
    </xf>
    <xf numFmtId="0" fontId="13" fillId="0" borderId="20" xfId="0" applyFont="1" applyBorder="1" applyAlignment="1">
      <alignment horizontal="center"/>
    </xf>
    <xf numFmtId="0" fontId="13" fillId="0" borderId="2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44" fontId="0" fillId="0" borderId="22" xfId="0" applyNumberFormat="1" applyBorder="1" applyAlignment="1">
      <alignment horizontal="center"/>
    </xf>
    <xf numFmtId="44" fontId="0" fillId="0" borderId="4" xfId="0" applyNumberFormat="1" applyBorder="1" applyAlignment="1">
      <alignment horizontal="center"/>
    </xf>
    <xf numFmtId="44" fontId="0" fillId="0" borderId="21" xfId="0" applyNumberFormat="1" applyBorder="1" applyAlignment="1">
      <alignment horizontal="center"/>
    </xf>
    <xf numFmtId="44" fontId="0" fillId="0" borderId="23" xfId="0" applyNumberFormat="1" applyBorder="1" applyAlignment="1">
      <alignment horizontal="center"/>
    </xf>
    <xf numFmtId="44" fontId="0" fillId="0" borderId="15" xfId="0" applyNumberFormat="1" applyBorder="1" applyAlignment="1">
      <alignment horizontal="center"/>
    </xf>
    <xf numFmtId="44" fontId="13" fillId="0" borderId="5" xfId="0" applyNumberFormat="1" applyFont="1" applyBorder="1" applyAlignment="1">
      <alignment horizontal="center"/>
    </xf>
    <xf numFmtId="44" fontId="13" fillId="0" borderId="6" xfId="0" applyNumberFormat="1" applyFont="1" applyBorder="1" applyAlignment="1">
      <alignment horizontal="center"/>
    </xf>
    <xf numFmtId="44" fontId="13" fillId="0" borderId="9" xfId="0" applyNumberFormat="1" applyFont="1" applyBorder="1" applyAlignment="1">
      <alignment horizontal="center"/>
    </xf>
    <xf numFmtId="0" fontId="24" fillId="0" borderId="0" xfId="0" applyFont="1" applyAlignment="1">
      <alignment horizontal="left" vertical="center" wrapText="1" readingOrder="1"/>
    </xf>
    <xf numFmtId="0" fontId="20" fillId="0" borderId="0" xfId="0" applyFont="1" applyAlignment="1">
      <alignment vertical="top" wrapText="1"/>
    </xf>
    <xf numFmtId="0" fontId="13" fillId="0" borderId="21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20" fillId="0" borderId="0" xfId="0" applyFont="1" applyAlignment="1">
      <alignment vertical="center" wrapText="1"/>
    </xf>
  </cellXfs>
  <cellStyles count="33">
    <cellStyle name="Moeda" xfId="2" builtinId="4"/>
    <cellStyle name="Normal" xfId="0" builtinId="0"/>
    <cellStyle name="Normal 2" xfId="6" xr:uid="{00000000-0005-0000-0000-000002000000}"/>
    <cellStyle name="Normal 2 2" xfId="3" xr:uid="{00000000-0005-0000-0000-000003000000}"/>
    <cellStyle name="Normal 3" xfId="7" xr:uid="{00000000-0005-0000-0000-000004000000}"/>
    <cellStyle name="Normal 4" xfId="8" xr:uid="{00000000-0005-0000-0000-000005000000}"/>
    <cellStyle name="Normal 4 2" xfId="9" xr:uid="{00000000-0005-0000-0000-000006000000}"/>
    <cellStyle name="Normal 4 2 2" xfId="10" xr:uid="{00000000-0005-0000-0000-000007000000}"/>
    <cellStyle name="Normal 4 3" xfId="11" xr:uid="{00000000-0005-0000-0000-000008000000}"/>
    <cellStyle name="Normal 5" xfId="12" xr:uid="{00000000-0005-0000-0000-000009000000}"/>
    <cellStyle name="Normal 5 2" xfId="13" xr:uid="{00000000-0005-0000-0000-00000A000000}"/>
    <cellStyle name="Normal 5 2 2" xfId="14" xr:uid="{00000000-0005-0000-0000-00000B000000}"/>
    <cellStyle name="Normal 5 3" xfId="15" xr:uid="{00000000-0005-0000-0000-00000C000000}"/>
    <cellStyle name="Normal 6" xfId="16" xr:uid="{00000000-0005-0000-0000-00000D000000}"/>
    <cellStyle name="Normal 6 2" xfId="17" xr:uid="{00000000-0005-0000-0000-00000E000000}"/>
    <cellStyle name="Normal 7" xfId="18" xr:uid="{00000000-0005-0000-0000-00000F000000}"/>
    <cellStyle name="Normal 7 2" xfId="19" xr:uid="{00000000-0005-0000-0000-000010000000}"/>
    <cellStyle name="Normal 8" xfId="4" xr:uid="{00000000-0005-0000-0000-000011000000}"/>
    <cellStyle name="Normal 9" xfId="5" xr:uid="{00000000-0005-0000-0000-000012000000}"/>
    <cellStyle name="Porcentagem 2" xfId="20" xr:uid="{00000000-0005-0000-0000-000013000000}"/>
    <cellStyle name="Porcentagem 2 2" xfId="21" xr:uid="{00000000-0005-0000-0000-000014000000}"/>
    <cellStyle name="Porcentagem 3" xfId="22" xr:uid="{00000000-0005-0000-0000-000015000000}"/>
    <cellStyle name="Vírgula" xfId="1" builtinId="3"/>
    <cellStyle name="Vírgula 2" xfId="23" xr:uid="{00000000-0005-0000-0000-000017000000}"/>
    <cellStyle name="Vírgula 3" xfId="24" xr:uid="{00000000-0005-0000-0000-000018000000}"/>
    <cellStyle name="Vírgula 3 2" xfId="25" xr:uid="{00000000-0005-0000-0000-000019000000}"/>
    <cellStyle name="Vírgula 3 2 2" xfId="26" xr:uid="{00000000-0005-0000-0000-00001A000000}"/>
    <cellStyle name="Vírgula 3 2 2 2" xfId="27" xr:uid="{00000000-0005-0000-0000-00001B000000}"/>
    <cellStyle name="Vírgula 3 2 3" xfId="28" xr:uid="{00000000-0005-0000-0000-00001C000000}"/>
    <cellStyle name="Vírgula 3 3" xfId="29" xr:uid="{00000000-0005-0000-0000-00001D000000}"/>
    <cellStyle name="Vírgula 3 3 2" xfId="30" xr:uid="{00000000-0005-0000-0000-00001E000000}"/>
    <cellStyle name="Vírgula 3 4" xfId="31" xr:uid="{00000000-0005-0000-0000-00001F000000}"/>
    <cellStyle name="Vírgula 4" xfId="32" xr:uid="{00000000-0005-0000-0000-000020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28575</xdr:rowOff>
    </xdr:from>
    <xdr:to>
      <xdr:col>2</xdr:col>
      <xdr:colOff>47625</xdr:colOff>
      <xdr:row>5</xdr:row>
      <xdr:rowOff>122183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838200" cy="6936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jagrebola\AppData\Local\Microsoft\Windows\Temporary%20Internet%20Files\Content.Outlook\3C6X0H9V\C&#225;lculo%20Juros%20SELIC\Parcelamento%20ITCMD\Parcelamento%20ITCMD%20-%20v.%2013-04-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Cadastrais"/>
      <sheetName val="Parcelamento"/>
      <sheetName val="Termo de Acordo"/>
      <sheetName val="Demonstrativo de Cálculo"/>
      <sheetName val="Parcelas"/>
      <sheetName val="Índice Juros Parcela em Atraso"/>
      <sheetName val="Índice Juros Pagto Anterior"/>
      <sheetName val="GARE-ITCMD"/>
      <sheetName val="Saldo"/>
      <sheetName val="Índice Juros DA"/>
      <sheetName val="UFESP"/>
      <sheetName val="Feriados"/>
      <sheetName val="Ajuda"/>
    </sheetNames>
    <sheetDataSet>
      <sheetData sheetId="0"/>
      <sheetData sheetId="1">
        <row r="4">
          <cell r="C4">
            <v>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outlinePr summaryBelow="0" summaryRight="0"/>
  </sheetPr>
  <dimension ref="A1:C18"/>
  <sheetViews>
    <sheetView showGridLines="0" showRowColHeaders="0" workbookViewId="0">
      <pane ySplit="1" topLeftCell="A2" activePane="bottomLeft" state="frozen"/>
      <selection pane="bottomLeft" activeCell="C8" sqref="C8"/>
    </sheetView>
  </sheetViews>
  <sheetFormatPr defaultColWidth="0" defaultRowHeight="15" customHeight="1" zeroHeight="1" outlineLevelRow="2" x14ac:dyDescent="0.25"/>
  <cols>
    <col min="1" max="2" width="5.140625" style="27" customWidth="1"/>
    <col min="3" max="3" width="125.85546875" style="27" customWidth="1"/>
    <col min="4" max="16384" width="9.140625" style="26" hidden="1"/>
  </cols>
  <sheetData>
    <row r="1" spans="1:3" x14ac:dyDescent="0.25">
      <c r="A1" s="81" t="s">
        <v>71</v>
      </c>
      <c r="B1" s="81"/>
      <c r="C1" s="81"/>
    </row>
    <row r="2" spans="1:3" ht="15" customHeight="1" x14ac:dyDescent="0.25"/>
    <row r="3" spans="1:3" x14ac:dyDescent="0.25">
      <c r="A3" s="28" t="s">
        <v>30</v>
      </c>
      <c r="B3" s="84" t="s">
        <v>37</v>
      </c>
      <c r="C3" s="85"/>
    </row>
    <row r="4" spans="1:3" ht="15" customHeight="1" outlineLevel="1" x14ac:dyDescent="0.25">
      <c r="B4" s="34"/>
      <c r="C4" s="34"/>
    </row>
    <row r="5" spans="1:3" ht="15" customHeight="1" outlineLevel="1" x14ac:dyDescent="0.25">
      <c r="A5" s="30" t="s">
        <v>31</v>
      </c>
      <c r="B5" s="86" t="s">
        <v>50</v>
      </c>
      <c r="C5" s="85"/>
    </row>
    <row r="6" spans="1:3" ht="15" customHeight="1" outlineLevel="1" x14ac:dyDescent="0.25">
      <c r="A6" s="30"/>
      <c r="B6" s="34"/>
      <c r="C6" s="32"/>
    </row>
    <row r="7" spans="1:3" ht="45" customHeight="1" outlineLevel="1" x14ac:dyDescent="0.25">
      <c r="A7" s="33" t="s">
        <v>32</v>
      </c>
      <c r="B7" s="86" t="s">
        <v>66</v>
      </c>
      <c r="C7" s="85"/>
    </row>
    <row r="8" spans="1:3" ht="15" customHeight="1" outlineLevel="1" x14ac:dyDescent="0.25">
      <c r="A8" s="33"/>
      <c r="B8" s="31"/>
      <c r="C8" s="32"/>
    </row>
    <row r="9" spans="1:3" ht="30" customHeight="1" outlineLevel="1" x14ac:dyDescent="0.25">
      <c r="A9" s="33" t="s">
        <v>35</v>
      </c>
      <c r="B9" s="86" t="s">
        <v>38</v>
      </c>
      <c r="C9" s="85"/>
    </row>
    <row r="10" spans="1:3" outlineLevel="1" x14ac:dyDescent="0.25">
      <c r="A10" s="33"/>
      <c r="B10" s="31"/>
      <c r="C10" s="32"/>
    </row>
    <row r="11" spans="1:3" outlineLevel="1" x14ac:dyDescent="0.25">
      <c r="B11" s="82" t="s">
        <v>33</v>
      </c>
      <c r="C11" s="83"/>
    </row>
    <row r="12" spans="1:3" outlineLevel="2" x14ac:dyDescent="0.25">
      <c r="B12" s="30" t="s">
        <v>34</v>
      </c>
      <c r="C12" s="35" t="s">
        <v>51</v>
      </c>
    </row>
    <row r="13" spans="1:3" outlineLevel="2" x14ac:dyDescent="0.25">
      <c r="B13" s="30" t="s">
        <v>34</v>
      </c>
      <c r="C13" s="35" t="s">
        <v>52</v>
      </c>
    </row>
    <row r="14" spans="1:3" outlineLevel="2" x14ac:dyDescent="0.25">
      <c r="B14" s="30" t="s">
        <v>34</v>
      </c>
      <c r="C14" s="35" t="s">
        <v>39</v>
      </c>
    </row>
    <row r="15" spans="1:3" outlineLevel="2" x14ac:dyDescent="0.25">
      <c r="B15" s="30" t="s">
        <v>34</v>
      </c>
      <c r="C15" s="35" t="s">
        <v>40</v>
      </c>
    </row>
    <row r="16" spans="1:3" outlineLevel="2" x14ac:dyDescent="0.25">
      <c r="B16" s="30" t="s">
        <v>34</v>
      </c>
      <c r="C16" s="35" t="s">
        <v>41</v>
      </c>
    </row>
    <row r="17" spans="2:3" outlineLevel="2" x14ac:dyDescent="0.25">
      <c r="B17" s="30" t="s">
        <v>34</v>
      </c>
      <c r="C17" s="35" t="s">
        <v>53</v>
      </c>
    </row>
    <row r="18" spans="2:3" ht="15" customHeight="1" x14ac:dyDescent="0.25">
      <c r="B18" s="29"/>
      <c r="C18" s="29"/>
    </row>
  </sheetData>
  <sheetProtection sheet="1" objects="1" scenarios="1"/>
  <mergeCells count="6">
    <mergeCell ref="A1:C1"/>
    <mergeCell ref="B11:C11"/>
    <mergeCell ref="B3:C3"/>
    <mergeCell ref="B5:C5"/>
    <mergeCell ref="B7:C7"/>
    <mergeCell ref="B9:C9"/>
  </mergeCells>
  <printOptions horizontalCentered="1"/>
  <pageMargins left="0.78740157480314965" right="0.78740157480314965" top="0.78740157480314965" bottom="0.74803149606299213" header="0" footer="0.51181102362204722"/>
  <pageSetup paperSize="9" scale="85" orientation="landscape" r:id="rId1"/>
  <headerFooter>
    <oddFooter>Página &amp;P de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>
    <pageSetUpPr fitToPage="1"/>
  </sheetPr>
  <dimension ref="B2:Q1508"/>
  <sheetViews>
    <sheetView zoomScaleNormal="100" workbookViewId="0">
      <pane ySplit="8" topLeftCell="A9" activePane="bottomLeft" state="frozen"/>
      <selection pane="bottomLeft" activeCell="C2" sqref="C2:D2"/>
    </sheetView>
  </sheetViews>
  <sheetFormatPr defaultColWidth="11.28515625" defaultRowHeight="12.75" x14ac:dyDescent="0.2"/>
  <cols>
    <col min="1" max="1" width="2.42578125" style="1" customWidth="1"/>
    <col min="2" max="2" width="9.140625" style="1" bestFit="1" customWidth="1"/>
    <col min="3" max="3" width="12.42578125" style="1" bestFit="1" customWidth="1"/>
    <col min="4" max="4" width="10.42578125" style="1" bestFit="1" customWidth="1"/>
    <col min="5" max="5" width="6.28515625" style="1" bestFit="1" customWidth="1"/>
    <col min="6" max="6" width="11.28515625" style="1" customWidth="1"/>
    <col min="7" max="7" width="13.85546875" style="1" bestFit="1" customWidth="1"/>
    <col min="8" max="8" width="10.7109375" style="1" bestFit="1" customWidth="1"/>
    <col min="9" max="9" width="6" style="1" bestFit="1" customWidth="1"/>
    <col min="10" max="10" width="13.85546875" style="1" bestFit="1" customWidth="1"/>
    <col min="11" max="11" width="7" style="1" bestFit="1" customWidth="1"/>
    <col min="12" max="12" width="4.85546875" style="1" customWidth="1"/>
    <col min="13" max="13" width="13.7109375" style="1" bestFit="1" customWidth="1"/>
    <col min="14" max="14" width="6.28515625" style="1" bestFit="1" customWidth="1"/>
    <col min="15" max="15" width="6" style="1" bestFit="1" customWidth="1"/>
    <col min="16" max="16" width="12.28515625" style="1" bestFit="1" customWidth="1"/>
    <col min="17" max="17" width="12.5703125" style="1" customWidth="1"/>
    <col min="18" max="16384" width="11.28515625" style="1"/>
  </cols>
  <sheetData>
    <row r="2" spans="2:17" x14ac:dyDescent="0.2">
      <c r="B2" s="4" t="s">
        <v>36</v>
      </c>
      <c r="C2" s="88"/>
      <c r="D2" s="88"/>
      <c r="F2" s="4" t="s">
        <v>15</v>
      </c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</row>
    <row r="4" spans="2:17" x14ac:dyDescent="0.2">
      <c r="B4" s="4" t="s">
        <v>16</v>
      </c>
      <c r="C4" s="88"/>
      <c r="D4" s="88"/>
      <c r="H4" s="89" t="s">
        <v>17</v>
      </c>
      <c r="I4" s="90"/>
      <c r="J4" s="5">
        <f ca="1">TODAY()</f>
        <v>44621</v>
      </c>
      <c r="N4" s="89" t="s">
        <v>18</v>
      </c>
      <c r="O4" s="91"/>
      <c r="P4" s="90"/>
      <c r="Q4" s="6">
        <v>29.09</v>
      </c>
    </row>
    <row r="6" spans="2:17" s="2" customFormat="1" ht="30" customHeight="1" x14ac:dyDescent="0.25">
      <c r="B6" s="87" t="s">
        <v>42</v>
      </c>
      <c r="C6" s="36" t="s">
        <v>0</v>
      </c>
      <c r="D6" s="87" t="s">
        <v>1</v>
      </c>
      <c r="E6" s="87"/>
      <c r="F6" s="87"/>
      <c r="G6" s="87" t="s">
        <v>2</v>
      </c>
      <c r="H6" s="87"/>
      <c r="I6" s="87"/>
      <c r="J6" s="87"/>
      <c r="K6" s="87"/>
      <c r="L6" s="87"/>
      <c r="M6" s="87"/>
      <c r="N6" s="87"/>
      <c r="O6" s="87"/>
      <c r="P6" s="87"/>
      <c r="Q6" s="87" t="s">
        <v>3</v>
      </c>
    </row>
    <row r="7" spans="2:17" s="2" customFormat="1" ht="38.25" x14ac:dyDescent="0.25">
      <c r="B7" s="87"/>
      <c r="C7" s="36" t="s">
        <v>4</v>
      </c>
      <c r="D7" s="36" t="s">
        <v>5</v>
      </c>
      <c r="E7" s="36" t="s">
        <v>6</v>
      </c>
      <c r="F7" s="36" t="s">
        <v>7</v>
      </c>
      <c r="G7" s="36" t="s">
        <v>8</v>
      </c>
      <c r="H7" s="36" t="s">
        <v>9</v>
      </c>
      <c r="I7" s="36" t="s">
        <v>6</v>
      </c>
      <c r="J7" s="36" t="s">
        <v>10</v>
      </c>
      <c r="K7" s="36" t="s">
        <v>11</v>
      </c>
      <c r="L7" s="36" t="s">
        <v>43</v>
      </c>
      <c r="M7" s="36" t="s">
        <v>12</v>
      </c>
      <c r="N7" s="36" t="s">
        <v>13</v>
      </c>
      <c r="O7" s="36" t="s">
        <v>14</v>
      </c>
      <c r="P7" s="36" t="s">
        <v>44</v>
      </c>
      <c r="Q7" s="87"/>
    </row>
    <row r="8" spans="2:17" x14ac:dyDescent="0.2">
      <c r="B8" s="3">
        <v>1</v>
      </c>
      <c r="C8" s="3">
        <v>2</v>
      </c>
      <c r="D8" s="3">
        <v>3</v>
      </c>
      <c r="E8" s="3">
        <v>4</v>
      </c>
      <c r="F8" s="3">
        <v>5</v>
      </c>
      <c r="G8" s="3">
        <v>6</v>
      </c>
      <c r="H8" s="3">
        <v>7</v>
      </c>
      <c r="I8" s="3">
        <v>8</v>
      </c>
      <c r="J8" s="3">
        <v>9</v>
      </c>
      <c r="K8" s="3">
        <v>10</v>
      </c>
      <c r="L8" s="3">
        <v>11</v>
      </c>
      <c r="M8" s="3">
        <v>9</v>
      </c>
      <c r="N8" s="3">
        <v>12</v>
      </c>
      <c r="O8" s="3">
        <v>13</v>
      </c>
      <c r="P8" s="3">
        <v>14</v>
      </c>
      <c r="Q8" s="3">
        <v>15</v>
      </c>
    </row>
    <row r="9" spans="2:17" ht="12.75" customHeight="1" x14ac:dyDescent="0.2">
      <c r="B9" s="7"/>
      <c r="C9" s="11"/>
      <c r="D9" s="9"/>
      <c r="E9" s="10"/>
      <c r="F9" s="11"/>
      <c r="G9" s="11"/>
      <c r="H9" s="9"/>
      <c r="I9" s="10"/>
      <c r="J9" s="11"/>
      <c r="K9" s="10"/>
      <c r="L9" s="10"/>
      <c r="M9" s="10"/>
      <c r="N9" s="10"/>
      <c r="O9" s="10"/>
      <c r="P9" s="11"/>
      <c r="Q9" s="9"/>
    </row>
    <row r="10" spans="2:17" ht="12.75" customHeight="1" x14ac:dyDescent="0.2">
      <c r="B10" s="7"/>
      <c r="C10" s="11"/>
      <c r="D10" s="9"/>
      <c r="E10" s="10"/>
      <c r="F10" s="11"/>
      <c r="G10" s="11"/>
      <c r="H10" s="9"/>
      <c r="I10" s="10"/>
      <c r="J10" s="11"/>
      <c r="K10" s="10"/>
      <c r="L10" s="10"/>
      <c r="M10" s="10"/>
      <c r="N10" s="10"/>
      <c r="O10" s="10"/>
      <c r="P10" s="11"/>
      <c r="Q10" s="9"/>
    </row>
    <row r="11" spans="2:17" ht="12.75" customHeight="1" x14ac:dyDescent="0.2">
      <c r="B11" s="7"/>
      <c r="C11" s="11"/>
      <c r="D11" s="9"/>
      <c r="E11" s="10"/>
      <c r="F11" s="11"/>
      <c r="G11" s="11"/>
      <c r="H11" s="9"/>
      <c r="I11" s="10"/>
      <c r="J11" s="11"/>
      <c r="K11" s="10"/>
      <c r="L11" s="10"/>
      <c r="M11" s="10"/>
      <c r="N11" s="10"/>
      <c r="O11" s="10"/>
      <c r="P11" s="11"/>
      <c r="Q11" s="9"/>
    </row>
    <row r="12" spans="2:17" ht="12.75" customHeight="1" x14ac:dyDescent="0.2">
      <c r="B12" s="7"/>
      <c r="C12" s="11"/>
      <c r="D12" s="9"/>
      <c r="E12" s="10"/>
      <c r="F12" s="11"/>
      <c r="G12" s="11"/>
      <c r="H12" s="9"/>
      <c r="I12" s="10"/>
      <c r="J12" s="11"/>
      <c r="K12" s="10"/>
      <c r="L12" s="10"/>
      <c r="M12" s="10"/>
      <c r="N12" s="10"/>
      <c r="O12" s="10"/>
      <c r="P12" s="11"/>
      <c r="Q12" s="9"/>
    </row>
    <row r="13" spans="2:17" ht="12.75" customHeight="1" x14ac:dyDescent="0.2">
      <c r="B13" s="7"/>
      <c r="C13" s="11"/>
      <c r="D13" s="9"/>
      <c r="E13" s="10"/>
      <c r="F13" s="11"/>
      <c r="G13" s="11"/>
      <c r="H13" s="9"/>
      <c r="I13" s="10"/>
      <c r="J13" s="11"/>
      <c r="K13" s="10"/>
      <c r="L13" s="10"/>
      <c r="M13" s="10"/>
      <c r="N13" s="10"/>
      <c r="O13" s="10"/>
      <c r="P13" s="11"/>
      <c r="Q13" s="9"/>
    </row>
    <row r="14" spans="2:17" ht="12.75" customHeight="1" x14ac:dyDescent="0.2">
      <c r="B14" s="7"/>
      <c r="C14" s="11"/>
      <c r="D14" s="9"/>
      <c r="E14" s="10"/>
      <c r="F14" s="11"/>
      <c r="G14" s="11"/>
      <c r="H14" s="9"/>
      <c r="I14" s="10"/>
      <c r="J14" s="11"/>
      <c r="K14" s="10"/>
      <c r="L14" s="10"/>
      <c r="M14" s="10"/>
      <c r="N14" s="10"/>
      <c r="O14" s="10"/>
      <c r="P14" s="11"/>
      <c r="Q14" s="9"/>
    </row>
    <row r="15" spans="2:17" ht="12.75" customHeight="1" x14ac:dyDescent="0.2">
      <c r="B15" s="7"/>
      <c r="C15" s="11"/>
      <c r="D15" s="9"/>
      <c r="E15" s="10"/>
      <c r="F15" s="11"/>
      <c r="G15" s="11"/>
      <c r="H15" s="9"/>
      <c r="I15" s="10"/>
      <c r="J15" s="11"/>
      <c r="K15" s="10"/>
      <c r="L15" s="10"/>
      <c r="M15" s="10"/>
      <c r="N15" s="10"/>
      <c r="O15" s="10"/>
      <c r="P15" s="11"/>
      <c r="Q15" s="9"/>
    </row>
    <row r="16" spans="2:17" ht="12.75" customHeight="1" x14ac:dyDescent="0.2">
      <c r="B16" s="7"/>
      <c r="C16" s="11"/>
      <c r="D16" s="9"/>
      <c r="E16" s="10"/>
      <c r="F16" s="11"/>
      <c r="G16" s="11"/>
      <c r="H16" s="9"/>
      <c r="I16" s="10"/>
      <c r="J16" s="11"/>
      <c r="K16" s="10"/>
      <c r="L16" s="10"/>
      <c r="M16" s="10"/>
      <c r="N16" s="10"/>
      <c r="O16" s="10"/>
      <c r="P16" s="11"/>
      <c r="Q16" s="9"/>
    </row>
    <row r="17" spans="2:17" ht="12.75" customHeight="1" x14ac:dyDescent="0.2">
      <c r="B17" s="7"/>
      <c r="C17" s="11"/>
      <c r="D17" s="9"/>
      <c r="E17" s="10"/>
      <c r="F17" s="11"/>
      <c r="G17" s="11"/>
      <c r="H17" s="9"/>
      <c r="I17" s="10"/>
      <c r="J17" s="11"/>
      <c r="K17" s="10"/>
      <c r="L17" s="10"/>
      <c r="M17" s="10"/>
      <c r="N17" s="10"/>
      <c r="O17" s="10"/>
      <c r="P17" s="11"/>
      <c r="Q17" s="9"/>
    </row>
    <row r="18" spans="2:17" ht="12.75" customHeight="1" x14ac:dyDescent="0.2">
      <c r="B18" s="7"/>
      <c r="C18" s="11"/>
      <c r="D18" s="9"/>
      <c r="E18" s="10"/>
      <c r="F18" s="11"/>
      <c r="G18" s="11"/>
      <c r="H18" s="9"/>
      <c r="I18" s="10"/>
      <c r="J18" s="11"/>
      <c r="K18" s="10"/>
      <c r="L18" s="10"/>
      <c r="M18" s="10"/>
      <c r="N18" s="10"/>
      <c r="O18" s="10"/>
      <c r="P18" s="11"/>
      <c r="Q18" s="9"/>
    </row>
    <row r="19" spans="2:17" ht="12.75" customHeight="1" x14ac:dyDescent="0.2">
      <c r="B19" s="7"/>
      <c r="C19" s="11"/>
      <c r="D19" s="9"/>
      <c r="E19" s="10"/>
      <c r="F19" s="11"/>
      <c r="G19" s="11"/>
      <c r="H19" s="9"/>
      <c r="I19" s="10"/>
      <c r="J19" s="11"/>
      <c r="K19" s="10"/>
      <c r="L19" s="10"/>
      <c r="M19" s="10"/>
      <c r="N19" s="10"/>
      <c r="O19" s="10"/>
      <c r="P19" s="11"/>
      <c r="Q19" s="9"/>
    </row>
    <row r="20" spans="2:17" ht="12.75" customHeight="1" x14ac:dyDescent="0.2">
      <c r="B20" s="7"/>
      <c r="C20" s="11"/>
      <c r="D20" s="9"/>
      <c r="E20" s="10"/>
      <c r="F20" s="11"/>
      <c r="G20" s="11"/>
      <c r="H20" s="9"/>
      <c r="I20" s="10"/>
      <c r="J20" s="11"/>
      <c r="K20" s="10"/>
      <c r="L20" s="10"/>
      <c r="M20" s="10"/>
      <c r="N20" s="10"/>
      <c r="O20" s="10"/>
      <c r="P20" s="11"/>
      <c r="Q20" s="9"/>
    </row>
    <row r="21" spans="2:17" ht="12.75" customHeight="1" x14ac:dyDescent="0.2">
      <c r="B21" s="7"/>
      <c r="C21" s="11"/>
      <c r="D21" s="9"/>
      <c r="E21" s="10"/>
      <c r="F21" s="11"/>
      <c r="G21" s="11"/>
      <c r="H21" s="9"/>
      <c r="I21" s="10"/>
      <c r="J21" s="11"/>
      <c r="K21" s="10"/>
      <c r="L21" s="10"/>
      <c r="M21" s="10"/>
      <c r="N21" s="10"/>
      <c r="O21" s="10"/>
      <c r="P21" s="11"/>
      <c r="Q21" s="9"/>
    </row>
    <row r="22" spans="2:17" ht="12.75" customHeight="1" x14ac:dyDescent="0.2">
      <c r="B22" s="7"/>
      <c r="C22" s="8"/>
      <c r="D22" s="9"/>
      <c r="E22" s="10"/>
      <c r="F22" s="8"/>
      <c r="G22" s="11"/>
      <c r="H22" s="9"/>
      <c r="I22" s="10"/>
      <c r="J22" s="11"/>
      <c r="K22" s="10"/>
      <c r="L22" s="10"/>
      <c r="M22" s="10"/>
      <c r="N22" s="10"/>
      <c r="O22" s="10"/>
      <c r="P22" s="11"/>
      <c r="Q22" s="9"/>
    </row>
    <row r="23" spans="2:17" ht="12.75" customHeight="1" x14ac:dyDescent="0.2">
      <c r="B23" s="7"/>
      <c r="C23" s="8"/>
      <c r="D23" s="9"/>
      <c r="E23" s="10"/>
      <c r="F23" s="8"/>
      <c r="G23" s="11"/>
      <c r="H23" s="9"/>
      <c r="I23" s="10"/>
      <c r="J23" s="11"/>
      <c r="K23" s="10"/>
      <c r="L23" s="10"/>
      <c r="M23" s="10"/>
      <c r="N23" s="10"/>
      <c r="O23" s="10"/>
      <c r="P23" s="11"/>
      <c r="Q23" s="9"/>
    </row>
    <row r="24" spans="2:17" ht="12.75" customHeight="1" x14ac:dyDescent="0.2">
      <c r="B24" s="7"/>
      <c r="C24" s="8"/>
      <c r="D24" s="9"/>
      <c r="E24" s="10"/>
      <c r="F24" s="8"/>
      <c r="G24" s="11"/>
      <c r="H24" s="9"/>
      <c r="I24" s="10"/>
      <c r="J24" s="11"/>
      <c r="K24" s="10"/>
      <c r="L24" s="10"/>
      <c r="M24" s="10"/>
      <c r="N24" s="10"/>
      <c r="O24" s="10"/>
      <c r="P24" s="11"/>
      <c r="Q24" s="9"/>
    </row>
    <row r="25" spans="2:17" ht="12.75" customHeight="1" x14ac:dyDescent="0.2">
      <c r="B25" s="7"/>
      <c r="C25" s="8"/>
      <c r="D25" s="9"/>
      <c r="E25" s="10"/>
      <c r="F25" s="8"/>
      <c r="G25" s="11"/>
      <c r="H25" s="9"/>
      <c r="I25" s="10"/>
      <c r="J25" s="11"/>
      <c r="K25" s="10"/>
      <c r="L25" s="10"/>
      <c r="M25" s="10"/>
      <c r="N25" s="10"/>
      <c r="O25" s="10"/>
      <c r="P25" s="8"/>
      <c r="Q25" s="9"/>
    </row>
    <row r="26" spans="2:17" ht="12.75" customHeight="1" x14ac:dyDescent="0.2">
      <c r="B26" s="7"/>
      <c r="C26" s="8"/>
      <c r="D26" s="9"/>
      <c r="E26" s="10"/>
      <c r="F26" s="8"/>
      <c r="G26" s="11"/>
      <c r="H26" s="9"/>
      <c r="I26" s="10"/>
      <c r="J26" s="11"/>
      <c r="K26" s="10"/>
      <c r="L26" s="10"/>
      <c r="M26" s="10"/>
      <c r="N26" s="10"/>
      <c r="O26" s="10"/>
      <c r="P26" s="8"/>
      <c r="Q26" s="9"/>
    </row>
    <row r="27" spans="2:17" ht="12.75" customHeight="1" x14ac:dyDescent="0.2">
      <c r="B27" s="7"/>
      <c r="C27" s="8"/>
      <c r="D27" s="9"/>
      <c r="E27" s="10"/>
      <c r="F27" s="8"/>
      <c r="G27" s="11"/>
      <c r="H27" s="9"/>
      <c r="I27" s="10"/>
      <c r="J27" s="11"/>
      <c r="K27" s="10"/>
      <c r="L27" s="10"/>
      <c r="M27" s="10"/>
      <c r="N27" s="10"/>
      <c r="O27" s="10"/>
      <c r="P27" s="8"/>
      <c r="Q27" s="9"/>
    </row>
    <row r="28" spans="2:17" ht="12.75" customHeight="1" x14ac:dyDescent="0.2">
      <c r="B28" s="7"/>
      <c r="C28" s="8"/>
      <c r="D28" s="9"/>
      <c r="E28" s="10"/>
      <c r="F28" s="8"/>
      <c r="G28" s="11"/>
      <c r="H28" s="9"/>
      <c r="I28" s="10"/>
      <c r="J28" s="11"/>
      <c r="K28" s="10"/>
      <c r="L28" s="10"/>
      <c r="M28" s="10"/>
      <c r="N28" s="10"/>
      <c r="O28" s="10"/>
      <c r="P28" s="8"/>
      <c r="Q28" s="9"/>
    </row>
    <row r="29" spans="2:17" ht="12.75" customHeight="1" x14ac:dyDescent="0.2">
      <c r="B29" s="7"/>
      <c r="C29" s="8"/>
      <c r="D29" s="9"/>
      <c r="E29" s="10"/>
      <c r="F29" s="8"/>
      <c r="G29" s="11"/>
      <c r="H29" s="9"/>
      <c r="I29" s="10"/>
      <c r="J29" s="11"/>
      <c r="K29" s="10"/>
      <c r="L29" s="10"/>
      <c r="M29" s="10"/>
      <c r="N29" s="10"/>
      <c r="O29" s="10"/>
      <c r="P29" s="8"/>
      <c r="Q29" s="9"/>
    </row>
    <row r="30" spans="2:17" ht="12.75" customHeight="1" x14ac:dyDescent="0.2">
      <c r="B30" s="7"/>
      <c r="C30" s="8"/>
      <c r="D30" s="9"/>
      <c r="E30" s="10"/>
      <c r="F30" s="8"/>
      <c r="G30" s="11"/>
      <c r="H30" s="9"/>
      <c r="I30" s="10"/>
      <c r="J30" s="11"/>
      <c r="K30" s="10"/>
      <c r="L30" s="10"/>
      <c r="M30" s="10"/>
      <c r="N30" s="10"/>
      <c r="O30" s="10"/>
      <c r="P30" s="8"/>
      <c r="Q30" s="9"/>
    </row>
    <row r="31" spans="2:17" ht="12.75" customHeight="1" x14ac:dyDescent="0.2">
      <c r="B31" s="7"/>
      <c r="C31" s="8"/>
      <c r="D31" s="9"/>
      <c r="E31" s="10"/>
      <c r="F31" s="8"/>
      <c r="G31" s="11"/>
      <c r="H31" s="9"/>
      <c r="I31" s="10"/>
      <c r="J31" s="11"/>
      <c r="K31" s="10"/>
      <c r="L31" s="10"/>
      <c r="M31" s="10"/>
      <c r="N31" s="10"/>
      <c r="O31" s="10"/>
      <c r="P31" s="8"/>
      <c r="Q31" s="9"/>
    </row>
    <row r="32" spans="2:17" ht="12.75" customHeight="1" x14ac:dyDescent="0.2">
      <c r="B32" s="7"/>
      <c r="C32" s="8"/>
      <c r="D32" s="9"/>
      <c r="E32" s="10"/>
      <c r="F32" s="8"/>
      <c r="G32" s="11"/>
      <c r="H32" s="9"/>
      <c r="I32" s="10"/>
      <c r="J32" s="11"/>
      <c r="K32" s="10"/>
      <c r="L32" s="10"/>
      <c r="M32" s="10"/>
      <c r="N32" s="10"/>
      <c r="O32" s="10"/>
      <c r="P32" s="8"/>
      <c r="Q32" s="9"/>
    </row>
    <row r="33" spans="2:17" ht="12.75" customHeight="1" x14ac:dyDescent="0.2">
      <c r="B33" s="7"/>
      <c r="C33" s="8"/>
      <c r="D33" s="9"/>
      <c r="E33" s="10"/>
      <c r="F33" s="8"/>
      <c r="G33" s="11"/>
      <c r="H33" s="9"/>
      <c r="I33" s="10"/>
      <c r="J33" s="11"/>
      <c r="K33" s="10"/>
      <c r="L33" s="10"/>
      <c r="M33" s="10"/>
      <c r="N33" s="10"/>
      <c r="O33" s="10"/>
      <c r="P33" s="8"/>
      <c r="Q33" s="9"/>
    </row>
    <row r="34" spans="2:17" ht="12.75" customHeight="1" x14ac:dyDescent="0.2">
      <c r="B34" s="7"/>
      <c r="C34" s="8"/>
      <c r="D34" s="9"/>
      <c r="E34" s="10"/>
      <c r="F34" s="8"/>
      <c r="G34" s="11"/>
      <c r="H34" s="9"/>
      <c r="I34" s="10"/>
      <c r="J34" s="11"/>
      <c r="K34" s="10"/>
      <c r="L34" s="10"/>
      <c r="M34" s="10"/>
      <c r="N34" s="10"/>
      <c r="O34" s="10"/>
      <c r="P34" s="8"/>
      <c r="Q34" s="9"/>
    </row>
    <row r="35" spans="2:17" ht="12.75" customHeight="1" x14ac:dyDescent="0.2">
      <c r="B35" s="7"/>
      <c r="C35" s="8"/>
      <c r="D35" s="9"/>
      <c r="E35" s="10"/>
      <c r="F35" s="8"/>
      <c r="G35" s="11"/>
      <c r="H35" s="9"/>
      <c r="I35" s="10"/>
      <c r="J35" s="11"/>
      <c r="K35" s="10"/>
      <c r="L35" s="10"/>
      <c r="M35" s="10"/>
      <c r="N35" s="10"/>
      <c r="O35" s="10"/>
      <c r="P35" s="8"/>
      <c r="Q35" s="9"/>
    </row>
    <row r="36" spans="2:17" ht="12.75" customHeight="1" x14ac:dyDescent="0.2">
      <c r="B36" s="7"/>
      <c r="C36" s="8"/>
      <c r="D36" s="9"/>
      <c r="E36" s="10"/>
      <c r="F36" s="8"/>
      <c r="G36" s="11"/>
      <c r="H36" s="9"/>
      <c r="I36" s="10"/>
      <c r="J36" s="11"/>
      <c r="K36" s="10"/>
      <c r="L36" s="10"/>
      <c r="M36" s="10"/>
      <c r="N36" s="10"/>
      <c r="O36" s="10"/>
      <c r="P36" s="8"/>
      <c r="Q36" s="9"/>
    </row>
    <row r="37" spans="2:17" ht="12.75" customHeight="1" x14ac:dyDescent="0.2">
      <c r="B37" s="7"/>
      <c r="C37" s="8"/>
      <c r="D37" s="9"/>
      <c r="E37" s="10"/>
      <c r="F37" s="8"/>
      <c r="G37" s="11"/>
      <c r="H37" s="9"/>
      <c r="I37" s="10"/>
      <c r="J37" s="11"/>
      <c r="K37" s="10"/>
      <c r="L37" s="10"/>
      <c r="M37" s="10"/>
      <c r="N37" s="10"/>
      <c r="O37" s="10"/>
      <c r="P37" s="8"/>
      <c r="Q37" s="9"/>
    </row>
    <row r="38" spans="2:17" x14ac:dyDescent="0.2">
      <c r="B38" s="7"/>
      <c r="C38" s="8"/>
      <c r="D38" s="9"/>
      <c r="E38" s="10"/>
      <c r="F38" s="8"/>
      <c r="G38" s="11"/>
      <c r="H38" s="9"/>
      <c r="I38" s="10"/>
      <c r="J38" s="11"/>
      <c r="K38" s="10"/>
      <c r="L38" s="10"/>
      <c r="M38" s="10"/>
      <c r="N38" s="10"/>
      <c r="O38" s="10"/>
      <c r="P38" s="8"/>
      <c r="Q38" s="9"/>
    </row>
    <row r="39" spans="2:17" x14ac:dyDescent="0.2">
      <c r="B39" s="7"/>
      <c r="C39" s="8"/>
      <c r="D39" s="9"/>
      <c r="E39" s="10"/>
      <c r="F39" s="8"/>
      <c r="G39" s="11"/>
      <c r="H39" s="9"/>
      <c r="I39" s="10"/>
      <c r="J39" s="11"/>
      <c r="K39" s="10"/>
      <c r="L39" s="10"/>
      <c r="M39" s="10"/>
      <c r="N39" s="10"/>
      <c r="O39" s="10"/>
      <c r="P39" s="8"/>
      <c r="Q39" s="9"/>
    </row>
    <row r="40" spans="2:17" x14ac:dyDescent="0.2">
      <c r="B40" s="7"/>
      <c r="C40" s="8"/>
      <c r="D40" s="9"/>
      <c r="E40" s="10"/>
      <c r="F40" s="8"/>
      <c r="G40" s="11"/>
      <c r="H40" s="9"/>
      <c r="I40" s="10"/>
      <c r="J40" s="11"/>
      <c r="K40" s="10"/>
      <c r="L40" s="10"/>
      <c r="M40" s="10"/>
      <c r="N40" s="10"/>
      <c r="O40" s="10"/>
      <c r="P40" s="8"/>
      <c r="Q40" s="9"/>
    </row>
    <row r="41" spans="2:17" x14ac:dyDescent="0.2">
      <c r="B41" s="7"/>
      <c r="C41" s="8"/>
      <c r="D41" s="9"/>
      <c r="E41" s="10"/>
      <c r="F41" s="8"/>
      <c r="G41" s="11"/>
      <c r="H41" s="9"/>
      <c r="I41" s="10"/>
      <c r="J41" s="11"/>
      <c r="K41" s="10"/>
      <c r="L41" s="10"/>
      <c r="M41" s="10"/>
      <c r="N41" s="10"/>
      <c r="O41" s="10"/>
      <c r="P41" s="8"/>
      <c r="Q41" s="9"/>
    </row>
    <row r="42" spans="2:17" x14ac:dyDescent="0.2">
      <c r="B42" s="7"/>
      <c r="C42" s="8"/>
      <c r="D42" s="9"/>
      <c r="E42" s="10"/>
      <c r="F42" s="8"/>
      <c r="G42" s="11"/>
      <c r="H42" s="9"/>
      <c r="I42" s="10"/>
      <c r="J42" s="11"/>
      <c r="K42" s="10"/>
      <c r="L42" s="10"/>
      <c r="M42" s="10"/>
      <c r="N42" s="10"/>
      <c r="O42" s="10"/>
      <c r="P42" s="11"/>
      <c r="Q42" s="9"/>
    </row>
    <row r="43" spans="2:17" x14ac:dyDescent="0.2">
      <c r="B43" s="7"/>
      <c r="C43" s="8"/>
      <c r="D43" s="9"/>
      <c r="E43" s="10"/>
      <c r="F43" s="8"/>
      <c r="G43" s="11"/>
      <c r="H43" s="9"/>
      <c r="I43" s="10"/>
      <c r="J43" s="11"/>
      <c r="K43" s="10"/>
      <c r="L43" s="10"/>
      <c r="M43" s="10"/>
      <c r="N43" s="10"/>
      <c r="O43" s="10"/>
      <c r="P43" s="8"/>
      <c r="Q43" s="9"/>
    </row>
    <row r="44" spans="2:17" x14ac:dyDescent="0.2">
      <c r="B44" s="7"/>
      <c r="C44" s="8"/>
      <c r="D44" s="9"/>
      <c r="E44" s="10"/>
      <c r="F44" s="8"/>
      <c r="G44" s="11"/>
      <c r="H44" s="9"/>
      <c r="I44" s="10"/>
      <c r="J44" s="11"/>
      <c r="K44" s="10"/>
      <c r="L44" s="10"/>
      <c r="M44" s="10"/>
      <c r="N44" s="10"/>
      <c r="O44" s="10"/>
      <c r="P44" s="8"/>
      <c r="Q44" s="9"/>
    </row>
    <row r="45" spans="2:17" x14ac:dyDescent="0.2">
      <c r="B45" s="7"/>
      <c r="C45" s="8"/>
      <c r="D45" s="9"/>
      <c r="E45" s="10"/>
      <c r="F45" s="8"/>
      <c r="G45" s="11"/>
      <c r="H45" s="9"/>
      <c r="I45" s="10"/>
      <c r="J45" s="11"/>
      <c r="K45" s="10"/>
      <c r="L45" s="10"/>
      <c r="M45" s="10"/>
      <c r="N45" s="10"/>
      <c r="O45" s="10"/>
      <c r="P45" s="8"/>
      <c r="Q45" s="9"/>
    </row>
    <row r="46" spans="2:17" x14ac:dyDescent="0.2">
      <c r="B46" s="7"/>
      <c r="C46" s="8"/>
      <c r="D46" s="9"/>
      <c r="E46" s="10"/>
      <c r="F46" s="8"/>
      <c r="G46" s="11"/>
      <c r="H46" s="9"/>
      <c r="I46" s="10"/>
      <c r="J46" s="11"/>
      <c r="K46" s="10"/>
      <c r="L46" s="10"/>
      <c r="M46" s="10"/>
      <c r="N46" s="10"/>
      <c r="O46" s="10"/>
      <c r="P46" s="8"/>
      <c r="Q46" s="9"/>
    </row>
    <row r="47" spans="2:17" x14ac:dyDescent="0.2">
      <c r="B47" s="7"/>
      <c r="C47" s="8"/>
      <c r="D47" s="9"/>
      <c r="E47" s="10"/>
      <c r="F47" s="8"/>
      <c r="G47" s="11"/>
      <c r="H47" s="9"/>
      <c r="I47" s="10"/>
      <c r="J47" s="11"/>
      <c r="K47" s="10"/>
      <c r="L47" s="10"/>
      <c r="M47" s="10"/>
      <c r="N47" s="10"/>
      <c r="O47" s="10"/>
      <c r="P47" s="8"/>
      <c r="Q47" s="9"/>
    </row>
    <row r="48" spans="2:17" x14ac:dyDescent="0.2">
      <c r="B48" s="7"/>
      <c r="C48" s="8"/>
      <c r="D48" s="9"/>
      <c r="E48" s="10"/>
      <c r="F48" s="8"/>
      <c r="G48" s="11"/>
      <c r="H48" s="9"/>
      <c r="I48" s="10"/>
      <c r="J48" s="11"/>
      <c r="K48" s="10"/>
      <c r="L48" s="10"/>
      <c r="M48" s="10"/>
      <c r="N48" s="10"/>
      <c r="O48" s="10"/>
      <c r="P48" s="8"/>
      <c r="Q48" s="9"/>
    </row>
    <row r="49" spans="2:17" x14ac:dyDescent="0.2">
      <c r="B49" s="7"/>
      <c r="C49" s="8"/>
      <c r="D49" s="9"/>
      <c r="E49" s="10"/>
      <c r="F49" s="8"/>
      <c r="G49" s="11"/>
      <c r="H49" s="9"/>
      <c r="I49" s="10"/>
      <c r="J49" s="11"/>
      <c r="K49" s="10"/>
      <c r="L49" s="10"/>
      <c r="M49" s="10"/>
      <c r="N49" s="10"/>
      <c r="O49" s="10"/>
      <c r="P49" s="8"/>
      <c r="Q49" s="9"/>
    </row>
    <row r="50" spans="2:17" x14ac:dyDescent="0.2">
      <c r="B50" s="7"/>
      <c r="C50" s="8"/>
      <c r="D50" s="9"/>
      <c r="E50" s="10"/>
      <c r="F50" s="8"/>
      <c r="G50" s="11"/>
      <c r="H50" s="9"/>
      <c r="I50" s="10"/>
      <c r="J50" s="11"/>
      <c r="K50" s="10"/>
      <c r="L50" s="10"/>
      <c r="M50" s="10"/>
      <c r="N50" s="10"/>
      <c r="O50" s="10"/>
      <c r="P50" s="8"/>
      <c r="Q50" s="9"/>
    </row>
    <row r="51" spans="2:17" x14ac:dyDescent="0.2">
      <c r="B51" s="7"/>
      <c r="C51" s="8"/>
      <c r="D51" s="9"/>
      <c r="E51" s="10"/>
      <c r="F51" s="8"/>
      <c r="G51" s="11"/>
      <c r="H51" s="9"/>
      <c r="I51" s="10"/>
      <c r="J51" s="11"/>
      <c r="K51" s="10"/>
      <c r="L51" s="10"/>
      <c r="M51" s="10"/>
      <c r="N51" s="10"/>
      <c r="O51" s="10"/>
      <c r="P51" s="8"/>
      <c r="Q51" s="9"/>
    </row>
    <row r="52" spans="2:17" x14ac:dyDescent="0.2">
      <c r="B52" s="7"/>
      <c r="C52" s="8"/>
      <c r="D52" s="9"/>
      <c r="E52" s="10"/>
      <c r="F52" s="8"/>
      <c r="G52" s="11"/>
      <c r="H52" s="9"/>
      <c r="I52" s="10"/>
      <c r="J52" s="11"/>
      <c r="K52" s="10"/>
      <c r="L52" s="10"/>
      <c r="M52" s="10"/>
      <c r="N52" s="10"/>
      <c r="O52" s="10"/>
      <c r="P52" s="8"/>
      <c r="Q52" s="9"/>
    </row>
    <row r="53" spans="2:17" x14ac:dyDescent="0.2">
      <c r="B53" s="7"/>
      <c r="C53" s="8"/>
      <c r="D53" s="9"/>
      <c r="E53" s="10"/>
      <c r="F53" s="8"/>
      <c r="G53" s="11"/>
      <c r="H53" s="9"/>
      <c r="I53" s="10"/>
      <c r="J53" s="11"/>
      <c r="K53" s="10"/>
      <c r="L53" s="10"/>
      <c r="M53" s="10"/>
      <c r="N53" s="10"/>
      <c r="O53" s="10"/>
      <c r="P53" s="8"/>
      <c r="Q53" s="9"/>
    </row>
    <row r="54" spans="2:17" x14ac:dyDescent="0.2">
      <c r="B54" s="7"/>
      <c r="C54" s="8"/>
      <c r="D54" s="9"/>
      <c r="E54" s="10"/>
      <c r="F54" s="8"/>
      <c r="G54" s="11"/>
      <c r="H54" s="9"/>
      <c r="I54" s="10"/>
      <c r="J54" s="11"/>
      <c r="K54" s="10"/>
      <c r="L54" s="10"/>
      <c r="M54" s="10"/>
      <c r="N54" s="10"/>
      <c r="O54" s="10"/>
      <c r="P54" s="8"/>
      <c r="Q54" s="9"/>
    </row>
    <row r="55" spans="2:17" x14ac:dyDescent="0.2">
      <c r="B55" s="7"/>
      <c r="C55" s="8"/>
      <c r="D55" s="9"/>
      <c r="E55" s="10"/>
      <c r="F55" s="8"/>
      <c r="G55" s="11"/>
      <c r="H55" s="9"/>
      <c r="I55" s="10"/>
      <c r="J55" s="11"/>
      <c r="K55" s="10"/>
      <c r="L55" s="10"/>
      <c r="M55" s="10"/>
      <c r="N55" s="10"/>
      <c r="O55" s="10"/>
      <c r="P55" s="8"/>
      <c r="Q55" s="9"/>
    </row>
    <row r="56" spans="2:17" x14ac:dyDescent="0.2">
      <c r="B56" s="7"/>
      <c r="C56" s="8"/>
      <c r="D56" s="9"/>
      <c r="E56" s="10"/>
      <c r="F56" s="8"/>
      <c r="G56" s="8"/>
      <c r="H56" s="9"/>
      <c r="I56" s="10"/>
      <c r="J56" s="8"/>
      <c r="K56" s="10"/>
      <c r="L56" s="10"/>
      <c r="M56" s="10"/>
      <c r="N56" s="10"/>
      <c r="O56" s="10"/>
      <c r="P56" s="8"/>
      <c r="Q56" s="9"/>
    </row>
    <row r="57" spans="2:17" x14ac:dyDescent="0.2">
      <c r="B57" s="7"/>
      <c r="C57" s="8"/>
      <c r="D57" s="9"/>
      <c r="E57" s="10"/>
      <c r="F57" s="8"/>
      <c r="G57" s="8"/>
      <c r="H57" s="9"/>
      <c r="I57" s="10"/>
      <c r="J57" s="8"/>
      <c r="K57" s="10"/>
      <c r="L57" s="10"/>
      <c r="M57" s="10"/>
      <c r="N57" s="10"/>
      <c r="O57" s="10"/>
      <c r="P57" s="8"/>
      <c r="Q57" s="9"/>
    </row>
    <row r="58" spans="2:17" x14ac:dyDescent="0.2">
      <c r="B58" s="7"/>
      <c r="C58" s="8"/>
      <c r="D58" s="9"/>
      <c r="E58" s="10"/>
      <c r="F58" s="8"/>
      <c r="G58" s="8"/>
      <c r="H58" s="9"/>
      <c r="I58" s="10"/>
      <c r="J58" s="8"/>
      <c r="K58" s="10"/>
      <c r="L58" s="10"/>
      <c r="M58" s="10"/>
      <c r="N58" s="10"/>
      <c r="O58" s="10"/>
      <c r="P58" s="8"/>
      <c r="Q58" s="9"/>
    </row>
    <row r="59" spans="2:17" x14ac:dyDescent="0.2">
      <c r="B59" s="7"/>
      <c r="C59" s="8"/>
      <c r="D59" s="9"/>
      <c r="E59" s="10"/>
      <c r="F59" s="8"/>
      <c r="G59" s="8"/>
      <c r="H59" s="9"/>
      <c r="I59" s="10"/>
      <c r="J59" s="8"/>
      <c r="K59" s="10"/>
      <c r="L59" s="10"/>
      <c r="M59" s="10"/>
      <c r="N59" s="10"/>
      <c r="O59" s="10"/>
      <c r="P59" s="8"/>
      <c r="Q59" s="9"/>
    </row>
    <row r="60" spans="2:17" x14ac:dyDescent="0.2">
      <c r="B60" s="7"/>
      <c r="C60" s="8"/>
      <c r="D60" s="9"/>
      <c r="E60" s="10"/>
      <c r="F60" s="8"/>
      <c r="G60" s="8"/>
      <c r="H60" s="9"/>
      <c r="I60" s="10"/>
      <c r="J60" s="8"/>
      <c r="K60" s="10"/>
      <c r="L60" s="10"/>
      <c r="M60" s="10"/>
      <c r="N60" s="10"/>
      <c r="O60" s="10"/>
      <c r="P60" s="8"/>
      <c r="Q60" s="9"/>
    </row>
    <row r="61" spans="2:17" x14ac:dyDescent="0.2">
      <c r="B61" s="7"/>
      <c r="C61" s="8"/>
      <c r="D61" s="9"/>
      <c r="E61" s="10"/>
      <c r="F61" s="8"/>
      <c r="G61" s="8"/>
      <c r="H61" s="9"/>
      <c r="I61" s="10"/>
      <c r="J61" s="8"/>
      <c r="K61" s="10"/>
      <c r="L61" s="10"/>
      <c r="M61" s="10"/>
      <c r="N61" s="10"/>
      <c r="O61" s="10"/>
      <c r="P61" s="8"/>
      <c r="Q61" s="9"/>
    </row>
    <row r="62" spans="2:17" x14ac:dyDescent="0.2">
      <c r="B62" s="7"/>
      <c r="C62" s="8"/>
      <c r="D62" s="9"/>
      <c r="E62" s="10"/>
      <c r="F62" s="8"/>
      <c r="G62" s="8"/>
      <c r="H62" s="9"/>
      <c r="I62" s="10"/>
      <c r="J62" s="8"/>
      <c r="K62" s="10"/>
      <c r="L62" s="10"/>
      <c r="M62" s="10"/>
      <c r="N62" s="10"/>
      <c r="O62" s="10"/>
      <c r="P62" s="8"/>
      <c r="Q62" s="9"/>
    </row>
    <row r="63" spans="2:17" x14ac:dyDescent="0.2">
      <c r="B63" s="7"/>
      <c r="C63" s="8"/>
      <c r="D63" s="9"/>
      <c r="E63" s="10"/>
      <c r="F63" s="8"/>
      <c r="G63" s="8"/>
      <c r="H63" s="9"/>
      <c r="I63" s="10"/>
      <c r="J63" s="8"/>
      <c r="K63" s="10"/>
      <c r="L63" s="10"/>
      <c r="M63" s="10"/>
      <c r="N63" s="10"/>
      <c r="O63" s="10"/>
      <c r="P63" s="8"/>
      <c r="Q63" s="9"/>
    </row>
    <row r="64" spans="2:17" x14ac:dyDescent="0.2">
      <c r="B64" s="7"/>
      <c r="C64" s="8"/>
      <c r="D64" s="9"/>
      <c r="E64" s="10"/>
      <c r="F64" s="8"/>
      <c r="G64" s="8"/>
      <c r="H64" s="9"/>
      <c r="I64" s="10"/>
      <c r="J64" s="8"/>
      <c r="K64" s="10"/>
      <c r="L64" s="10"/>
      <c r="M64" s="10"/>
      <c r="N64" s="10"/>
      <c r="O64" s="10"/>
      <c r="P64" s="8"/>
      <c r="Q64" s="9"/>
    </row>
    <row r="65" spans="2:17" x14ac:dyDescent="0.2">
      <c r="B65" s="7"/>
      <c r="C65" s="8"/>
      <c r="D65" s="9"/>
      <c r="E65" s="10"/>
      <c r="F65" s="8"/>
      <c r="G65" s="8"/>
      <c r="H65" s="9"/>
      <c r="I65" s="10"/>
      <c r="J65" s="8"/>
      <c r="K65" s="10"/>
      <c r="L65" s="10"/>
      <c r="M65" s="10"/>
      <c r="N65" s="10"/>
      <c r="O65" s="10"/>
      <c r="P65" s="8"/>
      <c r="Q65" s="9"/>
    </row>
    <row r="66" spans="2:17" x14ac:dyDescent="0.2">
      <c r="B66" s="7"/>
      <c r="C66" s="8"/>
      <c r="D66" s="9"/>
      <c r="E66" s="10"/>
      <c r="F66" s="8"/>
      <c r="G66" s="8"/>
      <c r="H66" s="9"/>
      <c r="I66" s="10"/>
      <c r="J66" s="8"/>
      <c r="K66" s="10"/>
      <c r="L66" s="10"/>
      <c r="M66" s="10"/>
      <c r="N66" s="10"/>
      <c r="O66" s="10"/>
      <c r="P66" s="8"/>
      <c r="Q66" s="9"/>
    </row>
    <row r="67" spans="2:17" x14ac:dyDescent="0.2">
      <c r="B67" s="7"/>
      <c r="C67" s="8"/>
      <c r="D67" s="9"/>
      <c r="E67" s="10"/>
      <c r="F67" s="8"/>
      <c r="G67" s="8"/>
      <c r="H67" s="9"/>
      <c r="I67" s="10"/>
      <c r="J67" s="8"/>
      <c r="K67" s="10"/>
      <c r="L67" s="10"/>
      <c r="M67" s="10"/>
      <c r="N67" s="10"/>
      <c r="O67" s="10"/>
      <c r="P67" s="8"/>
      <c r="Q67" s="9"/>
    </row>
    <row r="68" spans="2:17" x14ac:dyDescent="0.2">
      <c r="B68" s="7"/>
      <c r="C68" s="8"/>
      <c r="D68" s="9"/>
      <c r="E68" s="10"/>
      <c r="F68" s="8"/>
      <c r="G68" s="8"/>
      <c r="H68" s="9"/>
      <c r="I68" s="10"/>
      <c r="J68" s="8"/>
      <c r="K68" s="10"/>
      <c r="L68" s="10"/>
      <c r="M68" s="10"/>
      <c r="N68" s="10"/>
      <c r="O68" s="10"/>
      <c r="P68" s="8"/>
      <c r="Q68" s="9"/>
    </row>
    <row r="69" spans="2:17" x14ac:dyDescent="0.2">
      <c r="B69" s="7"/>
      <c r="C69" s="8"/>
      <c r="D69" s="9"/>
      <c r="E69" s="10"/>
      <c r="F69" s="8"/>
      <c r="G69" s="8"/>
      <c r="H69" s="9"/>
      <c r="I69" s="10"/>
      <c r="J69" s="8"/>
      <c r="K69" s="10"/>
      <c r="L69" s="10"/>
      <c r="M69" s="10"/>
      <c r="N69" s="10"/>
      <c r="O69" s="10"/>
      <c r="P69" s="8"/>
      <c r="Q69" s="9"/>
    </row>
    <row r="70" spans="2:17" x14ac:dyDescent="0.2">
      <c r="B70" s="7"/>
      <c r="C70" s="8"/>
      <c r="D70" s="9"/>
      <c r="E70" s="10"/>
      <c r="F70" s="8"/>
      <c r="G70" s="8"/>
      <c r="H70" s="9"/>
      <c r="I70" s="10"/>
      <c r="J70" s="8"/>
      <c r="K70" s="10"/>
      <c r="L70" s="10"/>
      <c r="M70" s="10"/>
      <c r="N70" s="10"/>
      <c r="O70" s="10"/>
      <c r="P70" s="8"/>
      <c r="Q70" s="9"/>
    </row>
    <row r="71" spans="2:17" x14ac:dyDescent="0.2">
      <c r="B71" s="7"/>
      <c r="C71" s="8"/>
      <c r="D71" s="9"/>
      <c r="E71" s="10"/>
      <c r="F71" s="8"/>
      <c r="G71" s="8"/>
      <c r="H71" s="9"/>
      <c r="I71" s="10"/>
      <c r="J71" s="8"/>
      <c r="K71" s="10"/>
      <c r="L71" s="10"/>
      <c r="M71" s="10"/>
      <c r="N71" s="10"/>
      <c r="O71" s="10"/>
      <c r="P71" s="8"/>
      <c r="Q71" s="9"/>
    </row>
    <row r="72" spans="2:17" x14ac:dyDescent="0.2">
      <c r="B72" s="7"/>
      <c r="C72" s="8"/>
      <c r="D72" s="9"/>
      <c r="E72" s="10"/>
      <c r="F72" s="8"/>
      <c r="G72" s="8"/>
      <c r="H72" s="9"/>
      <c r="I72" s="10"/>
      <c r="J72" s="8"/>
      <c r="K72" s="10"/>
      <c r="L72" s="10"/>
      <c r="M72" s="10"/>
      <c r="N72" s="10"/>
      <c r="O72" s="10"/>
      <c r="P72" s="8"/>
      <c r="Q72" s="9"/>
    </row>
    <row r="73" spans="2:17" x14ac:dyDescent="0.2">
      <c r="B73" s="7"/>
      <c r="C73" s="8"/>
      <c r="D73" s="9"/>
      <c r="E73" s="10"/>
      <c r="F73" s="8"/>
      <c r="G73" s="8"/>
      <c r="H73" s="9"/>
      <c r="I73" s="10"/>
      <c r="J73" s="8"/>
      <c r="K73" s="10"/>
      <c r="L73" s="10"/>
      <c r="M73" s="10"/>
      <c r="N73" s="10"/>
      <c r="O73" s="10"/>
      <c r="P73" s="8"/>
      <c r="Q73" s="9"/>
    </row>
    <row r="74" spans="2:17" x14ac:dyDescent="0.2">
      <c r="B74" s="7"/>
      <c r="C74" s="8"/>
      <c r="D74" s="9"/>
      <c r="E74" s="10"/>
      <c r="F74" s="8"/>
      <c r="G74" s="8"/>
      <c r="H74" s="9"/>
      <c r="I74" s="10"/>
      <c r="J74" s="8"/>
      <c r="K74" s="10"/>
      <c r="L74" s="10"/>
      <c r="M74" s="10"/>
      <c r="N74" s="10"/>
      <c r="O74" s="10"/>
      <c r="P74" s="8"/>
      <c r="Q74" s="9"/>
    </row>
    <row r="75" spans="2:17" x14ac:dyDescent="0.2">
      <c r="B75" s="7"/>
      <c r="C75" s="8"/>
      <c r="D75" s="9"/>
      <c r="E75" s="10"/>
      <c r="F75" s="8"/>
      <c r="G75" s="8"/>
      <c r="H75" s="9"/>
      <c r="I75" s="10"/>
      <c r="J75" s="8"/>
      <c r="K75" s="10"/>
      <c r="L75" s="10"/>
      <c r="M75" s="10"/>
      <c r="N75" s="10"/>
      <c r="O75" s="10"/>
      <c r="P75" s="8"/>
      <c r="Q75" s="9"/>
    </row>
    <row r="76" spans="2:17" x14ac:dyDescent="0.2">
      <c r="B76" s="7"/>
      <c r="C76" s="8"/>
      <c r="D76" s="9"/>
      <c r="E76" s="10"/>
      <c r="F76" s="8"/>
      <c r="G76" s="8"/>
      <c r="H76" s="9"/>
      <c r="I76" s="10"/>
      <c r="J76" s="8"/>
      <c r="K76" s="10"/>
      <c r="L76" s="10"/>
      <c r="M76" s="10"/>
      <c r="N76" s="10"/>
      <c r="O76" s="10"/>
      <c r="P76" s="8"/>
      <c r="Q76" s="9"/>
    </row>
    <row r="77" spans="2:17" x14ac:dyDescent="0.2">
      <c r="B77" s="7"/>
      <c r="C77" s="8"/>
      <c r="D77" s="9"/>
      <c r="E77" s="10"/>
      <c r="F77" s="8"/>
      <c r="G77" s="8"/>
      <c r="H77" s="9"/>
      <c r="I77" s="10"/>
      <c r="J77" s="8"/>
      <c r="K77" s="10"/>
      <c r="L77" s="10"/>
      <c r="M77" s="10"/>
      <c r="N77" s="10"/>
      <c r="O77" s="10"/>
      <c r="P77" s="8"/>
      <c r="Q77" s="9"/>
    </row>
    <row r="78" spans="2:17" x14ac:dyDescent="0.2">
      <c r="B78" s="7"/>
      <c r="C78" s="8"/>
      <c r="D78" s="9"/>
      <c r="E78" s="10"/>
      <c r="F78" s="8"/>
      <c r="G78" s="8"/>
      <c r="H78" s="9"/>
      <c r="I78" s="10"/>
      <c r="J78" s="8"/>
      <c r="K78" s="10"/>
      <c r="L78" s="10"/>
      <c r="M78" s="10"/>
      <c r="N78" s="10"/>
      <c r="O78" s="10"/>
      <c r="P78" s="8"/>
      <c r="Q78" s="9"/>
    </row>
    <row r="79" spans="2:17" x14ac:dyDescent="0.2">
      <c r="B79" s="7"/>
      <c r="C79" s="8"/>
      <c r="D79" s="9"/>
      <c r="E79" s="10"/>
      <c r="F79" s="8"/>
      <c r="G79" s="8"/>
      <c r="H79" s="9"/>
      <c r="I79" s="10"/>
      <c r="J79" s="8"/>
      <c r="K79" s="10"/>
      <c r="L79" s="10"/>
      <c r="M79" s="10"/>
      <c r="N79" s="10"/>
      <c r="O79" s="10"/>
      <c r="P79" s="8"/>
      <c r="Q79" s="9"/>
    </row>
    <row r="80" spans="2:17" x14ac:dyDescent="0.2">
      <c r="B80" s="7"/>
      <c r="C80" s="8"/>
      <c r="D80" s="9"/>
      <c r="E80" s="10"/>
      <c r="F80" s="8"/>
      <c r="G80" s="8"/>
      <c r="H80" s="9"/>
      <c r="I80" s="10"/>
      <c r="J80" s="8"/>
      <c r="K80" s="10"/>
      <c r="L80" s="10"/>
      <c r="M80" s="10"/>
      <c r="N80" s="10"/>
      <c r="O80" s="10"/>
      <c r="P80" s="8"/>
      <c r="Q80" s="9"/>
    </row>
    <row r="81" spans="2:17" x14ac:dyDescent="0.2">
      <c r="B81" s="7"/>
      <c r="C81" s="8"/>
      <c r="D81" s="9"/>
      <c r="E81" s="10"/>
      <c r="F81" s="8"/>
      <c r="G81" s="8"/>
      <c r="H81" s="9"/>
      <c r="I81" s="10"/>
      <c r="J81" s="8"/>
      <c r="K81" s="10"/>
      <c r="L81" s="10"/>
      <c r="M81" s="10"/>
      <c r="N81" s="10"/>
      <c r="O81" s="10"/>
      <c r="P81" s="8"/>
      <c r="Q81" s="9"/>
    </row>
    <row r="82" spans="2:17" x14ac:dyDescent="0.2">
      <c r="B82" s="7"/>
      <c r="C82" s="8"/>
      <c r="D82" s="9"/>
      <c r="E82" s="10"/>
      <c r="F82" s="8"/>
      <c r="G82" s="8"/>
      <c r="H82" s="9"/>
      <c r="I82" s="10"/>
      <c r="J82" s="8"/>
      <c r="K82" s="10"/>
      <c r="L82" s="10"/>
      <c r="M82" s="10"/>
      <c r="N82" s="10"/>
      <c r="O82" s="10"/>
      <c r="P82" s="8"/>
      <c r="Q82" s="9"/>
    </row>
    <row r="83" spans="2:17" x14ac:dyDescent="0.2">
      <c r="B83" s="7"/>
      <c r="C83" s="8"/>
      <c r="D83" s="9"/>
      <c r="E83" s="10"/>
      <c r="F83" s="8"/>
      <c r="G83" s="8"/>
      <c r="H83" s="9"/>
      <c r="I83" s="10"/>
      <c r="J83" s="8"/>
      <c r="K83" s="10"/>
      <c r="L83" s="10"/>
      <c r="M83" s="10"/>
      <c r="N83" s="10"/>
      <c r="O83" s="10"/>
      <c r="P83" s="8"/>
      <c r="Q83" s="9"/>
    </row>
    <row r="84" spans="2:17" x14ac:dyDescent="0.2">
      <c r="B84" s="7"/>
      <c r="C84" s="8"/>
      <c r="D84" s="9"/>
      <c r="E84" s="10"/>
      <c r="F84" s="8"/>
      <c r="G84" s="8"/>
      <c r="H84" s="9"/>
      <c r="I84" s="10"/>
      <c r="J84" s="8"/>
      <c r="K84" s="10"/>
      <c r="L84" s="10"/>
      <c r="M84" s="10"/>
      <c r="N84" s="10"/>
      <c r="O84" s="10"/>
      <c r="P84" s="8"/>
      <c r="Q84" s="9"/>
    </row>
    <row r="85" spans="2:17" x14ac:dyDescent="0.2">
      <c r="B85" s="7"/>
      <c r="C85" s="8"/>
      <c r="D85" s="9"/>
      <c r="E85" s="10"/>
      <c r="F85" s="8"/>
      <c r="G85" s="8"/>
      <c r="H85" s="9"/>
      <c r="I85" s="10"/>
      <c r="J85" s="8"/>
      <c r="K85" s="10"/>
      <c r="L85" s="10"/>
      <c r="M85" s="10"/>
      <c r="N85" s="10"/>
      <c r="O85" s="10"/>
      <c r="P85" s="8"/>
      <c r="Q85" s="9"/>
    </row>
    <row r="86" spans="2:17" x14ac:dyDescent="0.2">
      <c r="B86" s="7"/>
      <c r="C86" s="8"/>
      <c r="D86" s="9"/>
      <c r="E86" s="10"/>
      <c r="F86" s="8"/>
      <c r="G86" s="8"/>
      <c r="H86" s="9"/>
      <c r="I86" s="10"/>
      <c r="J86" s="8"/>
      <c r="K86" s="10"/>
      <c r="L86" s="10"/>
      <c r="M86" s="10"/>
      <c r="N86" s="10"/>
      <c r="O86" s="10"/>
      <c r="P86" s="8"/>
      <c r="Q86" s="9"/>
    </row>
    <row r="87" spans="2:17" x14ac:dyDescent="0.2">
      <c r="B87" s="7"/>
      <c r="C87" s="8"/>
      <c r="D87" s="9"/>
      <c r="E87" s="10"/>
      <c r="F87" s="8"/>
      <c r="G87" s="8"/>
      <c r="H87" s="9"/>
      <c r="I87" s="10"/>
      <c r="J87" s="8"/>
      <c r="K87" s="10"/>
      <c r="L87" s="10"/>
      <c r="M87" s="10"/>
      <c r="N87" s="10"/>
      <c r="O87" s="10"/>
      <c r="P87" s="8"/>
      <c r="Q87" s="9"/>
    </row>
    <row r="88" spans="2:17" x14ac:dyDescent="0.2">
      <c r="B88" s="7"/>
      <c r="C88" s="8"/>
      <c r="D88" s="9"/>
      <c r="E88" s="10"/>
      <c r="F88" s="8"/>
      <c r="G88" s="8"/>
      <c r="H88" s="9"/>
      <c r="I88" s="10"/>
      <c r="J88" s="8"/>
      <c r="K88" s="10"/>
      <c r="L88" s="10"/>
      <c r="M88" s="10"/>
      <c r="N88" s="10"/>
      <c r="O88" s="10"/>
      <c r="P88" s="8"/>
      <c r="Q88" s="9"/>
    </row>
    <row r="89" spans="2:17" x14ac:dyDescent="0.2">
      <c r="B89" s="7"/>
      <c r="C89" s="8"/>
      <c r="D89" s="9"/>
      <c r="E89" s="10"/>
      <c r="F89" s="8"/>
      <c r="G89" s="8"/>
      <c r="H89" s="9"/>
      <c r="I89" s="10"/>
      <c r="J89" s="8"/>
      <c r="K89" s="10"/>
      <c r="L89" s="10"/>
      <c r="M89" s="10"/>
      <c r="N89" s="10"/>
      <c r="O89" s="10"/>
      <c r="P89" s="8"/>
      <c r="Q89" s="9"/>
    </row>
    <row r="90" spans="2:17" x14ac:dyDescent="0.2">
      <c r="B90" s="7"/>
      <c r="C90" s="8"/>
      <c r="D90" s="9"/>
      <c r="E90" s="10"/>
      <c r="F90" s="8"/>
      <c r="G90" s="8"/>
      <c r="H90" s="9"/>
      <c r="I90" s="10"/>
      <c r="J90" s="8"/>
      <c r="K90" s="10"/>
      <c r="L90" s="10"/>
      <c r="M90" s="10"/>
      <c r="N90" s="10"/>
      <c r="O90" s="10"/>
      <c r="P90" s="8"/>
      <c r="Q90" s="9"/>
    </row>
    <row r="91" spans="2:17" x14ac:dyDescent="0.2">
      <c r="B91" s="7"/>
      <c r="C91" s="8"/>
      <c r="D91" s="9"/>
      <c r="E91" s="10"/>
      <c r="F91" s="8"/>
      <c r="G91" s="8"/>
      <c r="H91" s="9"/>
      <c r="I91" s="10"/>
      <c r="J91" s="8"/>
      <c r="K91" s="10"/>
      <c r="L91" s="10"/>
      <c r="M91" s="10"/>
      <c r="N91" s="10"/>
      <c r="O91" s="10"/>
      <c r="P91" s="8"/>
      <c r="Q91" s="9"/>
    </row>
    <row r="92" spans="2:17" x14ac:dyDescent="0.2">
      <c r="B92" s="7"/>
      <c r="C92" s="8"/>
      <c r="D92" s="9"/>
      <c r="E92" s="10"/>
      <c r="F92" s="8"/>
      <c r="G92" s="8"/>
      <c r="H92" s="9"/>
      <c r="I92" s="10"/>
      <c r="J92" s="8"/>
      <c r="K92" s="10"/>
      <c r="L92" s="10"/>
      <c r="M92" s="10"/>
      <c r="N92" s="10"/>
      <c r="O92" s="10"/>
      <c r="P92" s="8"/>
      <c r="Q92" s="9"/>
    </row>
    <row r="93" spans="2:17" x14ac:dyDescent="0.2">
      <c r="B93" s="7"/>
      <c r="C93" s="8"/>
      <c r="D93" s="9"/>
      <c r="E93" s="10"/>
      <c r="F93" s="8"/>
      <c r="G93" s="8"/>
      <c r="H93" s="9"/>
      <c r="I93" s="10"/>
      <c r="J93" s="8"/>
      <c r="K93" s="10"/>
      <c r="L93" s="10"/>
      <c r="M93" s="10"/>
      <c r="N93" s="10"/>
      <c r="O93" s="10"/>
      <c r="P93" s="8"/>
      <c r="Q93" s="9"/>
    </row>
    <row r="94" spans="2:17" x14ac:dyDescent="0.2">
      <c r="B94" s="7"/>
      <c r="C94" s="8"/>
      <c r="D94" s="9"/>
      <c r="E94" s="10"/>
      <c r="F94" s="8"/>
      <c r="G94" s="8"/>
      <c r="H94" s="9"/>
      <c r="I94" s="10"/>
      <c r="J94" s="8"/>
      <c r="K94" s="10"/>
      <c r="L94" s="10"/>
      <c r="M94" s="10"/>
      <c r="N94" s="10"/>
      <c r="O94" s="10"/>
      <c r="P94" s="8"/>
      <c r="Q94" s="9"/>
    </row>
    <row r="95" spans="2:17" x14ac:dyDescent="0.2">
      <c r="B95" s="7"/>
      <c r="C95" s="8"/>
      <c r="D95" s="9"/>
      <c r="E95" s="10"/>
      <c r="F95" s="8"/>
      <c r="G95" s="8"/>
      <c r="H95" s="9"/>
      <c r="I95" s="10"/>
      <c r="J95" s="8"/>
      <c r="K95" s="10"/>
      <c r="L95" s="10"/>
      <c r="M95" s="10"/>
      <c r="N95" s="10"/>
      <c r="O95" s="10"/>
      <c r="P95" s="8"/>
      <c r="Q95" s="9"/>
    </row>
    <row r="96" spans="2:17" x14ac:dyDescent="0.2">
      <c r="B96" s="7"/>
      <c r="C96" s="8"/>
      <c r="D96" s="9"/>
      <c r="E96" s="10"/>
      <c r="F96" s="8"/>
      <c r="G96" s="8"/>
      <c r="H96" s="9"/>
      <c r="I96" s="10"/>
      <c r="J96" s="8"/>
      <c r="K96" s="10"/>
      <c r="L96" s="10"/>
      <c r="M96" s="10"/>
      <c r="N96" s="10"/>
      <c r="O96" s="10"/>
      <c r="P96" s="8"/>
      <c r="Q96" s="9"/>
    </row>
    <row r="97" spans="2:17" x14ac:dyDescent="0.2">
      <c r="B97" s="7"/>
      <c r="C97" s="8"/>
      <c r="D97" s="9"/>
      <c r="E97" s="10"/>
      <c r="F97" s="8"/>
      <c r="G97" s="8"/>
      <c r="H97" s="9"/>
      <c r="I97" s="10"/>
      <c r="J97" s="8"/>
      <c r="K97" s="10"/>
      <c r="L97" s="10"/>
      <c r="M97" s="10"/>
      <c r="N97" s="10"/>
      <c r="O97" s="10"/>
      <c r="P97" s="8"/>
      <c r="Q97" s="9"/>
    </row>
    <row r="98" spans="2:17" x14ac:dyDescent="0.2">
      <c r="B98" s="7"/>
      <c r="C98" s="8"/>
      <c r="D98" s="9"/>
      <c r="E98" s="10"/>
      <c r="F98" s="8"/>
      <c r="G98" s="8"/>
      <c r="H98" s="9"/>
      <c r="I98" s="10"/>
      <c r="J98" s="8"/>
      <c r="K98" s="10"/>
      <c r="L98" s="10"/>
      <c r="M98" s="10"/>
      <c r="N98" s="10"/>
      <c r="O98" s="10"/>
      <c r="P98" s="8"/>
      <c r="Q98" s="9"/>
    </row>
    <row r="99" spans="2:17" x14ac:dyDescent="0.2">
      <c r="B99" s="7"/>
      <c r="C99" s="8"/>
      <c r="D99" s="9"/>
      <c r="E99" s="10"/>
      <c r="F99" s="8"/>
      <c r="G99" s="8"/>
      <c r="H99" s="9"/>
      <c r="I99" s="10"/>
      <c r="J99" s="8"/>
      <c r="K99" s="10"/>
      <c r="L99" s="10"/>
      <c r="M99" s="10"/>
      <c r="N99" s="10"/>
      <c r="O99" s="10"/>
      <c r="P99" s="8"/>
      <c r="Q99" s="9"/>
    </row>
    <row r="100" spans="2:17" x14ac:dyDescent="0.2">
      <c r="B100" s="7"/>
      <c r="C100" s="8"/>
      <c r="D100" s="9"/>
      <c r="E100" s="10"/>
      <c r="F100" s="8"/>
      <c r="G100" s="8"/>
      <c r="H100" s="9"/>
      <c r="I100" s="10"/>
      <c r="J100" s="8"/>
      <c r="K100" s="10"/>
      <c r="L100" s="10"/>
      <c r="M100" s="10"/>
      <c r="N100" s="10"/>
      <c r="O100" s="10"/>
      <c r="P100" s="8"/>
      <c r="Q100" s="9"/>
    </row>
    <row r="101" spans="2:17" x14ac:dyDescent="0.2">
      <c r="B101" s="7"/>
      <c r="C101" s="8"/>
      <c r="D101" s="9"/>
      <c r="E101" s="10"/>
      <c r="F101" s="8"/>
      <c r="G101" s="8"/>
      <c r="H101" s="9"/>
      <c r="I101" s="10"/>
      <c r="J101" s="8"/>
      <c r="K101" s="10"/>
      <c r="L101" s="10"/>
      <c r="M101" s="10"/>
      <c r="N101" s="10"/>
      <c r="O101" s="10"/>
      <c r="P101" s="8"/>
      <c r="Q101" s="9"/>
    </row>
    <row r="102" spans="2:17" x14ac:dyDescent="0.2">
      <c r="B102" s="7"/>
      <c r="C102" s="8"/>
      <c r="D102" s="9"/>
      <c r="E102" s="10"/>
      <c r="F102" s="8"/>
      <c r="G102" s="8"/>
      <c r="H102" s="9"/>
      <c r="I102" s="10"/>
      <c r="J102" s="8"/>
      <c r="K102" s="10"/>
      <c r="L102" s="10"/>
      <c r="M102" s="10"/>
      <c r="N102" s="10"/>
      <c r="O102" s="10"/>
      <c r="P102" s="8"/>
      <c r="Q102" s="9"/>
    </row>
    <row r="103" spans="2:17" x14ac:dyDescent="0.2">
      <c r="B103" s="7"/>
      <c r="C103" s="8"/>
      <c r="D103" s="9"/>
      <c r="E103" s="10"/>
      <c r="F103" s="8"/>
      <c r="G103" s="8"/>
      <c r="H103" s="9"/>
      <c r="I103" s="10"/>
      <c r="J103" s="8"/>
      <c r="K103" s="10"/>
      <c r="L103" s="10"/>
      <c r="M103" s="10"/>
      <c r="N103" s="10"/>
      <c r="O103" s="10"/>
      <c r="P103" s="8"/>
      <c r="Q103" s="9"/>
    </row>
    <row r="104" spans="2:17" x14ac:dyDescent="0.2">
      <c r="B104" s="7"/>
      <c r="C104" s="8"/>
      <c r="D104" s="9"/>
      <c r="E104" s="10"/>
      <c r="F104" s="8"/>
      <c r="G104" s="8"/>
      <c r="H104" s="9"/>
      <c r="I104" s="10"/>
      <c r="J104" s="8"/>
      <c r="K104" s="10"/>
      <c r="L104" s="10"/>
      <c r="M104" s="10"/>
      <c r="N104" s="10"/>
      <c r="O104" s="10"/>
      <c r="P104" s="8"/>
      <c r="Q104" s="9"/>
    </row>
    <row r="105" spans="2:17" x14ac:dyDescent="0.2">
      <c r="B105" s="7"/>
      <c r="C105" s="8"/>
      <c r="D105" s="9"/>
      <c r="E105" s="10"/>
      <c r="F105" s="8"/>
      <c r="G105" s="8"/>
      <c r="H105" s="9"/>
      <c r="I105" s="10"/>
      <c r="J105" s="8"/>
      <c r="K105" s="10"/>
      <c r="L105" s="10"/>
      <c r="M105" s="10"/>
      <c r="N105" s="10"/>
      <c r="O105" s="10"/>
      <c r="P105" s="8"/>
      <c r="Q105" s="9"/>
    </row>
    <row r="106" spans="2:17" x14ac:dyDescent="0.2">
      <c r="B106" s="7"/>
      <c r="C106" s="8"/>
      <c r="D106" s="9"/>
      <c r="E106" s="10"/>
      <c r="F106" s="8"/>
      <c r="G106" s="8"/>
      <c r="H106" s="9"/>
      <c r="I106" s="10"/>
      <c r="J106" s="8"/>
      <c r="K106" s="10"/>
      <c r="L106" s="10"/>
      <c r="M106" s="10"/>
      <c r="N106" s="10"/>
      <c r="O106" s="10"/>
      <c r="P106" s="8"/>
      <c r="Q106" s="9"/>
    </row>
    <row r="107" spans="2:17" x14ac:dyDescent="0.2">
      <c r="B107" s="7"/>
      <c r="C107" s="8"/>
      <c r="D107" s="9"/>
      <c r="E107" s="10"/>
      <c r="F107" s="8"/>
      <c r="G107" s="8"/>
      <c r="H107" s="9"/>
      <c r="I107" s="10"/>
      <c r="J107" s="8"/>
      <c r="K107" s="10"/>
      <c r="L107" s="10"/>
      <c r="M107" s="10"/>
      <c r="N107" s="10"/>
      <c r="O107" s="10"/>
      <c r="P107" s="8"/>
      <c r="Q107" s="9"/>
    </row>
    <row r="108" spans="2:17" x14ac:dyDescent="0.2">
      <c r="B108" s="7"/>
      <c r="C108" s="8"/>
      <c r="D108" s="9"/>
      <c r="E108" s="10"/>
      <c r="F108" s="8"/>
      <c r="G108" s="8"/>
      <c r="H108" s="9"/>
      <c r="I108" s="10"/>
      <c r="J108" s="8"/>
      <c r="K108" s="10"/>
      <c r="L108" s="10"/>
      <c r="M108" s="10"/>
      <c r="N108" s="10"/>
      <c r="O108" s="10"/>
      <c r="P108" s="8"/>
      <c r="Q108" s="9"/>
    </row>
    <row r="109" spans="2:17" x14ac:dyDescent="0.2">
      <c r="B109" s="7"/>
      <c r="C109" s="8"/>
      <c r="D109" s="9"/>
      <c r="E109" s="10"/>
      <c r="F109" s="8"/>
      <c r="G109" s="8"/>
      <c r="H109" s="9"/>
      <c r="I109" s="10"/>
      <c r="J109" s="8"/>
      <c r="K109" s="10"/>
      <c r="L109" s="10"/>
      <c r="M109" s="10"/>
      <c r="N109" s="10"/>
      <c r="O109" s="10"/>
      <c r="P109" s="8"/>
      <c r="Q109" s="9"/>
    </row>
    <row r="110" spans="2:17" x14ac:dyDescent="0.2">
      <c r="B110" s="7"/>
      <c r="C110" s="8"/>
      <c r="D110" s="9"/>
      <c r="E110" s="10"/>
      <c r="F110" s="8"/>
      <c r="G110" s="8"/>
      <c r="H110" s="9"/>
      <c r="I110" s="10"/>
      <c r="J110" s="8"/>
      <c r="K110" s="10"/>
      <c r="L110" s="10"/>
      <c r="M110" s="10"/>
      <c r="N110" s="10"/>
      <c r="O110" s="10"/>
      <c r="P110" s="8"/>
      <c r="Q110" s="9"/>
    </row>
    <row r="111" spans="2:17" x14ac:dyDescent="0.2">
      <c r="B111" s="7"/>
      <c r="C111" s="8"/>
      <c r="D111" s="9"/>
      <c r="E111" s="10"/>
      <c r="F111" s="8"/>
      <c r="G111" s="8"/>
      <c r="H111" s="9"/>
      <c r="I111" s="10"/>
      <c r="J111" s="8"/>
      <c r="K111" s="10"/>
      <c r="L111" s="10"/>
      <c r="M111" s="10"/>
      <c r="N111" s="10"/>
      <c r="O111" s="10"/>
      <c r="P111" s="8"/>
      <c r="Q111" s="9"/>
    </row>
    <row r="112" spans="2:17" x14ac:dyDescent="0.2">
      <c r="B112" s="7"/>
      <c r="C112" s="8"/>
      <c r="D112" s="9"/>
      <c r="E112" s="10"/>
      <c r="F112" s="8"/>
      <c r="G112" s="8"/>
      <c r="H112" s="9"/>
      <c r="I112" s="10"/>
      <c r="J112" s="8"/>
      <c r="K112" s="10"/>
      <c r="L112" s="10"/>
      <c r="M112" s="10"/>
      <c r="N112" s="10"/>
      <c r="O112" s="10"/>
      <c r="P112" s="8"/>
      <c r="Q112" s="9"/>
    </row>
    <row r="113" spans="2:17" x14ac:dyDescent="0.2">
      <c r="B113" s="7"/>
      <c r="C113" s="8"/>
      <c r="D113" s="9"/>
      <c r="E113" s="10"/>
      <c r="F113" s="8"/>
      <c r="G113" s="8"/>
      <c r="H113" s="9"/>
      <c r="I113" s="10"/>
      <c r="J113" s="8"/>
      <c r="K113" s="10"/>
      <c r="L113" s="10"/>
      <c r="M113" s="10"/>
      <c r="N113" s="10"/>
      <c r="O113" s="10"/>
      <c r="P113" s="8"/>
      <c r="Q113" s="9"/>
    </row>
    <row r="114" spans="2:17" x14ac:dyDescent="0.2">
      <c r="B114" s="7"/>
      <c r="C114" s="8"/>
      <c r="D114" s="9"/>
      <c r="E114" s="10"/>
      <c r="F114" s="8"/>
      <c r="G114" s="8"/>
      <c r="H114" s="9"/>
      <c r="I114" s="10"/>
      <c r="J114" s="8"/>
      <c r="K114" s="10"/>
      <c r="L114" s="10"/>
      <c r="M114" s="10"/>
      <c r="N114" s="10"/>
      <c r="O114" s="10"/>
      <c r="P114" s="8"/>
      <c r="Q114" s="9"/>
    </row>
    <row r="115" spans="2:17" x14ac:dyDescent="0.2">
      <c r="B115" s="7"/>
      <c r="C115" s="8"/>
      <c r="D115" s="9"/>
      <c r="E115" s="10"/>
      <c r="F115" s="8"/>
      <c r="G115" s="8"/>
      <c r="H115" s="9"/>
      <c r="I115" s="10"/>
      <c r="J115" s="8"/>
      <c r="K115" s="10"/>
      <c r="L115" s="10"/>
      <c r="M115" s="10"/>
      <c r="N115" s="10"/>
      <c r="O115" s="10"/>
      <c r="P115" s="8"/>
      <c r="Q115" s="9"/>
    </row>
    <row r="116" spans="2:17" x14ac:dyDescent="0.2">
      <c r="B116" s="7"/>
      <c r="C116" s="8"/>
      <c r="D116" s="9"/>
      <c r="E116" s="10"/>
      <c r="F116" s="8"/>
      <c r="G116" s="8"/>
      <c r="H116" s="9"/>
      <c r="I116" s="10"/>
      <c r="J116" s="8"/>
      <c r="K116" s="10"/>
      <c r="L116" s="10"/>
      <c r="M116" s="10"/>
      <c r="N116" s="10"/>
      <c r="O116" s="10"/>
      <c r="P116" s="8"/>
      <c r="Q116" s="9"/>
    </row>
    <row r="117" spans="2:17" x14ac:dyDescent="0.2">
      <c r="B117" s="7"/>
      <c r="C117" s="8"/>
      <c r="D117" s="9"/>
      <c r="E117" s="10"/>
      <c r="F117" s="8"/>
      <c r="G117" s="8"/>
      <c r="H117" s="9"/>
      <c r="I117" s="10"/>
      <c r="J117" s="8"/>
      <c r="K117" s="10"/>
      <c r="L117" s="10"/>
      <c r="M117" s="10"/>
      <c r="N117" s="10"/>
      <c r="O117" s="10"/>
      <c r="P117" s="8"/>
      <c r="Q117" s="9"/>
    </row>
    <row r="118" spans="2:17" x14ac:dyDescent="0.2">
      <c r="B118" s="7"/>
      <c r="C118" s="8"/>
      <c r="D118" s="9"/>
      <c r="E118" s="10"/>
      <c r="F118" s="8"/>
      <c r="G118" s="8"/>
      <c r="H118" s="9"/>
      <c r="I118" s="10"/>
      <c r="J118" s="8"/>
      <c r="K118" s="10"/>
      <c r="L118" s="10"/>
      <c r="M118" s="10"/>
      <c r="N118" s="10"/>
      <c r="O118" s="10"/>
      <c r="P118" s="8"/>
      <c r="Q118" s="9"/>
    </row>
    <row r="119" spans="2:17" x14ac:dyDescent="0.2">
      <c r="B119" s="7"/>
      <c r="C119" s="8"/>
      <c r="D119" s="9"/>
      <c r="E119" s="10"/>
      <c r="F119" s="8"/>
      <c r="G119" s="8"/>
      <c r="H119" s="9"/>
      <c r="I119" s="10"/>
      <c r="J119" s="8"/>
      <c r="K119" s="10"/>
      <c r="L119" s="10"/>
      <c r="M119" s="10"/>
      <c r="N119" s="10"/>
      <c r="O119" s="10"/>
      <c r="P119" s="8"/>
      <c r="Q119" s="9"/>
    </row>
    <row r="120" spans="2:17" x14ac:dyDescent="0.2">
      <c r="B120" s="7"/>
      <c r="C120" s="8"/>
      <c r="D120" s="9"/>
      <c r="E120" s="10"/>
      <c r="F120" s="8"/>
      <c r="G120" s="8"/>
      <c r="H120" s="9"/>
      <c r="I120" s="10"/>
      <c r="J120" s="8"/>
      <c r="K120" s="10"/>
      <c r="L120" s="10"/>
      <c r="M120" s="10"/>
      <c r="N120" s="10"/>
      <c r="O120" s="10"/>
      <c r="P120" s="8"/>
      <c r="Q120" s="9"/>
    </row>
    <row r="121" spans="2:17" x14ac:dyDescent="0.2">
      <c r="B121" s="7"/>
      <c r="C121" s="8"/>
      <c r="D121" s="9"/>
      <c r="E121" s="10"/>
      <c r="F121" s="8"/>
      <c r="G121" s="8"/>
      <c r="H121" s="9"/>
      <c r="I121" s="10"/>
      <c r="J121" s="8"/>
      <c r="K121" s="10"/>
      <c r="L121" s="10"/>
      <c r="M121" s="10"/>
      <c r="N121" s="10"/>
      <c r="O121" s="10"/>
      <c r="P121" s="8"/>
      <c r="Q121" s="9"/>
    </row>
    <row r="122" spans="2:17" x14ac:dyDescent="0.2">
      <c r="B122" s="7"/>
      <c r="C122" s="8"/>
      <c r="D122" s="9"/>
      <c r="E122" s="10"/>
      <c r="F122" s="8"/>
      <c r="G122" s="8"/>
      <c r="H122" s="9"/>
      <c r="I122" s="10"/>
      <c r="J122" s="8"/>
      <c r="K122" s="10"/>
      <c r="L122" s="10"/>
      <c r="M122" s="10"/>
      <c r="N122" s="10"/>
      <c r="O122" s="10"/>
      <c r="P122" s="8"/>
      <c r="Q122" s="9"/>
    </row>
    <row r="123" spans="2:17" x14ac:dyDescent="0.2">
      <c r="B123" s="7"/>
      <c r="C123" s="8"/>
      <c r="D123" s="9"/>
      <c r="E123" s="10"/>
      <c r="F123" s="8"/>
      <c r="G123" s="8"/>
      <c r="H123" s="9"/>
      <c r="I123" s="10"/>
      <c r="J123" s="8"/>
      <c r="K123" s="10"/>
      <c r="L123" s="10"/>
      <c r="M123" s="10"/>
      <c r="N123" s="10"/>
      <c r="O123" s="10"/>
      <c r="P123" s="8"/>
      <c r="Q123" s="9"/>
    </row>
    <row r="124" spans="2:17" x14ac:dyDescent="0.2">
      <c r="B124" s="7"/>
      <c r="C124" s="8"/>
      <c r="D124" s="9"/>
      <c r="E124" s="10"/>
      <c r="F124" s="8"/>
      <c r="G124" s="8"/>
      <c r="H124" s="9"/>
      <c r="I124" s="10"/>
      <c r="J124" s="8"/>
      <c r="K124" s="10"/>
      <c r="L124" s="10"/>
      <c r="M124" s="10"/>
      <c r="N124" s="10"/>
      <c r="O124" s="10"/>
      <c r="P124" s="8"/>
      <c r="Q124" s="9"/>
    </row>
    <row r="125" spans="2:17" x14ac:dyDescent="0.2">
      <c r="B125" s="7"/>
      <c r="C125" s="8"/>
      <c r="D125" s="9"/>
      <c r="E125" s="10"/>
      <c r="F125" s="8"/>
      <c r="G125" s="8"/>
      <c r="H125" s="9"/>
      <c r="I125" s="10"/>
      <c r="J125" s="8"/>
      <c r="K125" s="10"/>
      <c r="L125" s="10"/>
      <c r="M125" s="10"/>
      <c r="N125" s="10"/>
      <c r="O125" s="10"/>
      <c r="P125" s="8"/>
      <c r="Q125" s="9"/>
    </row>
    <row r="126" spans="2:17" x14ac:dyDescent="0.2">
      <c r="B126" s="7"/>
      <c r="C126" s="8"/>
      <c r="D126" s="9"/>
      <c r="E126" s="10"/>
      <c r="F126" s="8"/>
      <c r="G126" s="8"/>
      <c r="H126" s="9"/>
      <c r="I126" s="10"/>
      <c r="J126" s="8"/>
      <c r="K126" s="10"/>
      <c r="L126" s="10"/>
      <c r="M126" s="10"/>
      <c r="N126" s="10"/>
      <c r="O126" s="10"/>
      <c r="P126" s="8"/>
      <c r="Q126" s="9"/>
    </row>
    <row r="127" spans="2:17" x14ac:dyDescent="0.2">
      <c r="B127" s="7"/>
      <c r="C127" s="8"/>
      <c r="D127" s="9"/>
      <c r="E127" s="10"/>
      <c r="F127" s="8"/>
      <c r="G127" s="8"/>
      <c r="H127" s="9"/>
      <c r="I127" s="10"/>
      <c r="J127" s="8"/>
      <c r="K127" s="10"/>
      <c r="L127" s="10"/>
      <c r="M127" s="10"/>
      <c r="N127" s="10"/>
      <c r="O127" s="10"/>
      <c r="P127" s="8"/>
      <c r="Q127" s="9"/>
    </row>
    <row r="128" spans="2:17" x14ac:dyDescent="0.2">
      <c r="B128" s="7"/>
      <c r="C128" s="8"/>
      <c r="D128" s="9"/>
      <c r="E128" s="10"/>
      <c r="F128" s="8"/>
      <c r="G128" s="8"/>
      <c r="H128" s="9"/>
      <c r="I128" s="10"/>
      <c r="J128" s="8"/>
      <c r="K128" s="10"/>
      <c r="L128" s="10"/>
      <c r="M128" s="10"/>
      <c r="N128" s="10"/>
      <c r="O128" s="10"/>
      <c r="P128" s="8"/>
      <c r="Q128" s="9"/>
    </row>
    <row r="129" spans="2:17" x14ac:dyDescent="0.2">
      <c r="B129" s="7"/>
      <c r="C129" s="8"/>
      <c r="D129" s="9"/>
      <c r="E129" s="10"/>
      <c r="F129" s="8"/>
      <c r="G129" s="8"/>
      <c r="H129" s="9"/>
      <c r="I129" s="10"/>
      <c r="J129" s="8"/>
      <c r="K129" s="10"/>
      <c r="L129" s="10"/>
      <c r="M129" s="10"/>
      <c r="N129" s="10"/>
      <c r="O129" s="10"/>
      <c r="P129" s="8"/>
      <c r="Q129" s="9"/>
    </row>
    <row r="130" spans="2:17" x14ac:dyDescent="0.2">
      <c r="B130" s="7"/>
      <c r="C130" s="8"/>
      <c r="D130" s="9"/>
      <c r="E130" s="10"/>
      <c r="F130" s="8"/>
      <c r="G130" s="8"/>
      <c r="H130" s="9"/>
      <c r="I130" s="10"/>
      <c r="J130" s="8"/>
      <c r="K130" s="10"/>
      <c r="L130" s="10"/>
      <c r="M130" s="10"/>
      <c r="N130" s="10"/>
      <c r="O130" s="10"/>
      <c r="P130" s="8"/>
      <c r="Q130" s="9"/>
    </row>
    <row r="131" spans="2:17" x14ac:dyDescent="0.2">
      <c r="B131" s="7"/>
      <c r="C131" s="8"/>
      <c r="D131" s="9"/>
      <c r="E131" s="10"/>
      <c r="F131" s="8"/>
      <c r="G131" s="8"/>
      <c r="H131" s="9"/>
      <c r="I131" s="10"/>
      <c r="J131" s="8"/>
      <c r="K131" s="10"/>
      <c r="L131" s="10"/>
      <c r="M131" s="10"/>
      <c r="N131" s="10"/>
      <c r="O131" s="10"/>
      <c r="P131" s="8"/>
      <c r="Q131" s="9"/>
    </row>
    <row r="132" spans="2:17" x14ac:dyDescent="0.2">
      <c r="B132" s="7"/>
      <c r="C132" s="8"/>
      <c r="D132" s="9"/>
      <c r="E132" s="10"/>
      <c r="F132" s="8"/>
      <c r="G132" s="8"/>
      <c r="H132" s="9"/>
      <c r="I132" s="10"/>
      <c r="J132" s="8"/>
      <c r="K132" s="10"/>
      <c r="L132" s="10"/>
      <c r="M132" s="10"/>
      <c r="N132" s="10"/>
      <c r="O132" s="10"/>
      <c r="P132" s="8"/>
      <c r="Q132" s="9"/>
    </row>
    <row r="133" spans="2:17" x14ac:dyDescent="0.2">
      <c r="B133" s="7"/>
      <c r="C133" s="8"/>
      <c r="D133" s="9"/>
      <c r="E133" s="10"/>
      <c r="F133" s="8"/>
      <c r="G133" s="8"/>
      <c r="H133" s="9"/>
      <c r="I133" s="10"/>
      <c r="J133" s="8"/>
      <c r="K133" s="10"/>
      <c r="L133" s="10"/>
      <c r="M133" s="10"/>
      <c r="N133" s="10"/>
      <c r="O133" s="10"/>
      <c r="P133" s="8"/>
      <c r="Q133" s="9"/>
    </row>
    <row r="134" spans="2:17" x14ac:dyDescent="0.2">
      <c r="B134" s="7"/>
      <c r="C134" s="8"/>
      <c r="D134" s="9"/>
      <c r="E134" s="10"/>
      <c r="F134" s="8"/>
      <c r="G134" s="8"/>
      <c r="H134" s="9"/>
      <c r="I134" s="10"/>
      <c r="J134" s="8"/>
      <c r="K134" s="10"/>
      <c r="L134" s="10"/>
      <c r="M134" s="10"/>
      <c r="N134" s="10"/>
      <c r="O134" s="10"/>
      <c r="P134" s="8"/>
      <c r="Q134" s="9"/>
    </row>
    <row r="135" spans="2:17" x14ac:dyDescent="0.2">
      <c r="B135" s="7"/>
      <c r="C135" s="8"/>
      <c r="D135" s="9"/>
      <c r="E135" s="10"/>
      <c r="F135" s="8"/>
      <c r="G135" s="8"/>
      <c r="H135" s="9"/>
      <c r="I135" s="10"/>
      <c r="J135" s="8"/>
      <c r="K135" s="10"/>
      <c r="L135" s="10"/>
      <c r="M135" s="10"/>
      <c r="N135" s="10"/>
      <c r="O135" s="10"/>
      <c r="P135" s="8"/>
      <c r="Q135" s="9"/>
    </row>
    <row r="136" spans="2:17" x14ac:dyDescent="0.2">
      <c r="B136" s="7"/>
      <c r="C136" s="8"/>
      <c r="D136" s="9"/>
      <c r="E136" s="10"/>
      <c r="F136" s="8"/>
      <c r="G136" s="8"/>
      <c r="H136" s="9"/>
      <c r="I136" s="10"/>
      <c r="J136" s="8"/>
      <c r="K136" s="10"/>
      <c r="L136" s="10"/>
      <c r="M136" s="10"/>
      <c r="N136" s="10"/>
      <c r="O136" s="10"/>
      <c r="P136" s="8"/>
      <c r="Q136" s="9"/>
    </row>
    <row r="137" spans="2:17" x14ac:dyDescent="0.2">
      <c r="B137" s="7"/>
      <c r="C137" s="8"/>
      <c r="D137" s="9"/>
      <c r="E137" s="10"/>
      <c r="F137" s="8"/>
      <c r="G137" s="8"/>
      <c r="H137" s="9"/>
      <c r="I137" s="10"/>
      <c r="J137" s="8"/>
      <c r="K137" s="10"/>
      <c r="L137" s="10"/>
      <c r="M137" s="10"/>
      <c r="N137" s="10"/>
      <c r="O137" s="10"/>
      <c r="P137" s="8"/>
      <c r="Q137" s="9"/>
    </row>
    <row r="138" spans="2:17" x14ac:dyDescent="0.2">
      <c r="B138" s="7"/>
      <c r="C138" s="8"/>
      <c r="D138" s="9"/>
      <c r="E138" s="10"/>
      <c r="F138" s="8"/>
      <c r="G138" s="8"/>
      <c r="H138" s="9"/>
      <c r="I138" s="10"/>
      <c r="J138" s="8"/>
      <c r="K138" s="10"/>
      <c r="L138" s="10"/>
      <c r="M138" s="10"/>
      <c r="N138" s="10"/>
      <c r="O138" s="10"/>
      <c r="P138" s="8"/>
      <c r="Q138" s="9"/>
    </row>
    <row r="139" spans="2:17" x14ac:dyDescent="0.2">
      <c r="B139" s="7"/>
      <c r="C139" s="8"/>
      <c r="D139" s="9"/>
      <c r="E139" s="10"/>
      <c r="F139" s="8"/>
      <c r="G139" s="8"/>
      <c r="H139" s="9"/>
      <c r="I139" s="10"/>
      <c r="J139" s="8"/>
      <c r="K139" s="10"/>
      <c r="L139" s="10"/>
      <c r="M139" s="10"/>
      <c r="N139" s="10"/>
      <c r="O139" s="10"/>
      <c r="P139" s="8"/>
      <c r="Q139" s="9"/>
    </row>
    <row r="140" spans="2:17" x14ac:dyDescent="0.2">
      <c r="B140" s="7"/>
      <c r="C140" s="8"/>
      <c r="D140" s="9"/>
      <c r="E140" s="10"/>
      <c r="F140" s="8"/>
      <c r="G140" s="8"/>
      <c r="H140" s="9"/>
      <c r="I140" s="10"/>
      <c r="J140" s="8"/>
      <c r="K140" s="10"/>
      <c r="L140" s="10"/>
      <c r="M140" s="10"/>
      <c r="N140" s="10"/>
      <c r="O140" s="10"/>
      <c r="P140" s="8"/>
      <c r="Q140" s="9"/>
    </row>
    <row r="141" spans="2:17" x14ac:dyDescent="0.2">
      <c r="B141" s="7"/>
      <c r="C141" s="8"/>
      <c r="D141" s="9"/>
      <c r="E141" s="10"/>
      <c r="F141" s="8"/>
      <c r="G141" s="8"/>
      <c r="H141" s="9"/>
      <c r="I141" s="10"/>
      <c r="J141" s="8"/>
      <c r="K141" s="10"/>
      <c r="L141" s="10"/>
      <c r="M141" s="10"/>
      <c r="N141" s="10"/>
      <c r="O141" s="10"/>
      <c r="P141" s="8"/>
      <c r="Q141" s="9"/>
    </row>
    <row r="142" spans="2:17" x14ac:dyDescent="0.2">
      <c r="B142" s="7"/>
      <c r="C142" s="8"/>
      <c r="D142" s="9"/>
      <c r="E142" s="10"/>
      <c r="F142" s="8"/>
      <c r="G142" s="8"/>
      <c r="H142" s="9"/>
      <c r="I142" s="10"/>
      <c r="J142" s="8"/>
      <c r="K142" s="10"/>
      <c r="L142" s="10"/>
      <c r="M142" s="10"/>
      <c r="N142" s="10"/>
      <c r="O142" s="10"/>
      <c r="P142" s="8"/>
      <c r="Q142" s="9"/>
    </row>
    <row r="143" spans="2:17" x14ac:dyDescent="0.2">
      <c r="B143" s="7"/>
      <c r="C143" s="8"/>
      <c r="D143" s="9"/>
      <c r="E143" s="10"/>
      <c r="F143" s="8"/>
      <c r="G143" s="8"/>
      <c r="H143" s="9"/>
      <c r="I143" s="10"/>
      <c r="J143" s="8"/>
      <c r="K143" s="10"/>
      <c r="L143" s="10"/>
      <c r="M143" s="10"/>
      <c r="N143" s="10"/>
      <c r="O143" s="10"/>
      <c r="P143" s="8"/>
      <c r="Q143" s="9"/>
    </row>
    <row r="144" spans="2:17" x14ac:dyDescent="0.2">
      <c r="B144" s="7"/>
      <c r="C144" s="8"/>
      <c r="D144" s="9"/>
      <c r="E144" s="10"/>
      <c r="F144" s="8"/>
      <c r="G144" s="8"/>
      <c r="H144" s="9"/>
      <c r="I144" s="10"/>
      <c r="J144" s="8"/>
      <c r="K144" s="10"/>
      <c r="L144" s="10"/>
      <c r="M144" s="10"/>
      <c r="N144" s="10"/>
      <c r="O144" s="10"/>
      <c r="P144" s="8"/>
      <c r="Q144" s="9"/>
    </row>
    <row r="145" spans="2:17" x14ac:dyDescent="0.2">
      <c r="B145" s="7"/>
      <c r="C145" s="8"/>
      <c r="D145" s="9"/>
      <c r="E145" s="10"/>
      <c r="F145" s="8"/>
      <c r="G145" s="8"/>
      <c r="H145" s="9"/>
      <c r="I145" s="10"/>
      <c r="J145" s="8"/>
      <c r="K145" s="10"/>
      <c r="L145" s="10"/>
      <c r="M145" s="10"/>
      <c r="N145" s="10"/>
      <c r="O145" s="10"/>
      <c r="P145" s="8"/>
      <c r="Q145" s="9"/>
    </row>
    <row r="146" spans="2:17" x14ac:dyDescent="0.2">
      <c r="B146" s="7"/>
      <c r="C146" s="8"/>
      <c r="D146" s="9"/>
      <c r="E146" s="10"/>
      <c r="F146" s="8"/>
      <c r="G146" s="8"/>
      <c r="H146" s="9"/>
      <c r="I146" s="10"/>
      <c r="J146" s="8"/>
      <c r="K146" s="10"/>
      <c r="L146" s="10"/>
      <c r="M146" s="10"/>
      <c r="N146" s="10"/>
      <c r="O146" s="10"/>
      <c r="P146" s="8"/>
      <c r="Q146" s="9"/>
    </row>
    <row r="147" spans="2:17" x14ac:dyDescent="0.2">
      <c r="B147" s="7"/>
      <c r="C147" s="8"/>
      <c r="D147" s="9"/>
      <c r="E147" s="10"/>
      <c r="F147" s="8"/>
      <c r="G147" s="8"/>
      <c r="H147" s="9"/>
      <c r="I147" s="10"/>
      <c r="J147" s="8"/>
      <c r="K147" s="10"/>
      <c r="L147" s="10"/>
      <c r="M147" s="10"/>
      <c r="N147" s="10"/>
      <c r="O147" s="10"/>
      <c r="P147" s="8"/>
      <c r="Q147" s="9"/>
    </row>
    <row r="148" spans="2:17" x14ac:dyDescent="0.2">
      <c r="B148" s="7"/>
      <c r="C148" s="8"/>
      <c r="D148" s="9"/>
      <c r="E148" s="10"/>
      <c r="F148" s="8"/>
      <c r="G148" s="8"/>
      <c r="H148" s="9"/>
      <c r="I148" s="10"/>
      <c r="J148" s="8"/>
      <c r="K148" s="10"/>
      <c r="L148" s="10"/>
      <c r="M148" s="10"/>
      <c r="N148" s="10"/>
      <c r="O148" s="10"/>
      <c r="P148" s="8"/>
      <c r="Q148" s="9"/>
    </row>
    <row r="149" spans="2:17" x14ac:dyDescent="0.2">
      <c r="B149" s="7"/>
      <c r="C149" s="8"/>
      <c r="D149" s="9"/>
      <c r="E149" s="10"/>
      <c r="F149" s="8"/>
      <c r="G149" s="8"/>
      <c r="H149" s="9"/>
      <c r="I149" s="10"/>
      <c r="J149" s="8"/>
      <c r="K149" s="10"/>
      <c r="L149" s="10"/>
      <c r="M149" s="10"/>
      <c r="N149" s="10"/>
      <c r="O149" s="10"/>
      <c r="P149" s="8"/>
      <c r="Q149" s="9"/>
    </row>
    <row r="150" spans="2:17" x14ac:dyDescent="0.2">
      <c r="B150" s="7"/>
      <c r="C150" s="8"/>
      <c r="D150" s="9"/>
      <c r="E150" s="10"/>
      <c r="F150" s="8"/>
      <c r="G150" s="8"/>
      <c r="H150" s="9"/>
      <c r="I150" s="10"/>
      <c r="J150" s="8"/>
      <c r="K150" s="10"/>
      <c r="L150" s="10"/>
      <c r="M150" s="10"/>
      <c r="N150" s="10"/>
      <c r="O150" s="10"/>
      <c r="P150" s="8"/>
      <c r="Q150" s="9"/>
    </row>
    <row r="151" spans="2:17" x14ac:dyDescent="0.2">
      <c r="B151" s="7"/>
      <c r="C151" s="8"/>
      <c r="D151" s="9"/>
      <c r="E151" s="10"/>
      <c r="F151" s="8"/>
      <c r="G151" s="8"/>
      <c r="H151" s="9"/>
      <c r="I151" s="10"/>
      <c r="J151" s="8"/>
      <c r="K151" s="10"/>
      <c r="L151" s="10"/>
      <c r="M151" s="10"/>
      <c r="N151" s="10"/>
      <c r="O151" s="10"/>
      <c r="P151" s="8"/>
      <c r="Q151" s="9"/>
    </row>
    <row r="152" spans="2:17" x14ac:dyDescent="0.2">
      <c r="B152" s="7"/>
      <c r="C152" s="8"/>
      <c r="D152" s="9"/>
      <c r="E152" s="10"/>
      <c r="F152" s="8"/>
      <c r="G152" s="8"/>
      <c r="H152" s="9"/>
      <c r="I152" s="10"/>
      <c r="J152" s="8"/>
      <c r="K152" s="10"/>
      <c r="L152" s="10"/>
      <c r="M152" s="10"/>
      <c r="N152" s="10"/>
      <c r="O152" s="10"/>
      <c r="P152" s="8"/>
      <c r="Q152" s="9"/>
    </row>
    <row r="153" spans="2:17" x14ac:dyDescent="0.2">
      <c r="B153" s="7"/>
      <c r="C153" s="8"/>
      <c r="D153" s="9"/>
      <c r="E153" s="10"/>
      <c r="F153" s="8"/>
      <c r="G153" s="8"/>
      <c r="H153" s="9"/>
      <c r="I153" s="10"/>
      <c r="J153" s="8"/>
      <c r="K153" s="10"/>
      <c r="L153" s="10"/>
      <c r="M153" s="10"/>
      <c r="N153" s="10"/>
      <c r="O153" s="10"/>
      <c r="P153" s="8"/>
      <c r="Q153" s="9"/>
    </row>
    <row r="154" spans="2:17" x14ac:dyDescent="0.2">
      <c r="B154" s="7"/>
      <c r="C154" s="8"/>
      <c r="D154" s="9"/>
      <c r="E154" s="10"/>
      <c r="F154" s="8"/>
      <c r="G154" s="8"/>
      <c r="H154" s="9"/>
      <c r="I154" s="10"/>
      <c r="J154" s="8"/>
      <c r="K154" s="10"/>
      <c r="L154" s="10"/>
      <c r="M154" s="10"/>
      <c r="N154" s="10"/>
      <c r="O154" s="10"/>
      <c r="P154" s="8"/>
      <c r="Q154" s="9"/>
    </row>
    <row r="155" spans="2:17" x14ac:dyDescent="0.2">
      <c r="B155" s="7"/>
      <c r="C155" s="8"/>
      <c r="D155" s="9"/>
      <c r="E155" s="10"/>
      <c r="F155" s="8"/>
      <c r="G155" s="8"/>
      <c r="H155" s="9"/>
      <c r="I155" s="10"/>
      <c r="J155" s="8"/>
      <c r="K155" s="10"/>
      <c r="L155" s="10"/>
      <c r="M155" s="10"/>
      <c r="N155" s="10"/>
      <c r="O155" s="10"/>
      <c r="P155" s="8"/>
      <c r="Q155" s="9"/>
    </row>
    <row r="156" spans="2:17" x14ac:dyDescent="0.2">
      <c r="B156" s="7"/>
      <c r="C156" s="8"/>
      <c r="D156" s="9"/>
      <c r="E156" s="10"/>
      <c r="F156" s="8"/>
      <c r="G156" s="8"/>
      <c r="H156" s="9"/>
      <c r="I156" s="10"/>
      <c r="J156" s="8"/>
      <c r="K156" s="10"/>
      <c r="L156" s="10"/>
      <c r="M156" s="10"/>
      <c r="N156" s="10"/>
      <c r="O156" s="10"/>
      <c r="P156" s="8"/>
      <c r="Q156" s="9"/>
    </row>
    <row r="157" spans="2:17" x14ac:dyDescent="0.2">
      <c r="B157" s="7"/>
      <c r="C157" s="8"/>
      <c r="D157" s="9"/>
      <c r="E157" s="10"/>
      <c r="F157" s="8"/>
      <c r="G157" s="8"/>
      <c r="H157" s="9"/>
      <c r="I157" s="10"/>
      <c r="J157" s="8"/>
      <c r="K157" s="10"/>
      <c r="L157" s="10"/>
      <c r="M157" s="10"/>
      <c r="N157" s="10"/>
      <c r="O157" s="10"/>
      <c r="P157" s="8"/>
      <c r="Q157" s="9"/>
    </row>
    <row r="158" spans="2:17" x14ac:dyDescent="0.2">
      <c r="B158" s="7"/>
      <c r="C158" s="8"/>
      <c r="D158" s="9"/>
      <c r="E158" s="10"/>
      <c r="F158" s="8"/>
      <c r="G158" s="8"/>
      <c r="H158" s="9"/>
      <c r="I158" s="10"/>
      <c r="J158" s="8"/>
      <c r="K158" s="10"/>
      <c r="L158" s="10"/>
      <c r="M158" s="10"/>
      <c r="N158" s="10"/>
      <c r="O158" s="10"/>
      <c r="P158" s="8"/>
      <c r="Q158" s="9"/>
    </row>
    <row r="159" spans="2:17" x14ac:dyDescent="0.2">
      <c r="B159" s="7"/>
      <c r="C159" s="8"/>
      <c r="D159" s="9"/>
      <c r="E159" s="10"/>
      <c r="F159" s="8"/>
      <c r="G159" s="8"/>
      <c r="H159" s="9"/>
      <c r="I159" s="10"/>
      <c r="J159" s="8"/>
      <c r="K159" s="10"/>
      <c r="L159" s="10"/>
      <c r="M159" s="10"/>
      <c r="N159" s="10"/>
      <c r="O159" s="10"/>
      <c r="P159" s="8"/>
      <c r="Q159" s="9"/>
    </row>
    <row r="160" spans="2:17" x14ac:dyDescent="0.2">
      <c r="B160" s="7"/>
      <c r="C160" s="8"/>
      <c r="D160" s="9"/>
      <c r="E160" s="10"/>
      <c r="F160" s="8"/>
      <c r="G160" s="8"/>
      <c r="H160" s="9"/>
      <c r="I160" s="10"/>
      <c r="J160" s="8"/>
      <c r="K160" s="10"/>
      <c r="L160" s="10"/>
      <c r="M160" s="10"/>
      <c r="N160" s="10"/>
      <c r="O160" s="10"/>
      <c r="P160" s="8"/>
      <c r="Q160" s="9"/>
    </row>
    <row r="161" spans="2:17" x14ac:dyDescent="0.2">
      <c r="B161" s="7"/>
      <c r="C161" s="8"/>
      <c r="D161" s="9"/>
      <c r="E161" s="10"/>
      <c r="F161" s="8"/>
      <c r="G161" s="8"/>
      <c r="H161" s="9"/>
      <c r="I161" s="10"/>
      <c r="J161" s="8"/>
      <c r="K161" s="10"/>
      <c r="L161" s="10"/>
      <c r="M161" s="10"/>
      <c r="N161" s="10"/>
      <c r="O161" s="10"/>
      <c r="P161" s="8"/>
      <c r="Q161" s="9"/>
    </row>
    <row r="162" spans="2:17" x14ac:dyDescent="0.2">
      <c r="B162" s="7"/>
      <c r="C162" s="8"/>
      <c r="D162" s="9"/>
      <c r="E162" s="10"/>
      <c r="F162" s="8"/>
      <c r="G162" s="8"/>
      <c r="H162" s="9"/>
      <c r="I162" s="10"/>
      <c r="J162" s="8"/>
      <c r="K162" s="10"/>
      <c r="L162" s="10"/>
      <c r="M162" s="10"/>
      <c r="N162" s="10"/>
      <c r="O162" s="10"/>
      <c r="P162" s="8"/>
      <c r="Q162" s="9"/>
    </row>
    <row r="163" spans="2:17" x14ac:dyDescent="0.2">
      <c r="B163" s="7"/>
      <c r="C163" s="8"/>
      <c r="D163" s="9"/>
      <c r="E163" s="10"/>
      <c r="F163" s="8"/>
      <c r="G163" s="8"/>
      <c r="H163" s="9"/>
      <c r="I163" s="10"/>
      <c r="J163" s="8"/>
      <c r="K163" s="10"/>
      <c r="L163" s="10"/>
      <c r="M163" s="10"/>
      <c r="N163" s="10"/>
      <c r="O163" s="10"/>
      <c r="P163" s="8"/>
      <c r="Q163" s="9"/>
    </row>
    <row r="164" spans="2:17" x14ac:dyDescent="0.2">
      <c r="B164" s="7"/>
      <c r="C164" s="8"/>
      <c r="D164" s="9"/>
      <c r="E164" s="10"/>
      <c r="F164" s="8"/>
      <c r="G164" s="8"/>
      <c r="H164" s="9"/>
      <c r="I164" s="10"/>
      <c r="J164" s="8"/>
      <c r="K164" s="10"/>
      <c r="L164" s="10"/>
      <c r="M164" s="10"/>
      <c r="N164" s="10"/>
      <c r="O164" s="10"/>
      <c r="P164" s="8"/>
      <c r="Q164" s="9"/>
    </row>
    <row r="165" spans="2:17" x14ac:dyDescent="0.2">
      <c r="B165" s="7"/>
      <c r="C165" s="8"/>
      <c r="D165" s="9"/>
      <c r="E165" s="10"/>
      <c r="F165" s="8"/>
      <c r="G165" s="8"/>
      <c r="H165" s="9"/>
      <c r="I165" s="10"/>
      <c r="J165" s="8"/>
      <c r="K165" s="10"/>
      <c r="L165" s="10"/>
      <c r="M165" s="10"/>
      <c r="N165" s="10"/>
      <c r="O165" s="10"/>
      <c r="P165" s="8"/>
      <c r="Q165" s="9"/>
    </row>
    <row r="166" spans="2:17" x14ac:dyDescent="0.2">
      <c r="B166" s="7"/>
      <c r="C166" s="8"/>
      <c r="D166" s="9"/>
      <c r="E166" s="10"/>
      <c r="F166" s="8"/>
      <c r="G166" s="8"/>
      <c r="H166" s="9"/>
      <c r="I166" s="10"/>
      <c r="J166" s="8"/>
      <c r="K166" s="10"/>
      <c r="L166" s="10"/>
      <c r="M166" s="10"/>
      <c r="N166" s="10"/>
      <c r="O166" s="10"/>
      <c r="P166" s="8"/>
      <c r="Q166" s="9"/>
    </row>
    <row r="167" spans="2:17" x14ac:dyDescent="0.2">
      <c r="B167" s="7"/>
      <c r="C167" s="8"/>
      <c r="D167" s="9"/>
      <c r="E167" s="10"/>
      <c r="F167" s="8"/>
      <c r="G167" s="8"/>
      <c r="H167" s="9"/>
      <c r="I167" s="10"/>
      <c r="J167" s="8"/>
      <c r="K167" s="10"/>
      <c r="L167" s="10"/>
      <c r="M167" s="10"/>
      <c r="N167" s="10"/>
      <c r="O167" s="10"/>
      <c r="P167" s="8"/>
      <c r="Q167" s="9"/>
    </row>
    <row r="168" spans="2:17" x14ac:dyDescent="0.2">
      <c r="B168" s="7"/>
      <c r="C168" s="8"/>
      <c r="D168" s="9"/>
      <c r="E168" s="10"/>
      <c r="F168" s="8"/>
      <c r="G168" s="8"/>
      <c r="H168" s="9"/>
      <c r="I168" s="10"/>
      <c r="J168" s="8"/>
      <c r="K168" s="10"/>
      <c r="L168" s="10"/>
      <c r="M168" s="10"/>
      <c r="N168" s="10"/>
      <c r="O168" s="10"/>
      <c r="P168" s="8"/>
      <c r="Q168" s="9"/>
    </row>
    <row r="169" spans="2:17" x14ac:dyDescent="0.2">
      <c r="B169" s="7"/>
      <c r="C169" s="8"/>
      <c r="D169" s="9"/>
      <c r="E169" s="10"/>
      <c r="F169" s="8"/>
      <c r="G169" s="8"/>
      <c r="H169" s="9"/>
      <c r="I169" s="10"/>
      <c r="J169" s="8"/>
      <c r="K169" s="10"/>
      <c r="L169" s="10"/>
      <c r="M169" s="10"/>
      <c r="N169" s="10"/>
      <c r="O169" s="10"/>
      <c r="P169" s="8"/>
      <c r="Q169" s="9"/>
    </row>
    <row r="170" spans="2:17" x14ac:dyDescent="0.2">
      <c r="B170" s="7"/>
      <c r="C170" s="8"/>
      <c r="D170" s="9"/>
      <c r="E170" s="10"/>
      <c r="F170" s="8"/>
      <c r="G170" s="8"/>
      <c r="H170" s="9"/>
      <c r="I170" s="10"/>
      <c r="J170" s="8"/>
      <c r="K170" s="10"/>
      <c r="L170" s="10"/>
      <c r="M170" s="10"/>
      <c r="N170" s="10"/>
      <c r="O170" s="10"/>
      <c r="P170" s="8"/>
      <c r="Q170" s="9"/>
    </row>
    <row r="171" spans="2:17" x14ac:dyDescent="0.2">
      <c r="B171" s="7"/>
      <c r="C171" s="8"/>
      <c r="D171" s="9"/>
      <c r="E171" s="10"/>
      <c r="F171" s="8"/>
      <c r="G171" s="8"/>
      <c r="H171" s="9"/>
      <c r="I171" s="10"/>
      <c r="J171" s="8"/>
      <c r="K171" s="10"/>
      <c r="L171" s="10"/>
      <c r="M171" s="10"/>
      <c r="N171" s="10"/>
      <c r="O171" s="10"/>
      <c r="P171" s="8"/>
      <c r="Q171" s="9"/>
    </row>
    <row r="172" spans="2:17" x14ac:dyDescent="0.2">
      <c r="B172" s="7"/>
      <c r="C172" s="8"/>
      <c r="D172" s="9"/>
      <c r="E172" s="10"/>
      <c r="F172" s="8"/>
      <c r="G172" s="8"/>
      <c r="H172" s="9"/>
      <c r="I172" s="10"/>
      <c r="J172" s="8"/>
      <c r="K172" s="10"/>
      <c r="L172" s="10"/>
      <c r="M172" s="10"/>
      <c r="N172" s="10"/>
      <c r="O172" s="10"/>
      <c r="P172" s="8"/>
      <c r="Q172" s="9"/>
    </row>
    <row r="173" spans="2:17" x14ac:dyDescent="0.2">
      <c r="B173" s="7"/>
      <c r="C173" s="8"/>
      <c r="D173" s="9"/>
      <c r="E173" s="10"/>
      <c r="F173" s="8"/>
      <c r="G173" s="8"/>
      <c r="H173" s="9"/>
      <c r="I173" s="10"/>
      <c r="J173" s="8"/>
      <c r="K173" s="10"/>
      <c r="L173" s="10"/>
      <c r="M173" s="10"/>
      <c r="N173" s="10"/>
      <c r="O173" s="10"/>
      <c r="P173" s="8"/>
      <c r="Q173" s="9"/>
    </row>
    <row r="174" spans="2:17" x14ac:dyDescent="0.2">
      <c r="B174" s="7"/>
      <c r="C174" s="8"/>
      <c r="D174" s="9"/>
      <c r="E174" s="10"/>
      <c r="F174" s="8"/>
      <c r="G174" s="8"/>
      <c r="H174" s="9"/>
      <c r="I174" s="10"/>
      <c r="J174" s="8"/>
      <c r="K174" s="10"/>
      <c r="L174" s="10"/>
      <c r="M174" s="10"/>
      <c r="N174" s="10"/>
      <c r="O174" s="10"/>
      <c r="P174" s="8"/>
      <c r="Q174" s="9"/>
    </row>
    <row r="175" spans="2:17" x14ac:dyDescent="0.2">
      <c r="B175" s="7"/>
      <c r="C175" s="8"/>
      <c r="D175" s="9"/>
      <c r="E175" s="10"/>
      <c r="F175" s="8"/>
      <c r="G175" s="8"/>
      <c r="H175" s="9"/>
      <c r="I175" s="10"/>
      <c r="J175" s="8"/>
      <c r="K175" s="10"/>
      <c r="L175" s="10"/>
      <c r="M175" s="10"/>
      <c r="N175" s="10"/>
      <c r="O175" s="10"/>
      <c r="P175" s="8"/>
      <c r="Q175" s="9"/>
    </row>
    <row r="176" spans="2:17" x14ac:dyDescent="0.2">
      <c r="B176" s="7"/>
      <c r="C176" s="8"/>
      <c r="D176" s="9"/>
      <c r="E176" s="10"/>
      <c r="F176" s="8"/>
      <c r="G176" s="8"/>
      <c r="H176" s="9"/>
      <c r="I176" s="10"/>
      <c r="J176" s="8"/>
      <c r="K176" s="10"/>
      <c r="L176" s="10"/>
      <c r="M176" s="10"/>
      <c r="N176" s="10"/>
      <c r="O176" s="10"/>
      <c r="P176" s="8"/>
      <c r="Q176" s="9"/>
    </row>
    <row r="177" spans="2:17" x14ac:dyDescent="0.2">
      <c r="B177" s="7"/>
      <c r="C177" s="8"/>
      <c r="D177" s="9"/>
      <c r="E177" s="10"/>
      <c r="F177" s="8"/>
      <c r="G177" s="8"/>
      <c r="H177" s="9"/>
      <c r="I177" s="10"/>
      <c r="J177" s="8"/>
      <c r="K177" s="10"/>
      <c r="L177" s="10"/>
      <c r="M177" s="10"/>
      <c r="N177" s="10"/>
      <c r="O177" s="10"/>
      <c r="P177" s="8"/>
      <c r="Q177" s="9"/>
    </row>
    <row r="178" spans="2:17" x14ac:dyDescent="0.2">
      <c r="B178" s="7"/>
      <c r="C178" s="8"/>
      <c r="D178" s="9"/>
      <c r="E178" s="10"/>
      <c r="F178" s="8"/>
      <c r="G178" s="8"/>
      <c r="H178" s="9"/>
      <c r="I178" s="10"/>
      <c r="J178" s="8"/>
      <c r="K178" s="10"/>
      <c r="L178" s="10"/>
      <c r="M178" s="10"/>
      <c r="N178" s="10"/>
      <c r="O178" s="10"/>
      <c r="P178" s="8"/>
      <c r="Q178" s="9"/>
    </row>
    <row r="179" spans="2:17" x14ac:dyDescent="0.2">
      <c r="B179" s="7"/>
      <c r="C179" s="8"/>
      <c r="D179" s="9"/>
      <c r="E179" s="10"/>
      <c r="F179" s="8"/>
      <c r="G179" s="8"/>
      <c r="H179" s="9"/>
      <c r="I179" s="10"/>
      <c r="J179" s="8"/>
      <c r="K179" s="10"/>
      <c r="L179" s="10"/>
      <c r="M179" s="10"/>
      <c r="N179" s="10"/>
      <c r="O179" s="10"/>
      <c r="P179" s="8"/>
      <c r="Q179" s="9"/>
    </row>
    <row r="180" spans="2:17" x14ac:dyDescent="0.2">
      <c r="B180" s="7"/>
      <c r="C180" s="8"/>
      <c r="D180" s="9"/>
      <c r="E180" s="10"/>
      <c r="F180" s="8"/>
      <c r="G180" s="8"/>
      <c r="H180" s="9"/>
      <c r="I180" s="10"/>
      <c r="J180" s="8"/>
      <c r="K180" s="10"/>
      <c r="L180" s="10"/>
      <c r="M180" s="10"/>
      <c r="N180" s="10"/>
      <c r="O180" s="10"/>
      <c r="P180" s="8"/>
      <c r="Q180" s="9"/>
    </row>
    <row r="181" spans="2:17" x14ac:dyDescent="0.2">
      <c r="B181" s="7"/>
      <c r="C181" s="8"/>
      <c r="D181" s="9"/>
      <c r="E181" s="10"/>
      <c r="F181" s="8"/>
      <c r="G181" s="8"/>
      <c r="H181" s="9"/>
      <c r="I181" s="10"/>
      <c r="J181" s="8"/>
      <c r="K181" s="10"/>
      <c r="L181" s="10"/>
      <c r="M181" s="10"/>
      <c r="N181" s="10"/>
      <c r="O181" s="10"/>
      <c r="P181" s="8"/>
      <c r="Q181" s="9"/>
    </row>
    <row r="182" spans="2:17" x14ac:dyDescent="0.2">
      <c r="B182" s="7"/>
      <c r="C182" s="8"/>
      <c r="D182" s="9"/>
      <c r="E182" s="10"/>
      <c r="F182" s="8"/>
      <c r="G182" s="8"/>
      <c r="H182" s="9"/>
      <c r="I182" s="10"/>
      <c r="J182" s="8"/>
      <c r="K182" s="10"/>
      <c r="L182" s="10"/>
      <c r="M182" s="10"/>
      <c r="N182" s="10"/>
      <c r="O182" s="10"/>
      <c r="P182" s="8"/>
      <c r="Q182" s="9"/>
    </row>
    <row r="183" spans="2:17" x14ac:dyDescent="0.2">
      <c r="B183" s="7"/>
      <c r="C183" s="8"/>
      <c r="D183" s="9"/>
      <c r="E183" s="10"/>
      <c r="F183" s="8"/>
      <c r="G183" s="8"/>
      <c r="H183" s="9"/>
      <c r="I183" s="10"/>
      <c r="J183" s="8"/>
      <c r="K183" s="10"/>
      <c r="L183" s="10"/>
      <c r="M183" s="10"/>
      <c r="N183" s="10"/>
      <c r="O183" s="10"/>
      <c r="P183" s="8"/>
      <c r="Q183" s="9"/>
    </row>
    <row r="184" spans="2:17" x14ac:dyDescent="0.2">
      <c r="B184" s="7"/>
      <c r="C184" s="8"/>
      <c r="D184" s="9"/>
      <c r="E184" s="10"/>
      <c r="F184" s="8"/>
      <c r="G184" s="8"/>
      <c r="H184" s="9"/>
      <c r="I184" s="10"/>
      <c r="J184" s="8"/>
      <c r="K184" s="10"/>
      <c r="L184" s="10"/>
      <c r="M184" s="10"/>
      <c r="N184" s="10"/>
      <c r="O184" s="10"/>
      <c r="P184" s="8"/>
      <c r="Q184" s="9"/>
    </row>
    <row r="185" spans="2:17" x14ac:dyDescent="0.2">
      <c r="B185" s="7"/>
      <c r="C185" s="8"/>
      <c r="D185" s="9"/>
      <c r="E185" s="10"/>
      <c r="F185" s="8"/>
      <c r="G185" s="8"/>
      <c r="H185" s="9"/>
      <c r="I185" s="10"/>
      <c r="J185" s="8"/>
      <c r="K185" s="10"/>
      <c r="L185" s="10"/>
      <c r="M185" s="10"/>
      <c r="N185" s="10"/>
      <c r="O185" s="10"/>
      <c r="P185" s="8"/>
      <c r="Q185" s="9"/>
    </row>
    <row r="186" spans="2:17" x14ac:dyDescent="0.2">
      <c r="B186" s="7"/>
      <c r="C186" s="8"/>
      <c r="D186" s="9"/>
      <c r="E186" s="10"/>
      <c r="F186" s="8"/>
      <c r="G186" s="8"/>
      <c r="H186" s="9"/>
      <c r="I186" s="10"/>
      <c r="J186" s="8"/>
      <c r="K186" s="10"/>
      <c r="L186" s="10"/>
      <c r="M186" s="10"/>
      <c r="N186" s="10"/>
      <c r="O186" s="10"/>
      <c r="P186" s="8"/>
      <c r="Q186" s="9"/>
    </row>
    <row r="187" spans="2:17" x14ac:dyDescent="0.2">
      <c r="B187" s="7"/>
      <c r="C187" s="8"/>
      <c r="D187" s="9"/>
      <c r="E187" s="10"/>
      <c r="F187" s="8"/>
      <c r="G187" s="8"/>
      <c r="H187" s="9"/>
      <c r="I187" s="10"/>
      <c r="J187" s="8"/>
      <c r="K187" s="10"/>
      <c r="L187" s="10"/>
      <c r="M187" s="10"/>
      <c r="N187" s="10"/>
      <c r="O187" s="10"/>
      <c r="P187" s="8"/>
      <c r="Q187" s="9"/>
    </row>
    <row r="188" spans="2:17" x14ac:dyDescent="0.2">
      <c r="B188" s="7"/>
      <c r="C188" s="8"/>
      <c r="D188" s="9"/>
      <c r="E188" s="10"/>
      <c r="F188" s="8"/>
      <c r="G188" s="8"/>
      <c r="H188" s="9"/>
      <c r="I188" s="10"/>
      <c r="J188" s="8"/>
      <c r="K188" s="10"/>
      <c r="L188" s="10"/>
      <c r="M188" s="10"/>
      <c r="N188" s="10"/>
      <c r="O188" s="10"/>
      <c r="P188" s="8"/>
      <c r="Q188" s="9"/>
    </row>
    <row r="189" spans="2:17" x14ac:dyDescent="0.2">
      <c r="B189" s="7"/>
      <c r="C189" s="8"/>
      <c r="D189" s="9"/>
      <c r="E189" s="10"/>
      <c r="F189" s="8"/>
      <c r="G189" s="8"/>
      <c r="H189" s="9"/>
      <c r="I189" s="10"/>
      <c r="J189" s="8"/>
      <c r="K189" s="10"/>
      <c r="L189" s="10"/>
      <c r="M189" s="10"/>
      <c r="N189" s="10"/>
      <c r="O189" s="10"/>
      <c r="P189" s="8"/>
      <c r="Q189" s="9"/>
    </row>
    <row r="190" spans="2:17" x14ac:dyDescent="0.2">
      <c r="B190" s="7"/>
      <c r="C190" s="8"/>
      <c r="D190" s="9"/>
      <c r="E190" s="10"/>
      <c r="F190" s="8"/>
      <c r="G190" s="8"/>
      <c r="H190" s="9"/>
      <c r="I190" s="10"/>
      <c r="J190" s="8"/>
      <c r="K190" s="10"/>
      <c r="L190" s="10"/>
      <c r="M190" s="10"/>
      <c r="N190" s="10"/>
      <c r="O190" s="10"/>
      <c r="P190" s="8"/>
      <c r="Q190" s="9"/>
    </row>
    <row r="191" spans="2:17" x14ac:dyDescent="0.2">
      <c r="B191" s="7"/>
      <c r="C191" s="8"/>
      <c r="D191" s="9"/>
      <c r="E191" s="10"/>
      <c r="F191" s="8"/>
      <c r="G191" s="8"/>
      <c r="H191" s="9"/>
      <c r="I191" s="10"/>
      <c r="J191" s="8"/>
      <c r="K191" s="10"/>
      <c r="L191" s="10"/>
      <c r="M191" s="10"/>
      <c r="N191" s="10"/>
      <c r="O191" s="10"/>
      <c r="P191" s="8"/>
      <c r="Q191" s="9"/>
    </row>
    <row r="192" spans="2:17" x14ac:dyDescent="0.2">
      <c r="B192" s="7"/>
      <c r="C192" s="8"/>
      <c r="D192" s="9"/>
      <c r="E192" s="10"/>
      <c r="F192" s="8"/>
      <c r="G192" s="8"/>
      <c r="H192" s="9"/>
      <c r="I192" s="10"/>
      <c r="J192" s="8"/>
      <c r="K192" s="10"/>
      <c r="L192" s="10"/>
      <c r="M192" s="10"/>
      <c r="N192" s="10"/>
      <c r="O192" s="10"/>
      <c r="P192" s="8"/>
      <c r="Q192" s="9"/>
    </row>
    <row r="193" spans="2:17" x14ac:dyDescent="0.2">
      <c r="B193" s="7"/>
      <c r="C193" s="8"/>
      <c r="D193" s="9"/>
      <c r="E193" s="10"/>
      <c r="F193" s="8"/>
      <c r="G193" s="8"/>
      <c r="H193" s="9"/>
      <c r="I193" s="10"/>
      <c r="J193" s="8"/>
      <c r="K193" s="10"/>
      <c r="L193" s="10"/>
      <c r="M193" s="10"/>
      <c r="N193" s="10"/>
      <c r="O193" s="10"/>
      <c r="P193" s="8"/>
      <c r="Q193" s="9"/>
    </row>
    <row r="194" spans="2:17" x14ac:dyDescent="0.2">
      <c r="B194" s="7"/>
      <c r="C194" s="8"/>
      <c r="D194" s="9"/>
      <c r="E194" s="10"/>
      <c r="F194" s="8"/>
      <c r="G194" s="8"/>
      <c r="H194" s="9"/>
      <c r="I194" s="10"/>
      <c r="J194" s="8"/>
      <c r="K194" s="10"/>
      <c r="L194" s="10"/>
      <c r="M194" s="10"/>
      <c r="N194" s="10"/>
      <c r="O194" s="10"/>
      <c r="P194" s="8"/>
      <c r="Q194" s="9"/>
    </row>
    <row r="195" spans="2:17" x14ac:dyDescent="0.2">
      <c r="B195" s="7"/>
      <c r="C195" s="8"/>
      <c r="D195" s="9"/>
      <c r="E195" s="10"/>
      <c r="F195" s="8"/>
      <c r="G195" s="8"/>
      <c r="H195" s="9"/>
      <c r="I195" s="10"/>
      <c r="J195" s="8"/>
      <c r="K195" s="10"/>
      <c r="L195" s="10"/>
      <c r="M195" s="10"/>
      <c r="N195" s="10"/>
      <c r="O195" s="10"/>
      <c r="P195" s="8"/>
      <c r="Q195" s="9"/>
    </row>
    <row r="196" spans="2:17" x14ac:dyDescent="0.2">
      <c r="B196" s="7"/>
      <c r="C196" s="8"/>
      <c r="D196" s="9"/>
      <c r="E196" s="10"/>
      <c r="F196" s="8"/>
      <c r="G196" s="8"/>
      <c r="H196" s="9"/>
      <c r="I196" s="10"/>
      <c r="J196" s="8"/>
      <c r="K196" s="10"/>
      <c r="L196" s="10"/>
      <c r="M196" s="10"/>
      <c r="N196" s="10"/>
      <c r="O196" s="10"/>
      <c r="P196" s="8"/>
      <c r="Q196" s="9"/>
    </row>
    <row r="197" spans="2:17" x14ac:dyDescent="0.2">
      <c r="B197" s="7"/>
      <c r="C197" s="8"/>
      <c r="D197" s="9"/>
      <c r="E197" s="10"/>
      <c r="F197" s="8"/>
      <c r="G197" s="8"/>
      <c r="H197" s="9"/>
      <c r="I197" s="10"/>
      <c r="J197" s="8"/>
      <c r="K197" s="10"/>
      <c r="L197" s="10"/>
      <c r="M197" s="10"/>
      <c r="N197" s="10"/>
      <c r="O197" s="10"/>
      <c r="P197" s="8"/>
      <c r="Q197" s="9"/>
    </row>
    <row r="198" spans="2:17" x14ac:dyDescent="0.2">
      <c r="B198" s="7"/>
      <c r="C198" s="8"/>
      <c r="D198" s="9"/>
      <c r="E198" s="10"/>
      <c r="F198" s="8"/>
      <c r="G198" s="8"/>
      <c r="H198" s="9"/>
      <c r="I198" s="10"/>
      <c r="J198" s="8"/>
      <c r="K198" s="10"/>
      <c r="L198" s="10"/>
      <c r="M198" s="10"/>
      <c r="N198" s="10"/>
      <c r="O198" s="10"/>
      <c r="P198" s="8"/>
      <c r="Q198" s="9"/>
    </row>
    <row r="199" spans="2:17" x14ac:dyDescent="0.2">
      <c r="B199" s="7"/>
      <c r="C199" s="8"/>
      <c r="D199" s="9"/>
      <c r="E199" s="10"/>
      <c r="F199" s="8"/>
      <c r="G199" s="8"/>
      <c r="H199" s="9"/>
      <c r="I199" s="10"/>
      <c r="J199" s="8"/>
      <c r="K199" s="10"/>
      <c r="L199" s="10"/>
      <c r="M199" s="10"/>
      <c r="N199" s="10"/>
      <c r="O199" s="10"/>
      <c r="P199" s="8"/>
      <c r="Q199" s="9"/>
    </row>
    <row r="200" spans="2:17" x14ac:dyDescent="0.2">
      <c r="B200" s="7"/>
      <c r="C200" s="8"/>
      <c r="D200" s="9"/>
      <c r="E200" s="10"/>
      <c r="F200" s="8"/>
      <c r="G200" s="8"/>
      <c r="H200" s="9"/>
      <c r="I200" s="10"/>
      <c r="J200" s="8"/>
      <c r="K200" s="10"/>
      <c r="L200" s="10"/>
      <c r="M200" s="10"/>
      <c r="N200" s="10"/>
      <c r="O200" s="10"/>
      <c r="P200" s="8"/>
      <c r="Q200" s="9"/>
    </row>
    <row r="201" spans="2:17" x14ac:dyDescent="0.2">
      <c r="B201" s="7"/>
      <c r="C201" s="8"/>
      <c r="D201" s="9"/>
      <c r="E201" s="10"/>
      <c r="F201" s="8"/>
      <c r="G201" s="8"/>
      <c r="H201" s="9"/>
      <c r="I201" s="10"/>
      <c r="J201" s="8"/>
      <c r="K201" s="10"/>
      <c r="L201" s="10"/>
      <c r="M201" s="10"/>
      <c r="N201" s="10"/>
      <c r="O201" s="10"/>
      <c r="P201" s="8"/>
      <c r="Q201" s="9"/>
    </row>
    <row r="202" spans="2:17" x14ac:dyDescent="0.2">
      <c r="B202" s="7"/>
      <c r="C202" s="8"/>
      <c r="D202" s="9"/>
      <c r="E202" s="10"/>
      <c r="F202" s="8"/>
      <c r="G202" s="8"/>
      <c r="H202" s="9"/>
      <c r="I202" s="10"/>
      <c r="J202" s="8"/>
      <c r="K202" s="10"/>
      <c r="L202" s="10"/>
      <c r="M202" s="10"/>
      <c r="N202" s="10"/>
      <c r="O202" s="10"/>
      <c r="P202" s="8"/>
      <c r="Q202" s="9"/>
    </row>
    <row r="203" spans="2:17" x14ac:dyDescent="0.2">
      <c r="B203" s="7"/>
      <c r="C203" s="8"/>
      <c r="D203" s="9"/>
      <c r="E203" s="10"/>
      <c r="F203" s="8"/>
      <c r="G203" s="8"/>
      <c r="H203" s="9"/>
      <c r="I203" s="10"/>
      <c r="J203" s="8"/>
      <c r="K203" s="10"/>
      <c r="L203" s="10"/>
      <c r="M203" s="10"/>
      <c r="N203" s="10"/>
      <c r="O203" s="10"/>
      <c r="P203" s="8"/>
      <c r="Q203" s="9"/>
    </row>
    <row r="204" spans="2:17" x14ac:dyDescent="0.2">
      <c r="B204" s="7"/>
      <c r="C204" s="8"/>
      <c r="D204" s="9"/>
      <c r="E204" s="10"/>
      <c r="F204" s="8"/>
      <c r="G204" s="8"/>
      <c r="H204" s="9"/>
      <c r="I204" s="10"/>
      <c r="J204" s="8"/>
      <c r="K204" s="10"/>
      <c r="L204" s="10"/>
      <c r="M204" s="10"/>
      <c r="N204" s="10"/>
      <c r="O204" s="10"/>
      <c r="P204" s="8"/>
      <c r="Q204" s="9"/>
    </row>
    <row r="205" spans="2:17" x14ac:dyDescent="0.2">
      <c r="B205" s="7"/>
      <c r="C205" s="8"/>
      <c r="D205" s="9"/>
      <c r="E205" s="10"/>
      <c r="F205" s="8"/>
      <c r="G205" s="8"/>
      <c r="H205" s="9"/>
      <c r="I205" s="10"/>
      <c r="J205" s="8"/>
      <c r="K205" s="10"/>
      <c r="L205" s="10"/>
      <c r="M205" s="10"/>
      <c r="N205" s="10"/>
      <c r="O205" s="10"/>
      <c r="P205" s="8"/>
      <c r="Q205" s="9"/>
    </row>
    <row r="206" spans="2:17" x14ac:dyDescent="0.2">
      <c r="B206" s="7"/>
      <c r="C206" s="8"/>
      <c r="D206" s="9"/>
      <c r="E206" s="10"/>
      <c r="F206" s="8"/>
      <c r="G206" s="8"/>
      <c r="H206" s="9"/>
      <c r="I206" s="10"/>
      <c r="J206" s="8"/>
      <c r="K206" s="10"/>
      <c r="L206" s="10"/>
      <c r="M206" s="10"/>
      <c r="N206" s="10"/>
      <c r="O206" s="10"/>
      <c r="P206" s="8"/>
      <c r="Q206" s="9"/>
    </row>
    <row r="207" spans="2:17" x14ac:dyDescent="0.2">
      <c r="B207" s="7"/>
      <c r="C207" s="8"/>
      <c r="D207" s="9"/>
      <c r="E207" s="10"/>
      <c r="F207" s="8"/>
      <c r="G207" s="8"/>
      <c r="H207" s="9"/>
      <c r="I207" s="10"/>
      <c r="J207" s="8"/>
      <c r="K207" s="10"/>
      <c r="L207" s="10"/>
      <c r="M207" s="10"/>
      <c r="N207" s="10"/>
      <c r="O207" s="10"/>
      <c r="P207" s="8"/>
      <c r="Q207" s="9"/>
    </row>
    <row r="208" spans="2:17" x14ac:dyDescent="0.2">
      <c r="B208" s="7"/>
      <c r="C208" s="8"/>
      <c r="D208" s="9"/>
      <c r="E208" s="10"/>
      <c r="F208" s="8"/>
      <c r="G208" s="8"/>
      <c r="H208" s="9"/>
      <c r="I208" s="10"/>
      <c r="J208" s="8"/>
      <c r="K208" s="10"/>
      <c r="L208" s="10"/>
      <c r="M208" s="10"/>
      <c r="N208" s="10"/>
      <c r="O208" s="10"/>
      <c r="P208" s="8"/>
      <c r="Q208" s="9"/>
    </row>
    <row r="209" spans="2:17" x14ac:dyDescent="0.2">
      <c r="B209" s="7"/>
      <c r="C209" s="8"/>
      <c r="D209" s="9"/>
      <c r="E209" s="10"/>
      <c r="F209" s="8"/>
      <c r="G209" s="8"/>
      <c r="H209" s="9"/>
      <c r="I209" s="10"/>
      <c r="J209" s="8"/>
      <c r="K209" s="10"/>
      <c r="L209" s="10"/>
      <c r="M209" s="10"/>
      <c r="N209" s="10"/>
      <c r="O209" s="10"/>
      <c r="P209" s="8"/>
      <c r="Q209" s="9"/>
    </row>
    <row r="210" spans="2:17" x14ac:dyDescent="0.2">
      <c r="B210" s="7"/>
      <c r="C210" s="8"/>
      <c r="D210" s="9"/>
      <c r="E210" s="10"/>
      <c r="F210" s="8"/>
      <c r="G210" s="8"/>
      <c r="H210" s="9"/>
      <c r="I210" s="10"/>
      <c r="J210" s="8"/>
      <c r="K210" s="10"/>
      <c r="L210" s="10"/>
      <c r="M210" s="10"/>
      <c r="N210" s="10"/>
      <c r="O210" s="10"/>
      <c r="P210" s="8"/>
      <c r="Q210" s="9"/>
    </row>
    <row r="211" spans="2:17" x14ac:dyDescent="0.2">
      <c r="B211" s="7"/>
      <c r="C211" s="8"/>
      <c r="D211" s="9"/>
      <c r="E211" s="10"/>
      <c r="F211" s="8"/>
      <c r="G211" s="8"/>
      <c r="H211" s="9"/>
      <c r="I211" s="10"/>
      <c r="J211" s="8"/>
      <c r="K211" s="10"/>
      <c r="L211" s="10"/>
      <c r="M211" s="10"/>
      <c r="N211" s="10"/>
      <c r="O211" s="10"/>
      <c r="P211" s="8"/>
      <c r="Q211" s="9"/>
    </row>
    <row r="212" spans="2:17" x14ac:dyDescent="0.2">
      <c r="B212" s="7"/>
      <c r="C212" s="8"/>
      <c r="D212" s="9"/>
      <c r="E212" s="10"/>
      <c r="F212" s="8"/>
      <c r="G212" s="8"/>
      <c r="H212" s="9"/>
      <c r="I212" s="10"/>
      <c r="J212" s="8"/>
      <c r="K212" s="10"/>
      <c r="L212" s="10"/>
      <c r="M212" s="10"/>
      <c r="N212" s="10"/>
      <c r="O212" s="10"/>
      <c r="P212" s="8"/>
      <c r="Q212" s="9"/>
    </row>
    <row r="213" spans="2:17" x14ac:dyDescent="0.2">
      <c r="B213" s="7"/>
      <c r="C213" s="8"/>
      <c r="D213" s="9"/>
      <c r="E213" s="10"/>
      <c r="F213" s="8"/>
      <c r="G213" s="8"/>
      <c r="H213" s="9"/>
      <c r="I213" s="10"/>
      <c r="J213" s="8"/>
      <c r="K213" s="10"/>
      <c r="L213" s="10"/>
      <c r="M213" s="10"/>
      <c r="N213" s="10"/>
      <c r="O213" s="10"/>
      <c r="P213" s="8"/>
      <c r="Q213" s="9"/>
    </row>
    <row r="214" spans="2:17" x14ac:dyDescent="0.2">
      <c r="B214" s="7"/>
      <c r="C214" s="8"/>
      <c r="D214" s="9"/>
      <c r="E214" s="10"/>
      <c r="F214" s="8"/>
      <c r="G214" s="8"/>
      <c r="H214" s="9"/>
      <c r="I214" s="10"/>
      <c r="J214" s="8"/>
      <c r="K214" s="10"/>
      <c r="L214" s="10"/>
      <c r="M214" s="10"/>
      <c r="N214" s="10"/>
      <c r="O214" s="10"/>
      <c r="P214" s="8"/>
      <c r="Q214" s="9"/>
    </row>
    <row r="215" spans="2:17" x14ac:dyDescent="0.2">
      <c r="B215" s="7"/>
      <c r="C215" s="8"/>
      <c r="D215" s="9"/>
      <c r="E215" s="10"/>
      <c r="F215" s="8"/>
      <c r="G215" s="8"/>
      <c r="H215" s="9"/>
      <c r="I215" s="10"/>
      <c r="J215" s="8"/>
      <c r="K215" s="10"/>
      <c r="L215" s="10"/>
      <c r="M215" s="10"/>
      <c r="N215" s="10"/>
      <c r="O215" s="10"/>
      <c r="P215" s="8"/>
      <c r="Q215" s="9"/>
    </row>
    <row r="216" spans="2:17" x14ac:dyDescent="0.2">
      <c r="B216" s="7"/>
      <c r="C216" s="8"/>
      <c r="D216" s="9"/>
      <c r="E216" s="10"/>
      <c r="F216" s="8"/>
      <c r="G216" s="8"/>
      <c r="H216" s="9"/>
      <c r="I216" s="10"/>
      <c r="J216" s="8"/>
      <c r="K216" s="10"/>
      <c r="L216" s="10"/>
      <c r="M216" s="10"/>
      <c r="N216" s="10"/>
      <c r="O216" s="10"/>
      <c r="P216" s="8"/>
      <c r="Q216" s="9"/>
    </row>
    <row r="217" spans="2:17" x14ac:dyDescent="0.2">
      <c r="B217" s="7"/>
      <c r="C217" s="8"/>
      <c r="D217" s="9"/>
      <c r="E217" s="10"/>
      <c r="F217" s="8"/>
      <c r="G217" s="8"/>
      <c r="H217" s="9"/>
      <c r="I217" s="10"/>
      <c r="J217" s="8"/>
      <c r="K217" s="10"/>
      <c r="L217" s="10"/>
      <c r="M217" s="10"/>
      <c r="N217" s="10"/>
      <c r="O217" s="10"/>
      <c r="P217" s="8"/>
      <c r="Q217" s="9"/>
    </row>
    <row r="218" spans="2:17" x14ac:dyDescent="0.2">
      <c r="B218" s="7"/>
      <c r="C218" s="8"/>
      <c r="D218" s="9"/>
      <c r="E218" s="10"/>
      <c r="F218" s="8"/>
      <c r="G218" s="8"/>
      <c r="H218" s="9"/>
      <c r="I218" s="10"/>
      <c r="J218" s="8"/>
      <c r="K218" s="10"/>
      <c r="L218" s="10"/>
      <c r="M218" s="10"/>
      <c r="N218" s="10"/>
      <c r="O218" s="10"/>
      <c r="P218" s="8"/>
      <c r="Q218" s="9"/>
    </row>
    <row r="219" spans="2:17" x14ac:dyDescent="0.2">
      <c r="B219" s="7"/>
      <c r="C219" s="8"/>
      <c r="D219" s="9"/>
      <c r="E219" s="10"/>
      <c r="F219" s="8"/>
      <c r="G219" s="8"/>
      <c r="H219" s="9"/>
      <c r="I219" s="10"/>
      <c r="J219" s="8"/>
      <c r="K219" s="10"/>
      <c r="L219" s="10"/>
      <c r="M219" s="10"/>
      <c r="N219" s="10"/>
      <c r="O219" s="10"/>
      <c r="P219" s="8"/>
      <c r="Q219" s="9"/>
    </row>
    <row r="220" spans="2:17" x14ac:dyDescent="0.2">
      <c r="B220" s="7"/>
      <c r="C220" s="8"/>
      <c r="D220" s="9"/>
      <c r="E220" s="10"/>
      <c r="F220" s="8"/>
      <c r="G220" s="8"/>
      <c r="H220" s="9"/>
      <c r="I220" s="10"/>
      <c r="J220" s="8"/>
      <c r="K220" s="10"/>
      <c r="L220" s="10"/>
      <c r="M220" s="10"/>
      <c r="N220" s="10"/>
      <c r="O220" s="10"/>
      <c r="P220" s="8"/>
      <c r="Q220" s="9"/>
    </row>
    <row r="221" spans="2:17" x14ac:dyDescent="0.2">
      <c r="B221" s="7"/>
      <c r="C221" s="8"/>
      <c r="D221" s="9"/>
      <c r="E221" s="10"/>
      <c r="F221" s="8"/>
      <c r="G221" s="8"/>
      <c r="H221" s="9"/>
      <c r="I221" s="10"/>
      <c r="J221" s="8"/>
      <c r="K221" s="10"/>
      <c r="L221" s="10"/>
      <c r="M221" s="10"/>
      <c r="N221" s="10"/>
      <c r="O221" s="10"/>
      <c r="P221" s="8"/>
      <c r="Q221" s="9"/>
    </row>
    <row r="222" spans="2:17" x14ac:dyDescent="0.2">
      <c r="B222" s="7"/>
      <c r="C222" s="8"/>
      <c r="D222" s="9"/>
      <c r="E222" s="10"/>
      <c r="F222" s="8"/>
      <c r="G222" s="8"/>
      <c r="H222" s="9"/>
      <c r="I222" s="10"/>
      <c r="J222" s="8"/>
      <c r="K222" s="10"/>
      <c r="L222" s="10"/>
      <c r="M222" s="10"/>
      <c r="N222" s="10"/>
      <c r="O222" s="10"/>
      <c r="P222" s="8"/>
      <c r="Q222" s="9"/>
    </row>
    <row r="223" spans="2:17" x14ac:dyDescent="0.2">
      <c r="B223" s="7"/>
      <c r="C223" s="8"/>
      <c r="D223" s="9"/>
      <c r="E223" s="10"/>
      <c r="F223" s="8"/>
      <c r="G223" s="8"/>
      <c r="H223" s="9"/>
      <c r="I223" s="10"/>
      <c r="J223" s="8"/>
      <c r="K223" s="10"/>
      <c r="L223" s="10"/>
      <c r="M223" s="10"/>
      <c r="N223" s="10"/>
      <c r="O223" s="10"/>
      <c r="P223" s="8"/>
      <c r="Q223" s="9"/>
    </row>
    <row r="224" spans="2:17" x14ac:dyDescent="0.2">
      <c r="B224" s="7"/>
      <c r="C224" s="8"/>
      <c r="D224" s="9"/>
      <c r="E224" s="10"/>
      <c r="F224" s="8"/>
      <c r="G224" s="8"/>
      <c r="H224" s="9"/>
      <c r="I224" s="10"/>
      <c r="J224" s="8"/>
      <c r="K224" s="10"/>
      <c r="L224" s="10"/>
      <c r="M224" s="10"/>
      <c r="N224" s="10"/>
      <c r="O224" s="10"/>
      <c r="P224" s="8"/>
      <c r="Q224" s="9"/>
    </row>
    <row r="225" spans="2:17" x14ac:dyDescent="0.2">
      <c r="B225" s="7"/>
      <c r="C225" s="8"/>
      <c r="D225" s="9"/>
      <c r="E225" s="10"/>
      <c r="F225" s="8"/>
      <c r="G225" s="8"/>
      <c r="H225" s="9"/>
      <c r="I225" s="10"/>
      <c r="J225" s="8"/>
      <c r="K225" s="10"/>
      <c r="L225" s="10"/>
      <c r="M225" s="10"/>
      <c r="N225" s="10"/>
      <c r="O225" s="10"/>
      <c r="P225" s="8"/>
      <c r="Q225" s="9"/>
    </row>
    <row r="226" spans="2:17" x14ac:dyDescent="0.2">
      <c r="B226" s="7"/>
      <c r="C226" s="8"/>
      <c r="D226" s="9"/>
      <c r="E226" s="10"/>
      <c r="F226" s="8"/>
      <c r="G226" s="8"/>
      <c r="H226" s="9"/>
      <c r="I226" s="10"/>
      <c r="J226" s="8"/>
      <c r="K226" s="10"/>
      <c r="L226" s="10"/>
      <c r="M226" s="10"/>
      <c r="N226" s="10"/>
      <c r="O226" s="10"/>
      <c r="P226" s="8"/>
      <c r="Q226" s="9"/>
    </row>
    <row r="227" spans="2:17" x14ac:dyDescent="0.2">
      <c r="B227" s="7"/>
      <c r="C227" s="8"/>
      <c r="D227" s="9"/>
      <c r="E227" s="10"/>
      <c r="F227" s="8"/>
      <c r="G227" s="8"/>
      <c r="H227" s="9"/>
      <c r="I227" s="10"/>
      <c r="J227" s="8"/>
      <c r="K227" s="10"/>
      <c r="L227" s="10"/>
      <c r="M227" s="10"/>
      <c r="N227" s="10"/>
      <c r="O227" s="10"/>
      <c r="P227" s="8"/>
      <c r="Q227" s="9"/>
    </row>
    <row r="228" spans="2:17" x14ac:dyDescent="0.2">
      <c r="B228" s="7"/>
      <c r="C228" s="8"/>
      <c r="D228" s="9"/>
      <c r="E228" s="10"/>
      <c r="F228" s="8"/>
      <c r="G228" s="8"/>
      <c r="H228" s="9"/>
      <c r="I228" s="10"/>
      <c r="J228" s="8"/>
      <c r="K228" s="10"/>
      <c r="L228" s="10"/>
      <c r="M228" s="10"/>
      <c r="N228" s="10"/>
      <c r="O228" s="10"/>
      <c r="P228" s="8"/>
      <c r="Q228" s="9"/>
    </row>
    <row r="229" spans="2:17" x14ac:dyDescent="0.2">
      <c r="B229" s="7"/>
      <c r="C229" s="8"/>
      <c r="D229" s="9"/>
      <c r="E229" s="10"/>
      <c r="F229" s="8"/>
      <c r="G229" s="8"/>
      <c r="H229" s="9"/>
      <c r="I229" s="10"/>
      <c r="J229" s="8"/>
      <c r="K229" s="10"/>
      <c r="L229" s="10"/>
      <c r="M229" s="10"/>
      <c r="N229" s="10"/>
      <c r="O229" s="10"/>
      <c r="P229" s="8"/>
      <c r="Q229" s="9"/>
    </row>
    <row r="230" spans="2:17" x14ac:dyDescent="0.2">
      <c r="B230" s="7"/>
      <c r="C230" s="8"/>
      <c r="D230" s="9"/>
      <c r="E230" s="10"/>
      <c r="F230" s="8"/>
      <c r="G230" s="8"/>
      <c r="H230" s="9"/>
      <c r="I230" s="10"/>
      <c r="J230" s="8"/>
      <c r="K230" s="10"/>
      <c r="L230" s="10"/>
      <c r="M230" s="10"/>
      <c r="N230" s="10"/>
      <c r="O230" s="10"/>
      <c r="P230" s="8"/>
      <c r="Q230" s="9"/>
    </row>
    <row r="231" spans="2:17" x14ac:dyDescent="0.2">
      <c r="B231" s="7"/>
      <c r="C231" s="8"/>
      <c r="D231" s="9"/>
      <c r="E231" s="10"/>
      <c r="F231" s="8"/>
      <c r="G231" s="8"/>
      <c r="H231" s="9"/>
      <c r="I231" s="10"/>
      <c r="J231" s="8"/>
      <c r="K231" s="10"/>
      <c r="L231" s="10"/>
      <c r="M231" s="10"/>
      <c r="N231" s="10"/>
      <c r="O231" s="10"/>
      <c r="P231" s="8"/>
      <c r="Q231" s="9"/>
    </row>
    <row r="232" spans="2:17" x14ac:dyDescent="0.2">
      <c r="B232" s="7"/>
      <c r="C232" s="8"/>
      <c r="D232" s="9"/>
      <c r="E232" s="10"/>
      <c r="F232" s="8"/>
      <c r="G232" s="8"/>
      <c r="H232" s="9"/>
      <c r="I232" s="10"/>
      <c r="J232" s="8"/>
      <c r="K232" s="10"/>
      <c r="L232" s="10"/>
      <c r="M232" s="10"/>
      <c r="N232" s="10"/>
      <c r="O232" s="10"/>
      <c r="P232" s="8"/>
      <c r="Q232" s="9"/>
    </row>
    <row r="233" spans="2:17" x14ac:dyDescent="0.2">
      <c r="B233" s="7"/>
      <c r="C233" s="8"/>
      <c r="D233" s="9"/>
      <c r="E233" s="10"/>
      <c r="F233" s="8"/>
      <c r="G233" s="8"/>
      <c r="H233" s="9"/>
      <c r="I233" s="10"/>
      <c r="J233" s="8"/>
      <c r="K233" s="10"/>
      <c r="L233" s="10"/>
      <c r="M233" s="10"/>
      <c r="N233" s="10"/>
      <c r="O233" s="10"/>
      <c r="P233" s="8"/>
      <c r="Q233" s="9"/>
    </row>
    <row r="234" spans="2:17" x14ac:dyDescent="0.2">
      <c r="B234" s="7"/>
      <c r="C234" s="8"/>
      <c r="D234" s="9"/>
      <c r="E234" s="10"/>
      <c r="F234" s="8"/>
      <c r="G234" s="8"/>
      <c r="H234" s="9"/>
      <c r="I234" s="10"/>
      <c r="J234" s="8"/>
      <c r="K234" s="10"/>
      <c r="L234" s="10"/>
      <c r="M234" s="10"/>
      <c r="N234" s="10"/>
      <c r="O234" s="10"/>
      <c r="P234" s="8"/>
      <c r="Q234" s="9"/>
    </row>
    <row r="235" spans="2:17" x14ac:dyDescent="0.2">
      <c r="B235" s="7"/>
      <c r="C235" s="8"/>
      <c r="D235" s="9"/>
      <c r="E235" s="10"/>
      <c r="F235" s="8"/>
      <c r="G235" s="8"/>
      <c r="H235" s="9"/>
      <c r="I235" s="10"/>
      <c r="J235" s="8"/>
      <c r="K235" s="10"/>
      <c r="L235" s="10"/>
      <c r="M235" s="10"/>
      <c r="N235" s="10"/>
      <c r="O235" s="10"/>
      <c r="P235" s="8"/>
      <c r="Q235" s="9"/>
    </row>
    <row r="236" spans="2:17" x14ac:dyDescent="0.2">
      <c r="B236" s="7"/>
      <c r="C236" s="8"/>
      <c r="D236" s="9"/>
      <c r="E236" s="10"/>
      <c r="F236" s="8"/>
      <c r="G236" s="8"/>
      <c r="H236" s="9"/>
      <c r="I236" s="10"/>
      <c r="J236" s="8"/>
      <c r="K236" s="10"/>
      <c r="L236" s="10"/>
      <c r="M236" s="10"/>
      <c r="N236" s="10"/>
      <c r="O236" s="10"/>
      <c r="P236" s="8"/>
      <c r="Q236" s="9"/>
    </row>
    <row r="237" spans="2:17" x14ac:dyDescent="0.2">
      <c r="B237" s="7"/>
      <c r="C237" s="8"/>
      <c r="D237" s="9"/>
      <c r="E237" s="10"/>
      <c r="F237" s="8"/>
      <c r="G237" s="8"/>
      <c r="H237" s="9"/>
      <c r="I237" s="10"/>
      <c r="J237" s="8"/>
      <c r="K237" s="10"/>
      <c r="L237" s="10"/>
      <c r="M237" s="10"/>
      <c r="N237" s="10"/>
      <c r="O237" s="10"/>
      <c r="P237" s="8"/>
      <c r="Q237" s="9"/>
    </row>
    <row r="238" spans="2:17" x14ac:dyDescent="0.2">
      <c r="B238" s="7"/>
      <c r="C238" s="8"/>
      <c r="D238" s="9"/>
      <c r="E238" s="10"/>
      <c r="F238" s="8"/>
      <c r="G238" s="8"/>
      <c r="H238" s="9"/>
      <c r="I238" s="10"/>
      <c r="J238" s="8"/>
      <c r="K238" s="10"/>
      <c r="L238" s="10"/>
      <c r="M238" s="10"/>
      <c r="N238" s="10"/>
      <c r="O238" s="10"/>
      <c r="P238" s="8"/>
      <c r="Q238" s="9"/>
    </row>
    <row r="239" spans="2:17" x14ac:dyDescent="0.2">
      <c r="B239" s="7"/>
      <c r="C239" s="8"/>
      <c r="D239" s="9"/>
      <c r="E239" s="10"/>
      <c r="F239" s="8"/>
      <c r="G239" s="8"/>
      <c r="H239" s="9"/>
      <c r="I239" s="10"/>
      <c r="J239" s="8"/>
      <c r="K239" s="10"/>
      <c r="L239" s="10"/>
      <c r="M239" s="10"/>
      <c r="N239" s="10"/>
      <c r="O239" s="10"/>
      <c r="P239" s="8"/>
      <c r="Q239" s="9"/>
    </row>
    <row r="240" spans="2:17" x14ac:dyDescent="0.2">
      <c r="B240" s="7"/>
      <c r="C240" s="8"/>
      <c r="D240" s="9"/>
      <c r="E240" s="10"/>
      <c r="F240" s="8"/>
      <c r="G240" s="8"/>
      <c r="H240" s="9"/>
      <c r="I240" s="10"/>
      <c r="J240" s="8"/>
      <c r="K240" s="10"/>
      <c r="L240" s="10"/>
      <c r="M240" s="10"/>
      <c r="N240" s="10"/>
      <c r="O240" s="10"/>
      <c r="P240" s="8"/>
      <c r="Q240" s="9"/>
    </row>
    <row r="241" spans="2:17" x14ac:dyDescent="0.2">
      <c r="B241" s="7"/>
      <c r="C241" s="8"/>
      <c r="D241" s="9"/>
      <c r="E241" s="10"/>
      <c r="F241" s="8"/>
      <c r="G241" s="8"/>
      <c r="H241" s="9"/>
      <c r="I241" s="10"/>
      <c r="J241" s="8"/>
      <c r="K241" s="10"/>
      <c r="L241" s="10"/>
      <c r="M241" s="10"/>
      <c r="N241" s="10"/>
      <c r="O241" s="10"/>
      <c r="P241" s="8"/>
      <c r="Q241" s="9"/>
    </row>
    <row r="242" spans="2:17" x14ac:dyDescent="0.2">
      <c r="B242" s="7"/>
      <c r="C242" s="8"/>
      <c r="D242" s="9"/>
      <c r="E242" s="10"/>
      <c r="F242" s="8"/>
      <c r="G242" s="8"/>
      <c r="H242" s="9"/>
      <c r="I242" s="10"/>
      <c r="J242" s="8"/>
      <c r="K242" s="10"/>
      <c r="L242" s="10"/>
      <c r="M242" s="10"/>
      <c r="N242" s="10"/>
      <c r="O242" s="10"/>
      <c r="P242" s="8"/>
      <c r="Q242" s="9"/>
    </row>
    <row r="243" spans="2:17" x14ac:dyDescent="0.2">
      <c r="B243" s="7"/>
      <c r="C243" s="8"/>
      <c r="D243" s="9"/>
      <c r="E243" s="10"/>
      <c r="F243" s="8"/>
      <c r="G243" s="8"/>
      <c r="H243" s="9"/>
      <c r="I243" s="10"/>
      <c r="J243" s="8"/>
      <c r="K243" s="10"/>
      <c r="L243" s="10"/>
      <c r="M243" s="10"/>
      <c r="N243" s="10"/>
      <c r="O243" s="10"/>
      <c r="P243" s="8"/>
      <c r="Q243" s="9"/>
    </row>
    <row r="244" spans="2:17" x14ac:dyDescent="0.2">
      <c r="B244" s="7"/>
      <c r="C244" s="8"/>
      <c r="D244" s="9"/>
      <c r="E244" s="10"/>
      <c r="F244" s="8"/>
      <c r="G244" s="8"/>
      <c r="H244" s="9"/>
      <c r="I244" s="10"/>
      <c r="J244" s="8"/>
      <c r="K244" s="10"/>
      <c r="L244" s="10"/>
      <c r="M244" s="10"/>
      <c r="N244" s="10"/>
      <c r="O244" s="10"/>
      <c r="P244" s="8"/>
      <c r="Q244" s="9"/>
    </row>
    <row r="245" spans="2:17" x14ac:dyDescent="0.2">
      <c r="B245" s="7"/>
      <c r="C245" s="8"/>
      <c r="D245" s="9"/>
      <c r="E245" s="10"/>
      <c r="F245" s="8"/>
      <c r="G245" s="8"/>
      <c r="H245" s="9"/>
      <c r="I245" s="10"/>
      <c r="J245" s="8"/>
      <c r="K245" s="10"/>
      <c r="L245" s="10"/>
      <c r="M245" s="10"/>
      <c r="N245" s="10"/>
      <c r="O245" s="10"/>
      <c r="P245" s="8"/>
      <c r="Q245" s="9"/>
    </row>
    <row r="246" spans="2:17" x14ac:dyDescent="0.2">
      <c r="B246" s="7"/>
      <c r="C246" s="8"/>
      <c r="D246" s="9"/>
      <c r="E246" s="10"/>
      <c r="F246" s="8"/>
      <c r="G246" s="8"/>
      <c r="H246" s="9"/>
      <c r="I246" s="10"/>
      <c r="J246" s="8"/>
      <c r="K246" s="10"/>
      <c r="L246" s="10"/>
      <c r="M246" s="10"/>
      <c r="N246" s="10"/>
      <c r="O246" s="10"/>
      <c r="P246" s="8"/>
      <c r="Q246" s="9"/>
    </row>
    <row r="247" spans="2:17" x14ac:dyDescent="0.2">
      <c r="B247" s="7"/>
      <c r="C247" s="8"/>
      <c r="D247" s="9"/>
      <c r="E247" s="10"/>
      <c r="F247" s="8"/>
      <c r="G247" s="8"/>
      <c r="H247" s="9"/>
      <c r="I247" s="10"/>
      <c r="J247" s="8"/>
      <c r="K247" s="10"/>
      <c r="L247" s="10"/>
      <c r="M247" s="10"/>
      <c r="N247" s="10"/>
      <c r="O247" s="10"/>
      <c r="P247" s="8"/>
      <c r="Q247" s="9"/>
    </row>
    <row r="248" spans="2:17" x14ac:dyDescent="0.2">
      <c r="B248" s="7"/>
      <c r="C248" s="8"/>
      <c r="D248" s="9"/>
      <c r="E248" s="10"/>
      <c r="F248" s="8"/>
      <c r="G248" s="8"/>
      <c r="H248" s="9"/>
      <c r="I248" s="10"/>
      <c r="J248" s="8"/>
      <c r="K248" s="10"/>
      <c r="L248" s="10"/>
      <c r="M248" s="10"/>
      <c r="N248" s="10"/>
      <c r="O248" s="10"/>
      <c r="P248" s="8"/>
      <c r="Q248" s="9"/>
    </row>
    <row r="249" spans="2:17" x14ac:dyDescent="0.2">
      <c r="B249" s="7"/>
      <c r="C249" s="8"/>
      <c r="D249" s="9"/>
      <c r="E249" s="10"/>
      <c r="F249" s="8"/>
      <c r="G249" s="8"/>
      <c r="H249" s="9"/>
      <c r="I249" s="10"/>
      <c r="J249" s="8"/>
      <c r="K249" s="10"/>
      <c r="L249" s="10"/>
      <c r="M249" s="10"/>
      <c r="N249" s="10"/>
      <c r="O249" s="10"/>
      <c r="P249" s="8"/>
      <c r="Q249" s="9"/>
    </row>
    <row r="250" spans="2:17" x14ac:dyDescent="0.2">
      <c r="B250" s="7"/>
      <c r="C250" s="8"/>
      <c r="D250" s="9"/>
      <c r="E250" s="10"/>
      <c r="F250" s="8"/>
      <c r="G250" s="8"/>
      <c r="H250" s="9"/>
      <c r="I250" s="10"/>
      <c r="J250" s="8"/>
      <c r="K250" s="10"/>
      <c r="L250" s="10"/>
      <c r="M250" s="10"/>
      <c r="N250" s="10"/>
      <c r="O250" s="10"/>
      <c r="P250" s="8"/>
      <c r="Q250" s="9"/>
    </row>
    <row r="251" spans="2:17" x14ac:dyDescent="0.2">
      <c r="B251" s="7"/>
      <c r="C251" s="8"/>
      <c r="D251" s="9"/>
      <c r="E251" s="10"/>
      <c r="F251" s="8"/>
      <c r="G251" s="8"/>
      <c r="H251" s="9"/>
      <c r="I251" s="10"/>
      <c r="J251" s="8"/>
      <c r="K251" s="10"/>
      <c r="L251" s="10"/>
      <c r="M251" s="10"/>
      <c r="N251" s="10"/>
      <c r="O251" s="10"/>
      <c r="P251" s="8"/>
      <c r="Q251" s="9"/>
    </row>
    <row r="252" spans="2:17" x14ac:dyDescent="0.2">
      <c r="B252" s="7"/>
      <c r="C252" s="8"/>
      <c r="D252" s="9"/>
      <c r="E252" s="10"/>
      <c r="F252" s="8"/>
      <c r="G252" s="8"/>
      <c r="H252" s="9"/>
      <c r="I252" s="10"/>
      <c r="J252" s="8"/>
      <c r="K252" s="10"/>
      <c r="L252" s="10"/>
      <c r="M252" s="10"/>
      <c r="N252" s="10"/>
      <c r="O252" s="10"/>
      <c r="P252" s="8"/>
      <c r="Q252" s="9"/>
    </row>
    <row r="253" spans="2:17" x14ac:dyDescent="0.2">
      <c r="B253" s="7"/>
      <c r="C253" s="8"/>
      <c r="D253" s="9"/>
      <c r="E253" s="10"/>
      <c r="F253" s="8"/>
      <c r="G253" s="8"/>
      <c r="H253" s="9"/>
      <c r="I253" s="10"/>
      <c r="J253" s="8"/>
      <c r="K253" s="10"/>
      <c r="L253" s="10"/>
      <c r="M253" s="10"/>
      <c r="N253" s="10"/>
      <c r="O253" s="10"/>
      <c r="P253" s="8"/>
      <c r="Q253" s="9"/>
    </row>
    <row r="254" spans="2:17" x14ac:dyDescent="0.2">
      <c r="B254" s="7"/>
      <c r="C254" s="8"/>
      <c r="D254" s="9"/>
      <c r="E254" s="10"/>
      <c r="F254" s="8"/>
      <c r="G254" s="8"/>
      <c r="H254" s="9"/>
      <c r="I254" s="10"/>
      <c r="J254" s="8"/>
      <c r="K254" s="10"/>
      <c r="L254" s="10"/>
      <c r="M254" s="10"/>
      <c r="N254" s="10"/>
      <c r="O254" s="10"/>
      <c r="P254" s="8"/>
      <c r="Q254" s="9"/>
    </row>
    <row r="255" spans="2:17" x14ac:dyDescent="0.2">
      <c r="B255" s="7"/>
      <c r="C255" s="8"/>
      <c r="D255" s="9"/>
      <c r="E255" s="10"/>
      <c r="F255" s="8"/>
      <c r="G255" s="8"/>
      <c r="H255" s="9"/>
      <c r="I255" s="10"/>
      <c r="J255" s="8"/>
      <c r="K255" s="10"/>
      <c r="L255" s="10"/>
      <c r="M255" s="10"/>
      <c r="N255" s="10"/>
      <c r="O255" s="10"/>
      <c r="P255" s="8"/>
      <c r="Q255" s="9"/>
    </row>
    <row r="256" spans="2:17" x14ac:dyDescent="0.2">
      <c r="B256" s="7"/>
      <c r="C256" s="8"/>
      <c r="D256" s="9"/>
      <c r="E256" s="10"/>
      <c r="F256" s="8"/>
      <c r="G256" s="8"/>
      <c r="H256" s="9"/>
      <c r="I256" s="10"/>
      <c r="J256" s="8"/>
      <c r="K256" s="10"/>
      <c r="L256" s="10"/>
      <c r="M256" s="10"/>
      <c r="N256" s="10"/>
      <c r="O256" s="10"/>
      <c r="P256" s="8"/>
      <c r="Q256" s="9"/>
    </row>
    <row r="257" spans="2:17" x14ac:dyDescent="0.2">
      <c r="B257" s="7"/>
      <c r="C257" s="8"/>
      <c r="D257" s="9"/>
      <c r="E257" s="10"/>
      <c r="F257" s="8"/>
      <c r="G257" s="8"/>
      <c r="H257" s="9"/>
      <c r="I257" s="10"/>
      <c r="J257" s="8"/>
      <c r="K257" s="10"/>
      <c r="L257" s="10"/>
      <c r="M257" s="10"/>
      <c r="N257" s="10"/>
      <c r="O257" s="10"/>
      <c r="P257" s="8"/>
      <c r="Q257" s="9"/>
    </row>
    <row r="258" spans="2:17" x14ac:dyDescent="0.2">
      <c r="B258" s="7"/>
      <c r="C258" s="8"/>
      <c r="D258" s="9"/>
      <c r="E258" s="10"/>
      <c r="F258" s="8"/>
      <c r="G258" s="8"/>
      <c r="H258" s="9"/>
      <c r="I258" s="10"/>
      <c r="J258" s="8"/>
      <c r="K258" s="10"/>
      <c r="L258" s="10"/>
      <c r="M258" s="10"/>
      <c r="N258" s="10"/>
      <c r="O258" s="10"/>
      <c r="P258" s="8"/>
      <c r="Q258" s="9"/>
    </row>
    <row r="259" spans="2:17" x14ac:dyDescent="0.2">
      <c r="B259" s="7"/>
      <c r="C259" s="8"/>
      <c r="D259" s="9"/>
      <c r="E259" s="10"/>
      <c r="F259" s="8"/>
      <c r="G259" s="8"/>
      <c r="H259" s="9"/>
      <c r="I259" s="10"/>
      <c r="J259" s="8"/>
      <c r="K259" s="10"/>
      <c r="L259" s="10"/>
      <c r="M259" s="10"/>
      <c r="N259" s="10"/>
      <c r="O259" s="10"/>
      <c r="P259" s="8"/>
      <c r="Q259" s="9"/>
    </row>
    <row r="260" spans="2:17" x14ac:dyDescent="0.2">
      <c r="B260" s="7"/>
      <c r="C260" s="8"/>
      <c r="D260" s="9"/>
      <c r="E260" s="10"/>
      <c r="F260" s="8"/>
      <c r="G260" s="8"/>
      <c r="H260" s="9"/>
      <c r="I260" s="10"/>
      <c r="J260" s="8"/>
      <c r="K260" s="10"/>
      <c r="L260" s="10"/>
      <c r="M260" s="10"/>
      <c r="N260" s="10"/>
      <c r="O260" s="10"/>
      <c r="P260" s="8"/>
      <c r="Q260" s="9"/>
    </row>
    <row r="261" spans="2:17" x14ac:dyDescent="0.2">
      <c r="B261" s="7"/>
      <c r="C261" s="8"/>
      <c r="D261" s="9"/>
      <c r="E261" s="10"/>
      <c r="F261" s="8"/>
      <c r="G261" s="8"/>
      <c r="H261" s="9"/>
      <c r="I261" s="10"/>
      <c r="J261" s="8"/>
      <c r="K261" s="10"/>
      <c r="L261" s="10"/>
      <c r="M261" s="10"/>
      <c r="N261" s="10"/>
      <c r="O261" s="10"/>
      <c r="P261" s="8"/>
      <c r="Q261" s="9"/>
    </row>
    <row r="262" spans="2:17" x14ac:dyDescent="0.2">
      <c r="B262" s="7"/>
      <c r="C262" s="8"/>
      <c r="D262" s="9"/>
      <c r="E262" s="10"/>
      <c r="F262" s="8"/>
      <c r="G262" s="8"/>
      <c r="H262" s="9"/>
      <c r="I262" s="10"/>
      <c r="J262" s="8"/>
      <c r="K262" s="10"/>
      <c r="L262" s="10"/>
      <c r="M262" s="10"/>
      <c r="N262" s="10"/>
      <c r="O262" s="10"/>
      <c r="P262" s="8"/>
      <c r="Q262" s="9"/>
    </row>
    <row r="263" spans="2:17" x14ac:dyDescent="0.2">
      <c r="B263" s="7"/>
      <c r="C263" s="8"/>
      <c r="D263" s="9"/>
      <c r="E263" s="10"/>
      <c r="F263" s="8"/>
      <c r="G263" s="8"/>
      <c r="H263" s="9"/>
      <c r="I263" s="10"/>
      <c r="J263" s="8"/>
      <c r="K263" s="10"/>
      <c r="L263" s="10"/>
      <c r="M263" s="10"/>
      <c r="N263" s="10"/>
      <c r="O263" s="10"/>
      <c r="P263" s="8"/>
      <c r="Q263" s="9"/>
    </row>
    <row r="264" spans="2:17" x14ac:dyDescent="0.2">
      <c r="B264" s="7"/>
      <c r="C264" s="8"/>
      <c r="D264" s="9"/>
      <c r="E264" s="10"/>
      <c r="F264" s="8"/>
      <c r="G264" s="8"/>
      <c r="H264" s="9"/>
      <c r="I264" s="10"/>
      <c r="J264" s="8"/>
      <c r="K264" s="10"/>
      <c r="L264" s="10"/>
      <c r="M264" s="10"/>
      <c r="N264" s="10"/>
      <c r="O264" s="10"/>
      <c r="P264" s="8"/>
      <c r="Q264" s="9"/>
    </row>
    <row r="265" spans="2:17" x14ac:dyDescent="0.2">
      <c r="B265" s="7"/>
      <c r="C265" s="8"/>
      <c r="D265" s="9"/>
      <c r="E265" s="10"/>
      <c r="F265" s="8"/>
      <c r="G265" s="8"/>
      <c r="H265" s="9"/>
      <c r="I265" s="10"/>
      <c r="J265" s="8"/>
      <c r="K265" s="10"/>
      <c r="L265" s="10"/>
      <c r="M265" s="10"/>
      <c r="N265" s="10"/>
      <c r="O265" s="10"/>
      <c r="P265" s="8"/>
      <c r="Q265" s="9"/>
    </row>
    <row r="266" spans="2:17" x14ac:dyDescent="0.2">
      <c r="B266" s="7"/>
      <c r="C266" s="8"/>
      <c r="D266" s="9"/>
      <c r="E266" s="10"/>
      <c r="F266" s="8"/>
      <c r="G266" s="8"/>
      <c r="H266" s="9"/>
      <c r="I266" s="10"/>
      <c r="J266" s="8"/>
      <c r="K266" s="10"/>
      <c r="L266" s="10"/>
      <c r="M266" s="10"/>
      <c r="N266" s="10"/>
      <c r="O266" s="10"/>
      <c r="P266" s="8"/>
      <c r="Q266" s="9"/>
    </row>
    <row r="267" spans="2:17" x14ac:dyDescent="0.2">
      <c r="B267" s="7"/>
      <c r="C267" s="8"/>
      <c r="D267" s="9"/>
      <c r="E267" s="10"/>
      <c r="F267" s="8"/>
      <c r="G267" s="8"/>
      <c r="H267" s="9"/>
      <c r="I267" s="10"/>
      <c r="J267" s="8"/>
      <c r="K267" s="10"/>
      <c r="L267" s="10"/>
      <c r="M267" s="10"/>
      <c r="N267" s="10"/>
      <c r="O267" s="10"/>
      <c r="P267" s="8"/>
      <c r="Q267" s="9"/>
    </row>
    <row r="268" spans="2:17" x14ac:dyDescent="0.2">
      <c r="B268" s="7"/>
      <c r="C268" s="8"/>
      <c r="D268" s="9"/>
      <c r="E268" s="10"/>
      <c r="F268" s="8"/>
      <c r="G268" s="8"/>
      <c r="H268" s="9"/>
      <c r="I268" s="10"/>
      <c r="J268" s="8"/>
      <c r="K268" s="10"/>
      <c r="L268" s="10"/>
      <c r="M268" s="10"/>
      <c r="N268" s="10"/>
      <c r="O268" s="10"/>
      <c r="P268" s="8"/>
      <c r="Q268" s="9"/>
    </row>
    <row r="269" spans="2:17" x14ac:dyDescent="0.2">
      <c r="B269" s="7"/>
      <c r="C269" s="8"/>
      <c r="D269" s="9"/>
      <c r="E269" s="10"/>
      <c r="F269" s="8"/>
      <c r="G269" s="8"/>
      <c r="H269" s="9"/>
      <c r="I269" s="10"/>
      <c r="J269" s="8"/>
      <c r="K269" s="10"/>
      <c r="L269" s="10"/>
      <c r="M269" s="10"/>
      <c r="N269" s="10"/>
      <c r="O269" s="10"/>
      <c r="P269" s="8"/>
      <c r="Q269" s="9"/>
    </row>
    <row r="270" spans="2:17" x14ac:dyDescent="0.2">
      <c r="B270" s="7"/>
      <c r="C270" s="8"/>
      <c r="D270" s="9"/>
      <c r="E270" s="10"/>
      <c r="F270" s="8"/>
      <c r="G270" s="8"/>
      <c r="H270" s="9"/>
      <c r="I270" s="10"/>
      <c r="J270" s="8"/>
      <c r="K270" s="10"/>
      <c r="L270" s="10"/>
      <c r="M270" s="10"/>
      <c r="N270" s="10"/>
      <c r="O270" s="10"/>
      <c r="P270" s="8"/>
      <c r="Q270" s="9"/>
    </row>
    <row r="271" spans="2:17" x14ac:dyDescent="0.2">
      <c r="B271" s="7"/>
      <c r="C271" s="8"/>
      <c r="D271" s="9"/>
      <c r="E271" s="10"/>
      <c r="F271" s="8"/>
      <c r="G271" s="8"/>
      <c r="H271" s="9"/>
      <c r="I271" s="10"/>
      <c r="J271" s="8"/>
      <c r="K271" s="10"/>
      <c r="L271" s="10"/>
      <c r="M271" s="10"/>
      <c r="N271" s="10"/>
      <c r="O271" s="10"/>
      <c r="P271" s="8"/>
      <c r="Q271" s="9"/>
    </row>
    <row r="272" spans="2:17" x14ac:dyDescent="0.2">
      <c r="B272" s="7"/>
      <c r="C272" s="8"/>
      <c r="D272" s="9"/>
      <c r="E272" s="10"/>
      <c r="F272" s="8"/>
      <c r="G272" s="8"/>
      <c r="H272" s="9"/>
      <c r="I272" s="10"/>
      <c r="J272" s="8"/>
      <c r="K272" s="10"/>
      <c r="L272" s="10"/>
      <c r="M272" s="10"/>
      <c r="N272" s="10"/>
      <c r="O272" s="10"/>
      <c r="P272" s="8"/>
      <c r="Q272" s="9"/>
    </row>
    <row r="273" spans="2:17" x14ac:dyDescent="0.2">
      <c r="B273" s="7"/>
      <c r="C273" s="8"/>
      <c r="D273" s="9"/>
      <c r="E273" s="10"/>
      <c r="F273" s="8"/>
      <c r="G273" s="8"/>
      <c r="H273" s="9"/>
      <c r="I273" s="10"/>
      <c r="J273" s="8"/>
      <c r="K273" s="10"/>
      <c r="L273" s="10"/>
      <c r="M273" s="10"/>
      <c r="N273" s="10"/>
      <c r="O273" s="10"/>
      <c r="P273" s="8"/>
      <c r="Q273" s="9"/>
    </row>
    <row r="274" spans="2:17" x14ac:dyDescent="0.2">
      <c r="B274" s="7"/>
      <c r="C274" s="8"/>
      <c r="D274" s="9"/>
      <c r="E274" s="10"/>
      <c r="F274" s="8"/>
      <c r="G274" s="8"/>
      <c r="H274" s="9"/>
      <c r="I274" s="10"/>
      <c r="J274" s="8"/>
      <c r="K274" s="10"/>
      <c r="L274" s="10"/>
      <c r="M274" s="10"/>
      <c r="N274" s="10"/>
      <c r="O274" s="10"/>
      <c r="P274" s="8"/>
      <c r="Q274" s="9"/>
    </row>
    <row r="275" spans="2:17" x14ac:dyDescent="0.2">
      <c r="B275" s="7"/>
      <c r="C275" s="8"/>
      <c r="D275" s="9"/>
      <c r="E275" s="10"/>
      <c r="F275" s="8"/>
      <c r="G275" s="8"/>
      <c r="H275" s="9"/>
      <c r="I275" s="10"/>
      <c r="J275" s="8"/>
      <c r="K275" s="10"/>
      <c r="L275" s="10"/>
      <c r="M275" s="10"/>
      <c r="N275" s="10"/>
      <c r="O275" s="10"/>
      <c r="P275" s="8"/>
      <c r="Q275" s="9"/>
    </row>
    <row r="276" spans="2:17" x14ac:dyDescent="0.2">
      <c r="B276" s="7"/>
      <c r="C276" s="8"/>
      <c r="D276" s="9"/>
      <c r="E276" s="10"/>
      <c r="F276" s="8"/>
      <c r="G276" s="8"/>
      <c r="H276" s="9"/>
      <c r="I276" s="10"/>
      <c r="J276" s="8"/>
      <c r="K276" s="10"/>
      <c r="L276" s="10"/>
      <c r="M276" s="10"/>
      <c r="N276" s="10"/>
      <c r="O276" s="10"/>
      <c r="P276" s="8"/>
      <c r="Q276" s="9"/>
    </row>
    <row r="277" spans="2:17" x14ac:dyDescent="0.2">
      <c r="B277" s="7"/>
      <c r="C277" s="8"/>
      <c r="D277" s="9"/>
      <c r="E277" s="10"/>
      <c r="F277" s="8"/>
      <c r="G277" s="8"/>
      <c r="H277" s="9"/>
      <c r="I277" s="10"/>
      <c r="J277" s="8"/>
      <c r="K277" s="10"/>
      <c r="L277" s="10"/>
      <c r="M277" s="10"/>
      <c r="N277" s="10"/>
      <c r="O277" s="10"/>
      <c r="P277" s="8"/>
      <c r="Q277" s="9"/>
    </row>
    <row r="278" spans="2:17" x14ac:dyDescent="0.2">
      <c r="B278" s="7"/>
      <c r="C278" s="8"/>
      <c r="D278" s="9"/>
      <c r="E278" s="10"/>
      <c r="F278" s="8"/>
      <c r="G278" s="8"/>
      <c r="H278" s="9"/>
      <c r="I278" s="10"/>
      <c r="J278" s="8"/>
      <c r="K278" s="10"/>
      <c r="L278" s="10"/>
      <c r="M278" s="10"/>
      <c r="N278" s="10"/>
      <c r="O278" s="10"/>
      <c r="P278" s="8"/>
      <c r="Q278" s="9"/>
    </row>
    <row r="279" spans="2:17" x14ac:dyDescent="0.2">
      <c r="B279" s="7"/>
      <c r="C279" s="8"/>
      <c r="D279" s="9"/>
      <c r="E279" s="10"/>
      <c r="F279" s="8"/>
      <c r="G279" s="8"/>
      <c r="H279" s="9"/>
      <c r="I279" s="10"/>
      <c r="J279" s="8"/>
      <c r="K279" s="10"/>
      <c r="L279" s="10"/>
      <c r="M279" s="10"/>
      <c r="N279" s="10"/>
      <c r="O279" s="10"/>
      <c r="P279" s="8"/>
      <c r="Q279" s="9"/>
    </row>
    <row r="280" spans="2:17" x14ac:dyDescent="0.2">
      <c r="B280" s="7"/>
      <c r="C280" s="8"/>
      <c r="D280" s="9"/>
      <c r="E280" s="10"/>
      <c r="F280" s="8"/>
      <c r="G280" s="8"/>
      <c r="H280" s="9"/>
      <c r="I280" s="10"/>
      <c r="J280" s="8"/>
      <c r="K280" s="10"/>
      <c r="L280" s="10"/>
      <c r="M280" s="10"/>
      <c r="N280" s="10"/>
      <c r="O280" s="10"/>
      <c r="P280" s="8"/>
      <c r="Q280" s="9"/>
    </row>
    <row r="281" spans="2:17" x14ac:dyDescent="0.2">
      <c r="B281" s="7"/>
      <c r="C281" s="8"/>
      <c r="D281" s="9"/>
      <c r="E281" s="10"/>
      <c r="F281" s="8"/>
      <c r="G281" s="8"/>
      <c r="H281" s="9"/>
      <c r="I281" s="10"/>
      <c r="J281" s="8"/>
      <c r="K281" s="10"/>
      <c r="L281" s="10"/>
      <c r="M281" s="10"/>
      <c r="N281" s="10"/>
      <c r="O281" s="10"/>
      <c r="P281" s="8"/>
      <c r="Q281" s="9"/>
    </row>
    <row r="282" spans="2:17" x14ac:dyDescent="0.2">
      <c r="B282" s="7"/>
      <c r="C282" s="8"/>
      <c r="D282" s="9"/>
      <c r="E282" s="10"/>
      <c r="F282" s="8"/>
      <c r="G282" s="8"/>
      <c r="H282" s="9"/>
      <c r="I282" s="10"/>
      <c r="J282" s="8"/>
      <c r="K282" s="10"/>
      <c r="L282" s="10"/>
      <c r="M282" s="10"/>
      <c r="N282" s="10"/>
      <c r="O282" s="10"/>
      <c r="P282" s="8"/>
      <c r="Q282" s="9"/>
    </row>
    <row r="283" spans="2:17" x14ac:dyDescent="0.2">
      <c r="B283" s="7"/>
      <c r="C283" s="8"/>
      <c r="D283" s="9"/>
      <c r="E283" s="10"/>
      <c r="F283" s="8"/>
      <c r="G283" s="8"/>
      <c r="H283" s="9"/>
      <c r="I283" s="10"/>
      <c r="J283" s="8"/>
      <c r="K283" s="10"/>
      <c r="L283" s="10"/>
      <c r="M283" s="10"/>
      <c r="N283" s="10"/>
      <c r="O283" s="10"/>
      <c r="P283" s="8"/>
      <c r="Q283" s="9"/>
    </row>
    <row r="284" spans="2:17" x14ac:dyDescent="0.2">
      <c r="B284" s="7"/>
      <c r="C284" s="8"/>
      <c r="D284" s="9"/>
      <c r="E284" s="10"/>
      <c r="F284" s="8"/>
      <c r="G284" s="8"/>
      <c r="H284" s="9"/>
      <c r="I284" s="10"/>
      <c r="J284" s="8"/>
      <c r="K284" s="10"/>
      <c r="L284" s="10"/>
      <c r="M284" s="10"/>
      <c r="N284" s="10"/>
      <c r="O284" s="10"/>
      <c r="P284" s="8"/>
      <c r="Q284" s="9"/>
    </row>
    <row r="285" spans="2:17" x14ac:dyDescent="0.2">
      <c r="B285" s="7"/>
      <c r="C285" s="8"/>
      <c r="D285" s="9"/>
      <c r="E285" s="10"/>
      <c r="F285" s="8"/>
      <c r="G285" s="8"/>
      <c r="H285" s="9"/>
      <c r="I285" s="10"/>
      <c r="J285" s="8"/>
      <c r="K285" s="10"/>
      <c r="L285" s="10"/>
      <c r="M285" s="10"/>
      <c r="N285" s="10"/>
      <c r="O285" s="10"/>
      <c r="P285" s="8"/>
      <c r="Q285" s="9"/>
    </row>
    <row r="286" spans="2:17" x14ac:dyDescent="0.2">
      <c r="B286" s="7"/>
      <c r="C286" s="8"/>
      <c r="D286" s="9"/>
      <c r="E286" s="10"/>
      <c r="F286" s="8"/>
      <c r="G286" s="8"/>
      <c r="H286" s="9"/>
      <c r="I286" s="10"/>
      <c r="J286" s="8"/>
      <c r="K286" s="10"/>
      <c r="L286" s="10"/>
      <c r="M286" s="10"/>
      <c r="N286" s="10"/>
      <c r="O286" s="10"/>
      <c r="P286" s="8"/>
      <c r="Q286" s="9"/>
    </row>
    <row r="287" spans="2:17" x14ac:dyDescent="0.2">
      <c r="B287" s="7"/>
      <c r="C287" s="8"/>
      <c r="D287" s="9"/>
      <c r="E287" s="10"/>
      <c r="F287" s="8"/>
      <c r="G287" s="8"/>
      <c r="H287" s="9"/>
      <c r="I287" s="10"/>
      <c r="J287" s="8"/>
      <c r="K287" s="10"/>
      <c r="L287" s="10"/>
      <c r="M287" s="10"/>
      <c r="N287" s="10"/>
      <c r="O287" s="10"/>
      <c r="P287" s="8"/>
      <c r="Q287" s="9"/>
    </row>
    <row r="288" spans="2:17" x14ac:dyDescent="0.2">
      <c r="B288" s="7"/>
      <c r="C288" s="8"/>
      <c r="D288" s="9"/>
      <c r="E288" s="10"/>
      <c r="F288" s="8"/>
      <c r="G288" s="8"/>
      <c r="H288" s="9"/>
      <c r="I288" s="10"/>
      <c r="J288" s="8"/>
      <c r="K288" s="10"/>
      <c r="L288" s="10"/>
      <c r="M288" s="10"/>
      <c r="N288" s="10"/>
      <c r="O288" s="10"/>
      <c r="P288" s="8"/>
      <c r="Q288" s="9"/>
    </row>
    <row r="289" spans="2:17" x14ac:dyDescent="0.2">
      <c r="B289" s="7"/>
      <c r="C289" s="8"/>
      <c r="D289" s="9"/>
      <c r="E289" s="10"/>
      <c r="F289" s="8"/>
      <c r="G289" s="8"/>
      <c r="H289" s="9"/>
      <c r="I289" s="10"/>
      <c r="J289" s="8"/>
      <c r="K289" s="10"/>
      <c r="L289" s="10"/>
      <c r="M289" s="10"/>
      <c r="N289" s="10"/>
      <c r="O289" s="10"/>
      <c r="P289" s="8"/>
      <c r="Q289" s="9"/>
    </row>
    <row r="290" spans="2:17" x14ac:dyDescent="0.2">
      <c r="B290" s="7"/>
      <c r="C290" s="8"/>
      <c r="D290" s="9"/>
      <c r="E290" s="10"/>
      <c r="F290" s="8"/>
      <c r="G290" s="8"/>
      <c r="H290" s="9"/>
      <c r="I290" s="10"/>
      <c r="J290" s="8"/>
      <c r="K290" s="10"/>
      <c r="L290" s="10"/>
      <c r="M290" s="10"/>
      <c r="N290" s="10"/>
      <c r="O290" s="10"/>
      <c r="P290" s="8"/>
      <c r="Q290" s="9"/>
    </row>
    <row r="291" spans="2:17" x14ac:dyDescent="0.2">
      <c r="B291" s="7"/>
      <c r="C291" s="8"/>
      <c r="D291" s="9"/>
      <c r="E291" s="10"/>
      <c r="F291" s="8"/>
      <c r="G291" s="8"/>
      <c r="H291" s="9"/>
      <c r="I291" s="10"/>
      <c r="J291" s="8"/>
      <c r="K291" s="10"/>
      <c r="L291" s="10"/>
      <c r="M291" s="10"/>
      <c r="N291" s="10"/>
      <c r="O291" s="10"/>
      <c r="P291" s="8"/>
      <c r="Q291" s="9"/>
    </row>
    <row r="292" spans="2:17" x14ac:dyDescent="0.2">
      <c r="B292" s="7"/>
      <c r="C292" s="8"/>
      <c r="D292" s="9"/>
      <c r="E292" s="10"/>
      <c r="F292" s="8"/>
      <c r="G292" s="8"/>
      <c r="H292" s="9"/>
      <c r="I292" s="10"/>
      <c r="J292" s="8"/>
      <c r="K292" s="10"/>
      <c r="L292" s="10"/>
      <c r="M292" s="10"/>
      <c r="N292" s="10"/>
      <c r="O292" s="10"/>
      <c r="P292" s="8"/>
      <c r="Q292" s="9"/>
    </row>
    <row r="293" spans="2:17" x14ac:dyDescent="0.2">
      <c r="B293" s="7"/>
      <c r="C293" s="8"/>
      <c r="D293" s="9"/>
      <c r="E293" s="10"/>
      <c r="F293" s="8"/>
      <c r="G293" s="8"/>
      <c r="H293" s="9"/>
      <c r="I293" s="10"/>
      <c r="J293" s="8"/>
      <c r="K293" s="10"/>
      <c r="L293" s="10"/>
      <c r="M293" s="10"/>
      <c r="N293" s="10"/>
      <c r="O293" s="10"/>
      <c r="P293" s="8"/>
      <c r="Q293" s="9"/>
    </row>
    <row r="294" spans="2:17" x14ac:dyDescent="0.2">
      <c r="B294" s="7"/>
      <c r="C294" s="8"/>
      <c r="D294" s="9"/>
      <c r="E294" s="10"/>
      <c r="F294" s="8"/>
      <c r="G294" s="8"/>
      <c r="H294" s="9"/>
      <c r="I294" s="10"/>
      <c r="J294" s="8"/>
      <c r="K294" s="10"/>
      <c r="L294" s="10"/>
      <c r="M294" s="10"/>
      <c r="N294" s="10"/>
      <c r="O294" s="10"/>
      <c r="P294" s="8"/>
      <c r="Q294" s="9"/>
    </row>
    <row r="295" spans="2:17" x14ac:dyDescent="0.2">
      <c r="B295" s="7"/>
      <c r="C295" s="8"/>
      <c r="D295" s="9"/>
      <c r="E295" s="10"/>
      <c r="F295" s="8"/>
      <c r="G295" s="8"/>
      <c r="H295" s="9"/>
      <c r="I295" s="10"/>
      <c r="J295" s="8"/>
      <c r="K295" s="10"/>
      <c r="L295" s="10"/>
      <c r="M295" s="10"/>
      <c r="N295" s="10"/>
      <c r="O295" s="10"/>
      <c r="P295" s="8"/>
      <c r="Q295" s="9"/>
    </row>
    <row r="296" spans="2:17" x14ac:dyDescent="0.2">
      <c r="B296" s="7"/>
      <c r="C296" s="8"/>
      <c r="D296" s="9"/>
      <c r="E296" s="10"/>
      <c r="F296" s="8"/>
      <c r="G296" s="8"/>
      <c r="H296" s="9"/>
      <c r="I296" s="10"/>
      <c r="J296" s="8"/>
      <c r="K296" s="10"/>
      <c r="L296" s="10"/>
      <c r="M296" s="10"/>
      <c r="N296" s="10"/>
      <c r="O296" s="10"/>
      <c r="P296" s="8"/>
      <c r="Q296" s="9"/>
    </row>
    <row r="297" spans="2:17" x14ac:dyDescent="0.2">
      <c r="B297" s="7"/>
      <c r="C297" s="8"/>
      <c r="D297" s="9"/>
      <c r="E297" s="10"/>
      <c r="F297" s="8"/>
      <c r="G297" s="8"/>
      <c r="H297" s="9"/>
      <c r="I297" s="10"/>
      <c r="J297" s="8"/>
      <c r="K297" s="10"/>
      <c r="L297" s="10"/>
      <c r="M297" s="10"/>
      <c r="N297" s="10"/>
      <c r="O297" s="10"/>
      <c r="P297" s="8"/>
      <c r="Q297" s="9"/>
    </row>
    <row r="298" spans="2:17" x14ac:dyDescent="0.2">
      <c r="B298" s="7"/>
      <c r="C298" s="8"/>
      <c r="D298" s="9"/>
      <c r="E298" s="10"/>
      <c r="F298" s="8"/>
      <c r="G298" s="8"/>
      <c r="H298" s="9"/>
      <c r="I298" s="10"/>
      <c r="J298" s="8"/>
      <c r="K298" s="10"/>
      <c r="L298" s="10"/>
      <c r="M298" s="10"/>
      <c r="N298" s="10"/>
      <c r="O298" s="10"/>
      <c r="P298" s="8"/>
      <c r="Q298" s="9"/>
    </row>
    <row r="299" spans="2:17" x14ac:dyDescent="0.2">
      <c r="B299" s="7"/>
      <c r="C299" s="8"/>
      <c r="D299" s="9"/>
      <c r="E299" s="10"/>
      <c r="F299" s="8"/>
      <c r="G299" s="8"/>
      <c r="H299" s="9"/>
      <c r="I299" s="10"/>
      <c r="J299" s="8"/>
      <c r="K299" s="10"/>
      <c r="L299" s="10"/>
      <c r="M299" s="10"/>
      <c r="N299" s="10"/>
      <c r="O299" s="10"/>
      <c r="P299" s="8"/>
      <c r="Q299" s="9"/>
    </row>
    <row r="300" spans="2:17" x14ac:dyDescent="0.2">
      <c r="B300" s="7"/>
      <c r="C300" s="8"/>
      <c r="D300" s="9"/>
      <c r="E300" s="10"/>
      <c r="F300" s="8"/>
      <c r="G300" s="8"/>
      <c r="H300" s="9"/>
      <c r="I300" s="10"/>
      <c r="J300" s="8"/>
      <c r="K300" s="10"/>
      <c r="L300" s="10"/>
      <c r="M300" s="10"/>
      <c r="N300" s="10"/>
      <c r="O300" s="10"/>
      <c r="P300" s="8"/>
      <c r="Q300" s="9"/>
    </row>
    <row r="301" spans="2:17" x14ac:dyDescent="0.2">
      <c r="B301" s="7"/>
      <c r="C301" s="8"/>
      <c r="D301" s="9"/>
      <c r="E301" s="10"/>
      <c r="F301" s="8"/>
      <c r="G301" s="8"/>
      <c r="H301" s="9"/>
      <c r="I301" s="10"/>
      <c r="J301" s="8"/>
      <c r="K301" s="10"/>
      <c r="L301" s="10"/>
      <c r="M301" s="10"/>
      <c r="N301" s="10"/>
      <c r="O301" s="10"/>
      <c r="P301" s="8"/>
      <c r="Q301" s="9"/>
    </row>
    <row r="302" spans="2:17" x14ac:dyDescent="0.2">
      <c r="B302" s="7"/>
      <c r="C302" s="8"/>
      <c r="D302" s="9"/>
      <c r="E302" s="10"/>
      <c r="F302" s="8"/>
      <c r="G302" s="8"/>
      <c r="H302" s="9"/>
      <c r="I302" s="10"/>
      <c r="J302" s="8"/>
      <c r="K302" s="10"/>
      <c r="L302" s="10"/>
      <c r="M302" s="10"/>
      <c r="N302" s="10"/>
      <c r="O302" s="10"/>
      <c r="P302" s="8"/>
      <c r="Q302" s="9"/>
    </row>
    <row r="303" spans="2:17" x14ac:dyDescent="0.2">
      <c r="B303" s="7"/>
      <c r="C303" s="8"/>
      <c r="D303" s="9"/>
      <c r="E303" s="10"/>
      <c r="F303" s="8"/>
      <c r="G303" s="8"/>
      <c r="H303" s="9"/>
      <c r="I303" s="10"/>
      <c r="J303" s="8"/>
      <c r="K303" s="10"/>
      <c r="L303" s="10"/>
      <c r="M303" s="10"/>
      <c r="N303" s="10"/>
      <c r="O303" s="10"/>
      <c r="P303" s="8"/>
      <c r="Q303" s="9"/>
    </row>
    <row r="304" spans="2:17" x14ac:dyDescent="0.2">
      <c r="B304" s="7"/>
      <c r="C304" s="8"/>
      <c r="D304" s="9"/>
      <c r="E304" s="10"/>
      <c r="F304" s="8"/>
      <c r="G304" s="8"/>
      <c r="H304" s="9"/>
      <c r="I304" s="10"/>
      <c r="J304" s="8"/>
      <c r="K304" s="10"/>
      <c r="L304" s="10"/>
      <c r="M304" s="10"/>
      <c r="N304" s="10"/>
      <c r="O304" s="10"/>
      <c r="P304" s="8"/>
      <c r="Q304" s="9"/>
    </row>
    <row r="305" spans="2:17" x14ac:dyDescent="0.2">
      <c r="B305" s="7"/>
      <c r="C305" s="8"/>
      <c r="D305" s="9"/>
      <c r="E305" s="10"/>
      <c r="F305" s="8"/>
      <c r="G305" s="8"/>
      <c r="H305" s="9"/>
      <c r="I305" s="10"/>
      <c r="J305" s="8"/>
      <c r="K305" s="10"/>
      <c r="L305" s="10"/>
      <c r="M305" s="10"/>
      <c r="N305" s="10"/>
      <c r="O305" s="10"/>
      <c r="P305" s="8"/>
      <c r="Q305" s="9"/>
    </row>
    <row r="306" spans="2:17" x14ac:dyDescent="0.2">
      <c r="B306" s="7"/>
      <c r="C306" s="8"/>
      <c r="D306" s="9"/>
      <c r="E306" s="10"/>
      <c r="F306" s="8"/>
      <c r="G306" s="8"/>
      <c r="H306" s="9"/>
      <c r="I306" s="10"/>
      <c r="J306" s="8"/>
      <c r="K306" s="10"/>
      <c r="L306" s="10"/>
      <c r="M306" s="10"/>
      <c r="N306" s="10"/>
      <c r="O306" s="10"/>
      <c r="P306" s="8"/>
      <c r="Q306" s="9"/>
    </row>
    <row r="307" spans="2:17" x14ac:dyDescent="0.2">
      <c r="B307" s="7"/>
      <c r="C307" s="8"/>
      <c r="D307" s="9"/>
      <c r="E307" s="10"/>
      <c r="F307" s="8"/>
      <c r="G307" s="8"/>
      <c r="H307" s="9"/>
      <c r="I307" s="10"/>
      <c r="J307" s="8"/>
      <c r="K307" s="10"/>
      <c r="L307" s="10"/>
      <c r="M307" s="10"/>
      <c r="N307" s="10"/>
      <c r="O307" s="10"/>
      <c r="P307" s="8"/>
      <c r="Q307" s="9"/>
    </row>
    <row r="308" spans="2:17" x14ac:dyDescent="0.2">
      <c r="B308" s="7"/>
      <c r="C308" s="8"/>
      <c r="D308" s="9"/>
      <c r="E308" s="10"/>
      <c r="F308" s="8"/>
      <c r="G308" s="8"/>
      <c r="H308" s="9"/>
      <c r="I308" s="10"/>
      <c r="J308" s="8"/>
      <c r="K308" s="10"/>
      <c r="L308" s="10"/>
      <c r="M308" s="10"/>
      <c r="N308" s="10"/>
      <c r="O308" s="10"/>
      <c r="P308" s="8"/>
      <c r="Q308" s="9"/>
    </row>
    <row r="309" spans="2:17" x14ac:dyDescent="0.2">
      <c r="B309" s="7"/>
      <c r="C309" s="8"/>
      <c r="D309" s="9"/>
      <c r="E309" s="10"/>
      <c r="F309" s="8"/>
      <c r="G309" s="8"/>
      <c r="H309" s="9"/>
      <c r="I309" s="10"/>
      <c r="J309" s="8"/>
      <c r="K309" s="10"/>
      <c r="L309" s="10"/>
      <c r="M309" s="10"/>
      <c r="N309" s="10"/>
      <c r="O309" s="10"/>
      <c r="P309" s="8"/>
      <c r="Q309" s="9"/>
    </row>
    <row r="310" spans="2:17" x14ac:dyDescent="0.2">
      <c r="B310" s="7"/>
      <c r="C310" s="8"/>
      <c r="D310" s="9"/>
      <c r="E310" s="10"/>
      <c r="F310" s="8"/>
      <c r="G310" s="8"/>
      <c r="H310" s="9"/>
      <c r="I310" s="10"/>
      <c r="J310" s="8"/>
      <c r="K310" s="10"/>
      <c r="L310" s="10"/>
      <c r="M310" s="10"/>
      <c r="N310" s="10"/>
      <c r="O310" s="10"/>
      <c r="P310" s="8"/>
      <c r="Q310" s="9"/>
    </row>
    <row r="311" spans="2:17" x14ac:dyDescent="0.2">
      <c r="B311" s="7"/>
      <c r="C311" s="8"/>
      <c r="D311" s="9"/>
      <c r="E311" s="10"/>
      <c r="F311" s="8"/>
      <c r="G311" s="8"/>
      <c r="H311" s="9"/>
      <c r="I311" s="10"/>
      <c r="J311" s="8"/>
      <c r="K311" s="10"/>
      <c r="L311" s="10"/>
      <c r="M311" s="10"/>
      <c r="N311" s="10"/>
      <c r="O311" s="10"/>
      <c r="P311" s="8"/>
      <c r="Q311" s="9"/>
    </row>
    <row r="312" spans="2:17" x14ac:dyDescent="0.2">
      <c r="B312" s="7"/>
      <c r="C312" s="8"/>
      <c r="D312" s="9"/>
      <c r="E312" s="10"/>
      <c r="F312" s="8"/>
      <c r="G312" s="8"/>
      <c r="H312" s="9"/>
      <c r="I312" s="10"/>
      <c r="J312" s="8"/>
      <c r="K312" s="10"/>
      <c r="L312" s="10"/>
      <c r="M312" s="10"/>
      <c r="N312" s="10"/>
      <c r="O312" s="10"/>
      <c r="P312" s="8"/>
      <c r="Q312" s="9"/>
    </row>
    <row r="313" spans="2:17" x14ac:dyDescent="0.2">
      <c r="B313" s="7"/>
      <c r="C313" s="8"/>
      <c r="D313" s="9"/>
      <c r="E313" s="10"/>
      <c r="F313" s="8"/>
      <c r="G313" s="8"/>
      <c r="H313" s="9"/>
      <c r="I313" s="10"/>
      <c r="J313" s="8"/>
      <c r="K313" s="10"/>
      <c r="L313" s="10"/>
      <c r="M313" s="10"/>
      <c r="N313" s="10"/>
      <c r="O313" s="10"/>
      <c r="P313" s="8"/>
      <c r="Q313" s="9"/>
    </row>
    <row r="314" spans="2:17" x14ac:dyDescent="0.2">
      <c r="B314" s="7"/>
      <c r="C314" s="8"/>
      <c r="D314" s="9"/>
      <c r="E314" s="10"/>
      <c r="F314" s="8"/>
      <c r="G314" s="8"/>
      <c r="H314" s="9"/>
      <c r="I314" s="10"/>
      <c r="J314" s="8"/>
      <c r="K314" s="10"/>
      <c r="L314" s="10"/>
      <c r="M314" s="10"/>
      <c r="N314" s="10"/>
      <c r="O314" s="10"/>
      <c r="P314" s="8"/>
      <c r="Q314" s="9"/>
    </row>
    <row r="315" spans="2:17" x14ac:dyDescent="0.2">
      <c r="B315" s="7"/>
      <c r="C315" s="8"/>
      <c r="D315" s="9"/>
      <c r="E315" s="10"/>
      <c r="F315" s="8"/>
      <c r="G315" s="8"/>
      <c r="H315" s="9"/>
      <c r="I315" s="10"/>
      <c r="J315" s="8"/>
      <c r="K315" s="10"/>
      <c r="L315" s="10"/>
      <c r="M315" s="10"/>
      <c r="N315" s="10"/>
      <c r="O315" s="10"/>
      <c r="P315" s="8"/>
      <c r="Q315" s="9"/>
    </row>
    <row r="316" spans="2:17" x14ac:dyDescent="0.2">
      <c r="B316" s="7"/>
      <c r="C316" s="8"/>
      <c r="D316" s="9"/>
      <c r="E316" s="10"/>
      <c r="F316" s="8"/>
      <c r="G316" s="8"/>
      <c r="H316" s="9"/>
      <c r="I316" s="10"/>
      <c r="J316" s="8"/>
      <c r="K316" s="10"/>
      <c r="L316" s="10"/>
      <c r="M316" s="10"/>
      <c r="N316" s="10"/>
      <c r="O316" s="10"/>
      <c r="P316" s="8"/>
      <c r="Q316" s="9"/>
    </row>
    <row r="317" spans="2:17" x14ac:dyDescent="0.2">
      <c r="B317" s="7"/>
      <c r="C317" s="8"/>
      <c r="D317" s="9"/>
      <c r="E317" s="10"/>
      <c r="F317" s="8"/>
      <c r="G317" s="8"/>
      <c r="H317" s="9"/>
      <c r="I317" s="10"/>
      <c r="J317" s="8"/>
      <c r="K317" s="10"/>
      <c r="L317" s="10"/>
      <c r="M317" s="10"/>
      <c r="N317" s="10"/>
      <c r="O317" s="10"/>
      <c r="P317" s="8"/>
      <c r="Q317" s="9"/>
    </row>
    <row r="318" spans="2:17" x14ac:dyDescent="0.2">
      <c r="B318" s="7"/>
      <c r="C318" s="8"/>
      <c r="D318" s="9"/>
      <c r="E318" s="10"/>
      <c r="F318" s="8"/>
      <c r="G318" s="8"/>
      <c r="H318" s="9"/>
      <c r="I318" s="10"/>
      <c r="J318" s="8"/>
      <c r="K318" s="10"/>
      <c r="L318" s="10"/>
      <c r="M318" s="10"/>
      <c r="N318" s="10"/>
      <c r="O318" s="10"/>
      <c r="P318" s="8"/>
      <c r="Q318" s="9"/>
    </row>
    <row r="319" spans="2:17" x14ac:dyDescent="0.2">
      <c r="B319" s="7"/>
      <c r="C319" s="8"/>
      <c r="D319" s="9"/>
      <c r="E319" s="10"/>
      <c r="F319" s="8"/>
      <c r="G319" s="8"/>
      <c r="H319" s="9"/>
      <c r="I319" s="10"/>
      <c r="J319" s="8"/>
      <c r="K319" s="10"/>
      <c r="L319" s="10"/>
      <c r="M319" s="10"/>
      <c r="N319" s="10"/>
      <c r="O319" s="10"/>
      <c r="P319" s="8"/>
      <c r="Q319" s="9"/>
    </row>
    <row r="320" spans="2:17" x14ac:dyDescent="0.2">
      <c r="B320" s="7"/>
      <c r="C320" s="8"/>
      <c r="D320" s="9"/>
      <c r="E320" s="10"/>
      <c r="F320" s="8"/>
      <c r="G320" s="8"/>
      <c r="H320" s="9"/>
      <c r="I320" s="10"/>
      <c r="J320" s="8"/>
      <c r="K320" s="10"/>
      <c r="L320" s="10"/>
      <c r="M320" s="10"/>
      <c r="N320" s="10"/>
      <c r="O320" s="10"/>
      <c r="P320" s="8"/>
      <c r="Q320" s="9"/>
    </row>
    <row r="321" spans="2:17" x14ac:dyDescent="0.2">
      <c r="B321" s="7"/>
      <c r="C321" s="8"/>
      <c r="D321" s="9"/>
      <c r="E321" s="10"/>
      <c r="F321" s="8"/>
      <c r="G321" s="8"/>
      <c r="H321" s="9"/>
      <c r="I321" s="10"/>
      <c r="J321" s="8"/>
      <c r="K321" s="10"/>
      <c r="L321" s="10"/>
      <c r="M321" s="10"/>
      <c r="N321" s="10"/>
      <c r="O321" s="10"/>
      <c r="P321" s="8"/>
      <c r="Q321" s="9"/>
    </row>
    <row r="322" spans="2:17" x14ac:dyDescent="0.2">
      <c r="B322" s="7"/>
      <c r="C322" s="8"/>
      <c r="D322" s="9"/>
      <c r="E322" s="10"/>
      <c r="F322" s="8"/>
      <c r="G322" s="8"/>
      <c r="H322" s="9"/>
      <c r="I322" s="10"/>
      <c r="J322" s="8"/>
      <c r="K322" s="10"/>
      <c r="L322" s="10"/>
      <c r="M322" s="10"/>
      <c r="N322" s="10"/>
      <c r="O322" s="10"/>
      <c r="P322" s="8"/>
      <c r="Q322" s="9"/>
    </row>
    <row r="323" spans="2:17" x14ac:dyDescent="0.2">
      <c r="B323" s="7"/>
      <c r="C323" s="8"/>
      <c r="D323" s="9"/>
      <c r="E323" s="10"/>
      <c r="F323" s="8"/>
      <c r="G323" s="8"/>
      <c r="H323" s="9"/>
      <c r="I323" s="10"/>
      <c r="J323" s="8"/>
      <c r="K323" s="10"/>
      <c r="L323" s="10"/>
      <c r="M323" s="10"/>
      <c r="N323" s="10"/>
      <c r="O323" s="10"/>
      <c r="P323" s="8"/>
      <c r="Q323" s="9"/>
    </row>
    <row r="324" spans="2:17" x14ac:dyDescent="0.2">
      <c r="B324" s="7"/>
      <c r="C324" s="8"/>
      <c r="D324" s="9"/>
      <c r="E324" s="10"/>
      <c r="F324" s="8"/>
      <c r="G324" s="8"/>
      <c r="H324" s="9"/>
      <c r="I324" s="10"/>
      <c r="J324" s="8"/>
      <c r="K324" s="10"/>
      <c r="L324" s="10"/>
      <c r="M324" s="10"/>
      <c r="N324" s="10"/>
      <c r="O324" s="10"/>
      <c r="P324" s="8"/>
      <c r="Q324" s="9"/>
    </row>
    <row r="325" spans="2:17" x14ac:dyDescent="0.2">
      <c r="B325" s="7"/>
      <c r="C325" s="8"/>
      <c r="D325" s="9"/>
      <c r="E325" s="10"/>
      <c r="F325" s="8"/>
      <c r="G325" s="8"/>
      <c r="H325" s="9"/>
      <c r="I325" s="10"/>
      <c r="J325" s="8"/>
      <c r="K325" s="10"/>
      <c r="L325" s="10"/>
      <c r="M325" s="10"/>
      <c r="N325" s="10"/>
      <c r="O325" s="10"/>
      <c r="P325" s="8"/>
      <c r="Q325" s="9"/>
    </row>
    <row r="326" spans="2:17" x14ac:dyDescent="0.2">
      <c r="B326" s="7"/>
      <c r="C326" s="8"/>
      <c r="D326" s="9"/>
      <c r="E326" s="10"/>
      <c r="F326" s="8"/>
      <c r="G326" s="8"/>
      <c r="H326" s="9"/>
      <c r="I326" s="10"/>
      <c r="J326" s="8"/>
      <c r="K326" s="10"/>
      <c r="L326" s="10"/>
      <c r="M326" s="10"/>
      <c r="N326" s="10"/>
      <c r="O326" s="10"/>
      <c r="P326" s="8"/>
      <c r="Q326" s="9"/>
    </row>
    <row r="327" spans="2:17" x14ac:dyDescent="0.2">
      <c r="B327" s="7"/>
      <c r="C327" s="8"/>
      <c r="D327" s="9"/>
      <c r="E327" s="10"/>
      <c r="F327" s="8"/>
      <c r="G327" s="8"/>
      <c r="H327" s="9"/>
      <c r="I327" s="10"/>
      <c r="J327" s="8"/>
      <c r="K327" s="10"/>
      <c r="L327" s="10"/>
      <c r="M327" s="10"/>
      <c r="N327" s="10"/>
      <c r="O327" s="10"/>
      <c r="P327" s="8"/>
      <c r="Q327" s="9"/>
    </row>
    <row r="328" spans="2:17" x14ac:dyDescent="0.2">
      <c r="B328" s="7"/>
      <c r="C328" s="8"/>
      <c r="D328" s="9"/>
      <c r="E328" s="10"/>
      <c r="F328" s="8"/>
      <c r="G328" s="8"/>
      <c r="H328" s="9"/>
      <c r="I328" s="10"/>
      <c r="J328" s="8"/>
      <c r="K328" s="10"/>
      <c r="L328" s="10"/>
      <c r="M328" s="10"/>
      <c r="N328" s="10"/>
      <c r="O328" s="10"/>
      <c r="P328" s="8"/>
      <c r="Q328" s="9"/>
    </row>
    <row r="329" spans="2:17" x14ac:dyDescent="0.2">
      <c r="B329" s="7"/>
      <c r="C329" s="8"/>
      <c r="D329" s="9"/>
      <c r="E329" s="10"/>
      <c r="F329" s="8"/>
      <c r="G329" s="8"/>
      <c r="H329" s="9"/>
      <c r="I329" s="10"/>
      <c r="J329" s="8"/>
      <c r="K329" s="10"/>
      <c r="L329" s="10"/>
      <c r="M329" s="10"/>
      <c r="N329" s="10"/>
      <c r="O329" s="10"/>
      <c r="P329" s="8"/>
      <c r="Q329" s="9"/>
    </row>
    <row r="330" spans="2:17" x14ac:dyDescent="0.2">
      <c r="B330" s="7"/>
      <c r="C330" s="8"/>
      <c r="D330" s="9"/>
      <c r="E330" s="10"/>
      <c r="F330" s="8"/>
      <c r="G330" s="8"/>
      <c r="H330" s="9"/>
      <c r="I330" s="10"/>
      <c r="J330" s="8"/>
      <c r="K330" s="10"/>
      <c r="L330" s="10"/>
      <c r="M330" s="10"/>
      <c r="N330" s="10"/>
      <c r="O330" s="10"/>
      <c r="P330" s="8"/>
      <c r="Q330" s="9"/>
    </row>
    <row r="331" spans="2:17" x14ac:dyDescent="0.2">
      <c r="B331" s="7"/>
      <c r="C331" s="8"/>
      <c r="D331" s="9"/>
      <c r="E331" s="10"/>
      <c r="F331" s="8"/>
      <c r="G331" s="8"/>
      <c r="H331" s="9"/>
      <c r="I331" s="10"/>
      <c r="J331" s="8"/>
      <c r="K331" s="10"/>
      <c r="L331" s="10"/>
      <c r="M331" s="10"/>
      <c r="N331" s="10"/>
      <c r="O331" s="10"/>
      <c r="P331" s="8"/>
      <c r="Q331" s="9"/>
    </row>
    <row r="332" spans="2:17" x14ac:dyDescent="0.2">
      <c r="B332" s="7"/>
      <c r="C332" s="8"/>
      <c r="D332" s="9"/>
      <c r="E332" s="10"/>
      <c r="F332" s="8"/>
      <c r="G332" s="8"/>
      <c r="H332" s="9"/>
      <c r="I332" s="10"/>
      <c r="J332" s="8"/>
      <c r="K332" s="10"/>
      <c r="L332" s="10"/>
      <c r="M332" s="10"/>
      <c r="N332" s="10"/>
      <c r="O332" s="10"/>
      <c r="P332" s="8"/>
      <c r="Q332" s="9"/>
    </row>
    <row r="333" spans="2:17" x14ac:dyDescent="0.2">
      <c r="B333" s="7"/>
      <c r="C333" s="8"/>
      <c r="D333" s="9"/>
      <c r="E333" s="10"/>
      <c r="F333" s="8"/>
      <c r="G333" s="8"/>
      <c r="H333" s="9"/>
      <c r="I333" s="10"/>
      <c r="J333" s="8"/>
      <c r="K333" s="10"/>
      <c r="L333" s="10"/>
      <c r="M333" s="10"/>
      <c r="N333" s="10"/>
      <c r="O333" s="10"/>
      <c r="P333" s="8"/>
      <c r="Q333" s="9"/>
    </row>
    <row r="334" spans="2:17" x14ac:dyDescent="0.2">
      <c r="B334" s="7"/>
      <c r="C334" s="8"/>
      <c r="D334" s="9"/>
      <c r="E334" s="10"/>
      <c r="F334" s="8"/>
      <c r="G334" s="8"/>
      <c r="H334" s="9"/>
      <c r="I334" s="10"/>
      <c r="J334" s="8"/>
      <c r="K334" s="10"/>
      <c r="L334" s="10"/>
      <c r="M334" s="10"/>
      <c r="N334" s="10"/>
      <c r="O334" s="10"/>
      <c r="P334" s="8"/>
      <c r="Q334" s="9"/>
    </row>
    <row r="335" spans="2:17" x14ac:dyDescent="0.2">
      <c r="B335" s="7"/>
      <c r="C335" s="8"/>
      <c r="D335" s="9"/>
      <c r="E335" s="10"/>
      <c r="F335" s="8"/>
      <c r="G335" s="8"/>
      <c r="H335" s="9"/>
      <c r="I335" s="10"/>
      <c r="J335" s="8"/>
      <c r="K335" s="10"/>
      <c r="L335" s="10"/>
      <c r="M335" s="10"/>
      <c r="N335" s="10"/>
      <c r="O335" s="10"/>
      <c r="P335" s="8"/>
      <c r="Q335" s="9"/>
    </row>
    <row r="336" spans="2:17" x14ac:dyDescent="0.2">
      <c r="B336" s="7"/>
      <c r="C336" s="8"/>
      <c r="D336" s="9"/>
      <c r="E336" s="10"/>
      <c r="F336" s="8"/>
      <c r="G336" s="8"/>
      <c r="H336" s="9"/>
      <c r="I336" s="10"/>
      <c r="J336" s="8"/>
      <c r="K336" s="10"/>
      <c r="L336" s="10"/>
      <c r="M336" s="10"/>
      <c r="N336" s="10"/>
      <c r="O336" s="10"/>
      <c r="P336" s="8"/>
      <c r="Q336" s="9"/>
    </row>
    <row r="337" spans="2:17" x14ac:dyDescent="0.2">
      <c r="B337" s="7"/>
      <c r="C337" s="8"/>
      <c r="D337" s="9"/>
      <c r="E337" s="10"/>
      <c r="F337" s="8"/>
      <c r="G337" s="8"/>
      <c r="H337" s="9"/>
      <c r="I337" s="10"/>
      <c r="J337" s="8"/>
      <c r="K337" s="10"/>
      <c r="L337" s="10"/>
      <c r="M337" s="10"/>
      <c r="N337" s="10"/>
      <c r="O337" s="10"/>
      <c r="P337" s="8"/>
      <c r="Q337" s="9"/>
    </row>
    <row r="338" spans="2:17" x14ac:dyDescent="0.2">
      <c r="B338" s="7"/>
      <c r="C338" s="8"/>
      <c r="D338" s="9"/>
      <c r="E338" s="10"/>
      <c r="F338" s="8"/>
      <c r="G338" s="8"/>
      <c r="H338" s="9"/>
      <c r="I338" s="10"/>
      <c r="J338" s="8"/>
      <c r="K338" s="10"/>
      <c r="L338" s="10"/>
      <c r="M338" s="10"/>
      <c r="N338" s="10"/>
      <c r="O338" s="10"/>
      <c r="P338" s="8"/>
      <c r="Q338" s="9"/>
    </row>
    <row r="339" spans="2:17" x14ac:dyDescent="0.2">
      <c r="B339" s="7"/>
      <c r="C339" s="8"/>
      <c r="D339" s="9"/>
      <c r="E339" s="10"/>
      <c r="F339" s="8"/>
      <c r="G339" s="8"/>
      <c r="H339" s="9"/>
      <c r="I339" s="10"/>
      <c r="J339" s="8"/>
      <c r="K339" s="10"/>
      <c r="L339" s="10"/>
      <c r="M339" s="10"/>
      <c r="N339" s="10"/>
      <c r="O339" s="10"/>
      <c r="P339" s="8"/>
      <c r="Q339" s="9"/>
    </row>
    <row r="340" spans="2:17" x14ac:dyDescent="0.2">
      <c r="B340" s="7"/>
      <c r="C340" s="8"/>
      <c r="D340" s="9"/>
      <c r="E340" s="10"/>
      <c r="F340" s="8"/>
      <c r="G340" s="8"/>
      <c r="H340" s="9"/>
      <c r="I340" s="10"/>
      <c r="J340" s="8"/>
      <c r="K340" s="10"/>
      <c r="L340" s="10"/>
      <c r="M340" s="10"/>
      <c r="N340" s="10"/>
      <c r="O340" s="10"/>
      <c r="P340" s="8"/>
      <c r="Q340" s="9"/>
    </row>
    <row r="341" spans="2:17" x14ac:dyDescent="0.2">
      <c r="B341" s="7"/>
      <c r="C341" s="8"/>
      <c r="D341" s="9"/>
      <c r="E341" s="10"/>
      <c r="F341" s="8"/>
      <c r="G341" s="8"/>
      <c r="H341" s="9"/>
      <c r="I341" s="10"/>
      <c r="J341" s="8"/>
      <c r="K341" s="10"/>
      <c r="L341" s="10"/>
      <c r="M341" s="10"/>
      <c r="N341" s="10"/>
      <c r="O341" s="10"/>
      <c r="P341" s="8"/>
      <c r="Q341" s="9"/>
    </row>
    <row r="342" spans="2:17" x14ac:dyDescent="0.2">
      <c r="B342" s="7"/>
      <c r="C342" s="8"/>
      <c r="D342" s="9"/>
      <c r="E342" s="10"/>
      <c r="F342" s="8"/>
      <c r="G342" s="8"/>
      <c r="H342" s="9"/>
      <c r="I342" s="10"/>
      <c r="J342" s="8"/>
      <c r="K342" s="10"/>
      <c r="L342" s="10"/>
      <c r="M342" s="10"/>
      <c r="N342" s="10"/>
      <c r="O342" s="10"/>
      <c r="P342" s="8"/>
      <c r="Q342" s="9"/>
    </row>
    <row r="343" spans="2:17" x14ac:dyDescent="0.2">
      <c r="B343" s="7"/>
      <c r="C343" s="8"/>
      <c r="D343" s="9"/>
      <c r="E343" s="10"/>
      <c r="F343" s="8"/>
      <c r="G343" s="8"/>
      <c r="H343" s="9"/>
      <c r="I343" s="10"/>
      <c r="J343" s="8"/>
      <c r="K343" s="10"/>
      <c r="L343" s="10"/>
      <c r="M343" s="10"/>
      <c r="N343" s="10"/>
      <c r="O343" s="10"/>
      <c r="P343" s="8"/>
      <c r="Q343" s="9"/>
    </row>
    <row r="344" spans="2:17" x14ac:dyDescent="0.2">
      <c r="B344" s="7"/>
      <c r="C344" s="8"/>
      <c r="D344" s="9"/>
      <c r="E344" s="10"/>
      <c r="F344" s="8"/>
      <c r="G344" s="8"/>
      <c r="H344" s="9"/>
      <c r="I344" s="10"/>
      <c r="J344" s="8"/>
      <c r="K344" s="10"/>
      <c r="L344" s="10"/>
      <c r="M344" s="10"/>
      <c r="N344" s="10"/>
      <c r="O344" s="10"/>
      <c r="P344" s="8"/>
      <c r="Q344" s="9"/>
    </row>
    <row r="345" spans="2:17" x14ac:dyDescent="0.2">
      <c r="B345" s="7"/>
      <c r="C345" s="8"/>
      <c r="D345" s="9"/>
      <c r="E345" s="10"/>
      <c r="F345" s="8"/>
      <c r="G345" s="8"/>
      <c r="H345" s="9"/>
      <c r="I345" s="10"/>
      <c r="J345" s="8"/>
      <c r="K345" s="10"/>
      <c r="L345" s="10"/>
      <c r="M345" s="10"/>
      <c r="N345" s="10"/>
      <c r="O345" s="10"/>
      <c r="P345" s="8"/>
      <c r="Q345" s="9"/>
    </row>
    <row r="346" spans="2:17" x14ac:dyDescent="0.2">
      <c r="B346" s="7"/>
      <c r="C346" s="8"/>
      <c r="D346" s="9"/>
      <c r="E346" s="10"/>
      <c r="F346" s="8"/>
      <c r="G346" s="8"/>
      <c r="H346" s="9"/>
      <c r="I346" s="10"/>
      <c r="J346" s="8"/>
      <c r="K346" s="10"/>
      <c r="L346" s="10"/>
      <c r="M346" s="10"/>
      <c r="N346" s="10"/>
      <c r="O346" s="10"/>
      <c r="P346" s="8"/>
      <c r="Q346" s="9"/>
    </row>
    <row r="347" spans="2:17" x14ac:dyDescent="0.2">
      <c r="B347" s="7"/>
      <c r="C347" s="8"/>
      <c r="D347" s="9"/>
      <c r="E347" s="10"/>
      <c r="F347" s="8"/>
      <c r="G347" s="8"/>
      <c r="H347" s="9"/>
      <c r="I347" s="10"/>
      <c r="J347" s="8"/>
      <c r="K347" s="10"/>
      <c r="L347" s="10"/>
      <c r="M347" s="10"/>
      <c r="N347" s="10"/>
      <c r="O347" s="10"/>
      <c r="P347" s="8"/>
      <c r="Q347" s="9"/>
    </row>
    <row r="348" spans="2:17" x14ac:dyDescent="0.2">
      <c r="B348" s="7"/>
      <c r="C348" s="8"/>
      <c r="D348" s="9"/>
      <c r="E348" s="10"/>
      <c r="F348" s="8"/>
      <c r="G348" s="8"/>
      <c r="H348" s="9"/>
      <c r="I348" s="10"/>
      <c r="J348" s="8"/>
      <c r="K348" s="10"/>
      <c r="L348" s="10"/>
      <c r="M348" s="10"/>
      <c r="N348" s="10"/>
      <c r="O348" s="10"/>
      <c r="P348" s="8"/>
      <c r="Q348" s="9"/>
    </row>
    <row r="349" spans="2:17" x14ac:dyDescent="0.2">
      <c r="B349" s="7"/>
      <c r="C349" s="8"/>
      <c r="D349" s="9"/>
      <c r="E349" s="10"/>
      <c r="F349" s="8"/>
      <c r="G349" s="8"/>
      <c r="H349" s="9"/>
      <c r="I349" s="10"/>
      <c r="J349" s="8"/>
      <c r="K349" s="10"/>
      <c r="L349" s="10"/>
      <c r="M349" s="10"/>
      <c r="N349" s="10"/>
      <c r="O349" s="10"/>
      <c r="P349" s="8"/>
      <c r="Q349" s="9"/>
    </row>
    <row r="350" spans="2:17" x14ac:dyDescent="0.2">
      <c r="B350" s="7"/>
      <c r="C350" s="8"/>
      <c r="D350" s="9"/>
      <c r="E350" s="10"/>
      <c r="F350" s="8"/>
      <c r="G350" s="8"/>
      <c r="H350" s="9"/>
      <c r="I350" s="10"/>
      <c r="J350" s="8"/>
      <c r="K350" s="10"/>
      <c r="L350" s="10"/>
      <c r="M350" s="10"/>
      <c r="N350" s="10"/>
      <c r="O350" s="10"/>
      <c r="P350" s="8"/>
      <c r="Q350" s="9"/>
    </row>
    <row r="351" spans="2:17" x14ac:dyDescent="0.2">
      <c r="B351" s="7"/>
      <c r="C351" s="8"/>
      <c r="D351" s="9"/>
      <c r="E351" s="10"/>
      <c r="F351" s="8"/>
      <c r="G351" s="8"/>
      <c r="H351" s="9"/>
      <c r="I351" s="10"/>
      <c r="J351" s="8"/>
      <c r="K351" s="10"/>
      <c r="L351" s="10"/>
      <c r="M351" s="10"/>
      <c r="N351" s="10"/>
      <c r="O351" s="10"/>
      <c r="P351" s="8"/>
      <c r="Q351" s="9"/>
    </row>
    <row r="352" spans="2:17" x14ac:dyDescent="0.2">
      <c r="B352" s="7"/>
      <c r="C352" s="8"/>
      <c r="D352" s="9"/>
      <c r="E352" s="10"/>
      <c r="F352" s="8"/>
      <c r="G352" s="8"/>
      <c r="H352" s="9"/>
      <c r="I352" s="10"/>
      <c r="J352" s="8"/>
      <c r="K352" s="10"/>
      <c r="L352" s="10"/>
      <c r="M352" s="10"/>
      <c r="N352" s="10"/>
      <c r="O352" s="10"/>
      <c r="P352" s="8"/>
      <c r="Q352" s="9"/>
    </row>
    <row r="353" spans="2:17" x14ac:dyDescent="0.2">
      <c r="B353" s="7"/>
      <c r="C353" s="8"/>
      <c r="D353" s="9"/>
      <c r="E353" s="10"/>
      <c r="F353" s="8"/>
      <c r="G353" s="8"/>
      <c r="H353" s="9"/>
      <c r="I353" s="10"/>
      <c r="J353" s="8"/>
      <c r="K353" s="10"/>
      <c r="L353" s="10"/>
      <c r="M353" s="10"/>
      <c r="N353" s="10"/>
      <c r="O353" s="10"/>
      <c r="P353" s="8"/>
      <c r="Q353" s="9"/>
    </row>
    <row r="354" spans="2:17" x14ac:dyDescent="0.2">
      <c r="B354" s="7"/>
      <c r="C354" s="8"/>
      <c r="D354" s="9"/>
      <c r="E354" s="10"/>
      <c r="F354" s="8"/>
      <c r="G354" s="8"/>
      <c r="H354" s="9"/>
      <c r="I354" s="10"/>
      <c r="J354" s="8"/>
      <c r="K354" s="10"/>
      <c r="L354" s="10"/>
      <c r="M354" s="10"/>
      <c r="N354" s="10"/>
      <c r="O354" s="10"/>
      <c r="P354" s="8"/>
      <c r="Q354" s="9"/>
    </row>
    <row r="355" spans="2:17" x14ac:dyDescent="0.2">
      <c r="B355" s="7"/>
      <c r="C355" s="8"/>
      <c r="D355" s="9"/>
      <c r="E355" s="10"/>
      <c r="F355" s="8"/>
      <c r="G355" s="8"/>
      <c r="H355" s="9"/>
      <c r="I355" s="10"/>
      <c r="J355" s="8"/>
      <c r="K355" s="10"/>
      <c r="L355" s="10"/>
      <c r="M355" s="10"/>
      <c r="N355" s="10"/>
      <c r="O355" s="10"/>
      <c r="P355" s="8"/>
      <c r="Q355" s="9"/>
    </row>
    <row r="356" spans="2:17" x14ac:dyDescent="0.2">
      <c r="B356" s="7"/>
      <c r="C356" s="8"/>
      <c r="D356" s="9"/>
      <c r="E356" s="10"/>
      <c r="F356" s="8"/>
      <c r="G356" s="8"/>
      <c r="H356" s="9"/>
      <c r="I356" s="10"/>
      <c r="J356" s="8"/>
      <c r="K356" s="10"/>
      <c r="L356" s="10"/>
      <c r="M356" s="10"/>
      <c r="N356" s="10"/>
      <c r="O356" s="10"/>
      <c r="P356" s="8"/>
      <c r="Q356" s="9"/>
    </row>
    <row r="357" spans="2:17" x14ac:dyDescent="0.2">
      <c r="B357" s="7"/>
      <c r="C357" s="8"/>
      <c r="D357" s="9"/>
      <c r="E357" s="10"/>
      <c r="F357" s="8"/>
      <c r="G357" s="8"/>
      <c r="H357" s="9"/>
      <c r="I357" s="10"/>
      <c r="J357" s="8"/>
      <c r="K357" s="10"/>
      <c r="L357" s="10"/>
      <c r="M357" s="10"/>
      <c r="N357" s="10"/>
      <c r="O357" s="10"/>
      <c r="P357" s="8"/>
      <c r="Q357" s="9"/>
    </row>
    <row r="358" spans="2:17" x14ac:dyDescent="0.2">
      <c r="B358" s="7"/>
      <c r="C358" s="8"/>
      <c r="D358" s="9"/>
      <c r="E358" s="10"/>
      <c r="F358" s="8"/>
      <c r="G358" s="8"/>
      <c r="H358" s="9"/>
      <c r="I358" s="10"/>
      <c r="J358" s="8"/>
      <c r="K358" s="10"/>
      <c r="L358" s="10"/>
      <c r="M358" s="10"/>
      <c r="N358" s="10"/>
      <c r="O358" s="10"/>
      <c r="P358" s="8"/>
      <c r="Q358" s="9"/>
    </row>
    <row r="359" spans="2:17" x14ac:dyDescent="0.2">
      <c r="B359" s="7"/>
      <c r="C359" s="8"/>
      <c r="D359" s="9"/>
      <c r="E359" s="10"/>
      <c r="F359" s="8"/>
      <c r="G359" s="8"/>
      <c r="H359" s="9"/>
      <c r="I359" s="10"/>
      <c r="J359" s="8"/>
      <c r="K359" s="10"/>
      <c r="L359" s="10"/>
      <c r="M359" s="10"/>
      <c r="N359" s="10"/>
      <c r="O359" s="10"/>
      <c r="P359" s="8"/>
      <c r="Q359" s="9"/>
    </row>
    <row r="360" spans="2:17" x14ac:dyDescent="0.2">
      <c r="B360" s="7"/>
      <c r="C360" s="8"/>
      <c r="D360" s="9"/>
      <c r="E360" s="10"/>
      <c r="F360" s="8"/>
      <c r="G360" s="8"/>
      <c r="H360" s="9"/>
      <c r="I360" s="10"/>
      <c r="J360" s="8"/>
      <c r="K360" s="10"/>
      <c r="L360" s="10"/>
      <c r="M360" s="10"/>
      <c r="N360" s="10"/>
      <c r="O360" s="10"/>
      <c r="P360" s="8"/>
      <c r="Q360" s="9"/>
    </row>
    <row r="361" spans="2:17" x14ac:dyDescent="0.2">
      <c r="B361" s="7"/>
      <c r="C361" s="8"/>
      <c r="D361" s="9"/>
      <c r="E361" s="10"/>
      <c r="F361" s="8"/>
      <c r="G361" s="8"/>
      <c r="H361" s="9"/>
      <c r="I361" s="10"/>
      <c r="J361" s="8"/>
      <c r="K361" s="10"/>
      <c r="L361" s="10"/>
      <c r="M361" s="10"/>
      <c r="N361" s="10"/>
      <c r="O361" s="10"/>
      <c r="P361" s="8"/>
      <c r="Q361" s="9"/>
    </row>
    <row r="362" spans="2:17" x14ac:dyDescent="0.2">
      <c r="B362" s="7"/>
      <c r="C362" s="8"/>
      <c r="D362" s="9"/>
      <c r="E362" s="10"/>
      <c r="F362" s="8"/>
      <c r="G362" s="8"/>
      <c r="H362" s="9"/>
      <c r="I362" s="10"/>
      <c r="J362" s="8"/>
      <c r="K362" s="10"/>
      <c r="L362" s="10"/>
      <c r="M362" s="10"/>
      <c r="N362" s="10"/>
      <c r="O362" s="10"/>
      <c r="P362" s="8"/>
      <c r="Q362" s="9"/>
    </row>
    <row r="363" spans="2:17" x14ac:dyDescent="0.2">
      <c r="B363" s="7"/>
      <c r="C363" s="8"/>
      <c r="D363" s="9"/>
      <c r="E363" s="10"/>
      <c r="F363" s="8"/>
      <c r="G363" s="8"/>
      <c r="H363" s="9"/>
      <c r="I363" s="10"/>
      <c r="J363" s="8"/>
      <c r="K363" s="10"/>
      <c r="L363" s="10"/>
      <c r="M363" s="10"/>
      <c r="N363" s="10"/>
      <c r="O363" s="10"/>
      <c r="P363" s="8"/>
      <c r="Q363" s="9"/>
    </row>
    <row r="364" spans="2:17" x14ac:dyDescent="0.2">
      <c r="B364" s="7"/>
      <c r="C364" s="8"/>
      <c r="D364" s="9"/>
      <c r="E364" s="10"/>
      <c r="F364" s="8"/>
      <c r="G364" s="8"/>
      <c r="H364" s="9"/>
      <c r="I364" s="10"/>
      <c r="J364" s="8"/>
      <c r="K364" s="10"/>
      <c r="L364" s="10"/>
      <c r="M364" s="10"/>
      <c r="N364" s="10"/>
      <c r="O364" s="10"/>
      <c r="P364" s="8"/>
      <c r="Q364" s="9"/>
    </row>
    <row r="365" spans="2:17" x14ac:dyDescent="0.2">
      <c r="B365" s="7"/>
      <c r="C365" s="8"/>
      <c r="D365" s="9"/>
      <c r="E365" s="10"/>
      <c r="F365" s="8"/>
      <c r="G365" s="8"/>
      <c r="H365" s="9"/>
      <c r="I365" s="10"/>
      <c r="J365" s="8"/>
      <c r="K365" s="10"/>
      <c r="L365" s="10"/>
      <c r="M365" s="10"/>
      <c r="N365" s="10"/>
      <c r="O365" s="10"/>
      <c r="P365" s="8"/>
      <c r="Q365" s="9"/>
    </row>
    <row r="366" spans="2:17" x14ac:dyDescent="0.2">
      <c r="B366" s="7"/>
      <c r="C366" s="8"/>
      <c r="D366" s="9"/>
      <c r="E366" s="10"/>
      <c r="F366" s="8"/>
      <c r="G366" s="8"/>
      <c r="H366" s="9"/>
      <c r="I366" s="10"/>
      <c r="J366" s="8"/>
      <c r="K366" s="10"/>
      <c r="L366" s="10"/>
      <c r="M366" s="10"/>
      <c r="N366" s="10"/>
      <c r="O366" s="10"/>
      <c r="P366" s="8"/>
      <c r="Q366" s="9"/>
    </row>
    <row r="367" spans="2:17" x14ac:dyDescent="0.2">
      <c r="B367" s="7"/>
      <c r="C367" s="8"/>
      <c r="D367" s="9"/>
      <c r="E367" s="10"/>
      <c r="F367" s="8"/>
      <c r="G367" s="8"/>
      <c r="H367" s="9"/>
      <c r="I367" s="10"/>
      <c r="J367" s="8"/>
      <c r="K367" s="10"/>
      <c r="L367" s="10"/>
      <c r="M367" s="10"/>
      <c r="N367" s="10"/>
      <c r="O367" s="10"/>
      <c r="P367" s="8"/>
      <c r="Q367" s="9"/>
    </row>
    <row r="368" spans="2:17" x14ac:dyDescent="0.2">
      <c r="B368" s="7"/>
      <c r="C368" s="8"/>
      <c r="D368" s="9"/>
      <c r="E368" s="10"/>
      <c r="F368" s="8"/>
      <c r="G368" s="8"/>
      <c r="H368" s="9"/>
      <c r="I368" s="10"/>
      <c r="J368" s="8"/>
      <c r="K368" s="10"/>
      <c r="L368" s="10"/>
      <c r="M368" s="10"/>
      <c r="N368" s="10"/>
      <c r="O368" s="10"/>
      <c r="P368" s="8"/>
      <c r="Q368" s="9"/>
    </row>
    <row r="369" spans="2:17" x14ac:dyDescent="0.2">
      <c r="B369" s="7"/>
      <c r="C369" s="8"/>
      <c r="D369" s="9"/>
      <c r="E369" s="10"/>
      <c r="F369" s="8"/>
      <c r="G369" s="8"/>
      <c r="H369" s="9"/>
      <c r="I369" s="10"/>
      <c r="J369" s="8"/>
      <c r="K369" s="10"/>
      <c r="L369" s="10"/>
      <c r="M369" s="10"/>
      <c r="N369" s="10"/>
      <c r="O369" s="10"/>
      <c r="P369" s="8"/>
      <c r="Q369" s="9"/>
    </row>
    <row r="370" spans="2:17" x14ac:dyDescent="0.2">
      <c r="B370" s="7"/>
      <c r="C370" s="8"/>
      <c r="D370" s="9"/>
      <c r="E370" s="10"/>
      <c r="F370" s="8"/>
      <c r="G370" s="8"/>
      <c r="H370" s="9"/>
      <c r="I370" s="10"/>
      <c r="J370" s="8"/>
      <c r="K370" s="10"/>
      <c r="L370" s="10"/>
      <c r="M370" s="10"/>
      <c r="N370" s="10"/>
      <c r="O370" s="10"/>
      <c r="P370" s="8"/>
      <c r="Q370" s="9"/>
    </row>
    <row r="371" spans="2:17" x14ac:dyDescent="0.2">
      <c r="B371" s="7"/>
      <c r="C371" s="8"/>
      <c r="D371" s="9"/>
      <c r="E371" s="10"/>
      <c r="F371" s="8"/>
      <c r="G371" s="8"/>
      <c r="H371" s="9"/>
      <c r="I371" s="10"/>
      <c r="J371" s="8"/>
      <c r="K371" s="10"/>
      <c r="L371" s="10"/>
      <c r="M371" s="10"/>
      <c r="N371" s="10"/>
      <c r="O371" s="10"/>
      <c r="P371" s="8"/>
      <c r="Q371" s="9"/>
    </row>
    <row r="372" spans="2:17" x14ac:dyDescent="0.2">
      <c r="B372" s="7"/>
      <c r="C372" s="8"/>
      <c r="D372" s="9"/>
      <c r="E372" s="10"/>
      <c r="F372" s="8"/>
      <c r="G372" s="8"/>
      <c r="H372" s="9"/>
      <c r="I372" s="10"/>
      <c r="J372" s="8"/>
      <c r="K372" s="10"/>
      <c r="L372" s="10"/>
      <c r="M372" s="10"/>
      <c r="N372" s="10"/>
      <c r="O372" s="10"/>
      <c r="P372" s="8"/>
      <c r="Q372" s="9"/>
    </row>
    <row r="373" spans="2:17" x14ac:dyDescent="0.2">
      <c r="B373" s="7"/>
      <c r="C373" s="8"/>
      <c r="D373" s="9"/>
      <c r="E373" s="10"/>
      <c r="F373" s="8"/>
      <c r="G373" s="8"/>
      <c r="H373" s="9"/>
      <c r="I373" s="10"/>
      <c r="J373" s="8"/>
      <c r="K373" s="10"/>
      <c r="L373" s="10"/>
      <c r="M373" s="10"/>
      <c r="N373" s="10"/>
      <c r="O373" s="10"/>
      <c r="P373" s="8"/>
      <c r="Q373" s="9"/>
    </row>
    <row r="374" spans="2:17" x14ac:dyDescent="0.2">
      <c r="B374" s="7"/>
      <c r="C374" s="8"/>
      <c r="D374" s="9"/>
      <c r="E374" s="10"/>
      <c r="F374" s="8"/>
      <c r="G374" s="8"/>
      <c r="H374" s="9"/>
      <c r="I374" s="10"/>
      <c r="J374" s="8"/>
      <c r="K374" s="10"/>
      <c r="L374" s="10"/>
      <c r="M374" s="10"/>
      <c r="N374" s="10"/>
      <c r="O374" s="10"/>
      <c r="P374" s="8"/>
      <c r="Q374" s="9"/>
    </row>
    <row r="375" spans="2:17" x14ac:dyDescent="0.2">
      <c r="B375" s="7"/>
      <c r="C375" s="8"/>
      <c r="D375" s="9"/>
      <c r="E375" s="10"/>
      <c r="F375" s="8"/>
      <c r="G375" s="8"/>
      <c r="H375" s="9"/>
      <c r="I375" s="10"/>
      <c r="J375" s="8"/>
      <c r="K375" s="10"/>
      <c r="L375" s="10"/>
      <c r="M375" s="10"/>
      <c r="N375" s="10"/>
      <c r="O375" s="10"/>
      <c r="P375" s="8"/>
      <c r="Q375" s="9"/>
    </row>
    <row r="376" spans="2:17" x14ac:dyDescent="0.2">
      <c r="B376" s="7"/>
      <c r="C376" s="8"/>
      <c r="D376" s="9"/>
      <c r="E376" s="10"/>
      <c r="F376" s="8"/>
      <c r="G376" s="8"/>
      <c r="H376" s="9"/>
      <c r="I376" s="10"/>
      <c r="J376" s="8"/>
      <c r="K376" s="10"/>
      <c r="L376" s="10"/>
      <c r="M376" s="10"/>
      <c r="N376" s="10"/>
      <c r="O376" s="10"/>
      <c r="P376" s="8"/>
      <c r="Q376" s="9"/>
    </row>
    <row r="377" spans="2:17" x14ac:dyDescent="0.2">
      <c r="B377" s="7"/>
      <c r="C377" s="8"/>
      <c r="D377" s="9"/>
      <c r="E377" s="10"/>
      <c r="F377" s="8"/>
      <c r="G377" s="8"/>
      <c r="H377" s="9"/>
      <c r="I377" s="10"/>
      <c r="J377" s="8"/>
      <c r="K377" s="10"/>
      <c r="L377" s="10"/>
      <c r="M377" s="10"/>
      <c r="N377" s="10"/>
      <c r="O377" s="10"/>
      <c r="P377" s="8"/>
      <c r="Q377" s="9"/>
    </row>
    <row r="378" spans="2:17" x14ac:dyDescent="0.2">
      <c r="B378" s="7"/>
      <c r="C378" s="8"/>
      <c r="D378" s="9"/>
      <c r="E378" s="10"/>
      <c r="F378" s="8"/>
      <c r="G378" s="8"/>
      <c r="H378" s="9"/>
      <c r="I378" s="10"/>
      <c r="J378" s="8"/>
      <c r="K378" s="10"/>
      <c r="L378" s="10"/>
      <c r="M378" s="10"/>
      <c r="N378" s="10"/>
      <c r="O378" s="10"/>
      <c r="P378" s="8"/>
      <c r="Q378" s="9"/>
    </row>
    <row r="379" spans="2:17" x14ac:dyDescent="0.2">
      <c r="B379" s="7"/>
      <c r="C379" s="8"/>
      <c r="D379" s="9"/>
      <c r="E379" s="10"/>
      <c r="F379" s="8"/>
      <c r="G379" s="8"/>
      <c r="H379" s="9"/>
      <c r="I379" s="10"/>
      <c r="J379" s="8"/>
      <c r="K379" s="10"/>
      <c r="L379" s="10"/>
      <c r="M379" s="10"/>
      <c r="N379" s="10"/>
      <c r="O379" s="10"/>
      <c r="P379" s="8"/>
      <c r="Q379" s="9"/>
    </row>
    <row r="380" spans="2:17" x14ac:dyDescent="0.2">
      <c r="B380" s="7"/>
      <c r="C380" s="8"/>
      <c r="D380" s="9"/>
      <c r="E380" s="10"/>
      <c r="F380" s="8"/>
      <c r="G380" s="8"/>
      <c r="H380" s="9"/>
      <c r="I380" s="10"/>
      <c r="J380" s="8"/>
      <c r="K380" s="10"/>
      <c r="L380" s="10"/>
      <c r="M380" s="10"/>
      <c r="N380" s="10"/>
      <c r="O380" s="10"/>
      <c r="P380" s="8"/>
      <c r="Q380" s="9"/>
    </row>
    <row r="381" spans="2:17" x14ac:dyDescent="0.2">
      <c r="B381" s="7"/>
      <c r="C381" s="8"/>
      <c r="D381" s="9"/>
      <c r="E381" s="10"/>
      <c r="F381" s="8"/>
      <c r="G381" s="8"/>
      <c r="H381" s="9"/>
      <c r="I381" s="10"/>
      <c r="J381" s="8"/>
      <c r="K381" s="10"/>
      <c r="L381" s="10"/>
      <c r="M381" s="10"/>
      <c r="N381" s="10"/>
      <c r="O381" s="10"/>
      <c r="P381" s="8"/>
      <c r="Q381" s="9"/>
    </row>
    <row r="382" spans="2:17" x14ac:dyDescent="0.2">
      <c r="B382" s="7"/>
      <c r="C382" s="8"/>
      <c r="D382" s="9"/>
      <c r="E382" s="10"/>
      <c r="F382" s="8"/>
      <c r="G382" s="8"/>
      <c r="H382" s="9"/>
      <c r="I382" s="10"/>
      <c r="J382" s="8"/>
      <c r="K382" s="10"/>
      <c r="L382" s="10"/>
      <c r="M382" s="10"/>
      <c r="N382" s="10"/>
      <c r="O382" s="10"/>
      <c r="P382" s="8"/>
      <c r="Q382" s="9"/>
    </row>
    <row r="383" spans="2:17" x14ac:dyDescent="0.2">
      <c r="B383" s="7"/>
      <c r="C383" s="8"/>
      <c r="D383" s="9"/>
      <c r="E383" s="10"/>
      <c r="F383" s="8"/>
      <c r="G383" s="8"/>
      <c r="H383" s="9"/>
      <c r="I383" s="10"/>
      <c r="J383" s="8"/>
      <c r="K383" s="10"/>
      <c r="L383" s="10"/>
      <c r="M383" s="10"/>
      <c r="N383" s="10"/>
      <c r="O383" s="10"/>
      <c r="P383" s="8"/>
      <c r="Q383" s="9"/>
    </row>
    <row r="384" spans="2:17" x14ac:dyDescent="0.2">
      <c r="B384" s="7"/>
      <c r="C384" s="8"/>
      <c r="D384" s="9"/>
      <c r="E384" s="10"/>
      <c r="F384" s="8"/>
      <c r="G384" s="8"/>
      <c r="H384" s="9"/>
      <c r="I384" s="10"/>
      <c r="J384" s="8"/>
      <c r="K384" s="10"/>
      <c r="L384" s="10"/>
      <c r="M384" s="10"/>
      <c r="N384" s="10"/>
      <c r="O384" s="10"/>
      <c r="P384" s="8"/>
      <c r="Q384" s="9"/>
    </row>
    <row r="385" spans="2:17" x14ac:dyDescent="0.2">
      <c r="B385" s="7"/>
      <c r="C385" s="8"/>
      <c r="D385" s="9"/>
      <c r="E385" s="10"/>
      <c r="F385" s="8"/>
      <c r="G385" s="8"/>
      <c r="H385" s="9"/>
      <c r="I385" s="10"/>
      <c r="J385" s="8"/>
      <c r="K385" s="10"/>
      <c r="L385" s="10"/>
      <c r="M385" s="10"/>
      <c r="N385" s="10"/>
      <c r="O385" s="10"/>
      <c r="P385" s="8"/>
      <c r="Q385" s="9"/>
    </row>
    <row r="386" spans="2:17" x14ac:dyDescent="0.2">
      <c r="B386" s="7"/>
      <c r="C386" s="8"/>
      <c r="D386" s="9"/>
      <c r="E386" s="10"/>
      <c r="F386" s="8"/>
      <c r="G386" s="8"/>
      <c r="H386" s="9"/>
      <c r="I386" s="10"/>
      <c r="J386" s="8"/>
      <c r="K386" s="10"/>
      <c r="L386" s="10"/>
      <c r="M386" s="10"/>
      <c r="N386" s="10"/>
      <c r="O386" s="10"/>
      <c r="P386" s="8"/>
      <c r="Q386" s="9"/>
    </row>
    <row r="387" spans="2:17" x14ac:dyDescent="0.2">
      <c r="B387" s="7"/>
      <c r="C387" s="8"/>
      <c r="D387" s="9"/>
      <c r="E387" s="10"/>
      <c r="F387" s="8"/>
      <c r="G387" s="8"/>
      <c r="H387" s="9"/>
      <c r="I387" s="10"/>
      <c r="J387" s="8"/>
      <c r="K387" s="10"/>
      <c r="L387" s="10"/>
      <c r="M387" s="10"/>
      <c r="N387" s="10"/>
      <c r="O387" s="10"/>
      <c r="P387" s="8"/>
      <c r="Q387" s="9"/>
    </row>
    <row r="388" spans="2:17" x14ac:dyDescent="0.2">
      <c r="B388" s="7"/>
      <c r="C388" s="8"/>
      <c r="D388" s="9"/>
      <c r="E388" s="10"/>
      <c r="F388" s="8"/>
      <c r="G388" s="8"/>
      <c r="H388" s="9"/>
      <c r="I388" s="10"/>
      <c r="J388" s="8"/>
      <c r="K388" s="10"/>
      <c r="L388" s="10"/>
      <c r="M388" s="10"/>
      <c r="N388" s="10"/>
      <c r="O388" s="10"/>
      <c r="P388" s="8"/>
      <c r="Q388" s="9"/>
    </row>
    <row r="389" spans="2:17" x14ac:dyDescent="0.2">
      <c r="B389" s="7"/>
      <c r="C389" s="8"/>
      <c r="D389" s="9"/>
      <c r="E389" s="10"/>
      <c r="F389" s="8"/>
      <c r="G389" s="8"/>
      <c r="H389" s="9"/>
      <c r="I389" s="10"/>
      <c r="J389" s="8"/>
      <c r="K389" s="10"/>
      <c r="L389" s="10"/>
      <c r="M389" s="10"/>
      <c r="N389" s="10"/>
      <c r="O389" s="10"/>
      <c r="P389" s="8"/>
      <c r="Q389" s="9"/>
    </row>
    <row r="390" spans="2:17" x14ac:dyDescent="0.2">
      <c r="B390" s="7"/>
      <c r="C390" s="8"/>
      <c r="D390" s="9"/>
      <c r="E390" s="10"/>
      <c r="F390" s="8"/>
      <c r="G390" s="8"/>
      <c r="H390" s="9"/>
      <c r="I390" s="10"/>
      <c r="J390" s="8"/>
      <c r="K390" s="10"/>
      <c r="L390" s="10"/>
      <c r="M390" s="10"/>
      <c r="N390" s="10"/>
      <c r="O390" s="10"/>
      <c r="P390" s="8"/>
      <c r="Q390" s="9"/>
    </row>
    <row r="391" spans="2:17" x14ac:dyDescent="0.2">
      <c r="B391" s="7"/>
      <c r="C391" s="8"/>
      <c r="D391" s="9"/>
      <c r="E391" s="10"/>
      <c r="F391" s="8"/>
      <c r="G391" s="8"/>
      <c r="H391" s="9"/>
      <c r="I391" s="10"/>
      <c r="J391" s="8"/>
      <c r="K391" s="10"/>
      <c r="L391" s="10"/>
      <c r="M391" s="10"/>
      <c r="N391" s="10"/>
      <c r="O391" s="10"/>
      <c r="P391" s="8"/>
      <c r="Q391" s="9"/>
    </row>
    <row r="392" spans="2:17" x14ac:dyDescent="0.2">
      <c r="B392" s="7"/>
      <c r="C392" s="8"/>
      <c r="D392" s="9"/>
      <c r="E392" s="10"/>
      <c r="F392" s="8"/>
      <c r="G392" s="8"/>
      <c r="H392" s="9"/>
      <c r="I392" s="10"/>
      <c r="J392" s="8"/>
      <c r="K392" s="10"/>
      <c r="L392" s="10"/>
      <c r="M392" s="10"/>
      <c r="N392" s="10"/>
      <c r="O392" s="10"/>
      <c r="P392" s="8"/>
      <c r="Q392" s="9"/>
    </row>
    <row r="393" spans="2:17" x14ac:dyDescent="0.2">
      <c r="B393" s="7"/>
      <c r="C393" s="8"/>
      <c r="D393" s="9"/>
      <c r="E393" s="10"/>
      <c r="F393" s="8"/>
      <c r="G393" s="8"/>
      <c r="H393" s="9"/>
      <c r="I393" s="10"/>
      <c r="J393" s="8"/>
      <c r="K393" s="10"/>
      <c r="L393" s="10"/>
      <c r="M393" s="10"/>
      <c r="N393" s="10"/>
      <c r="O393" s="10"/>
      <c r="P393" s="8"/>
      <c r="Q393" s="9"/>
    </row>
    <row r="394" spans="2:17" x14ac:dyDescent="0.2">
      <c r="B394" s="7"/>
      <c r="C394" s="8"/>
      <c r="D394" s="9"/>
      <c r="E394" s="10"/>
      <c r="F394" s="8"/>
      <c r="G394" s="8"/>
      <c r="H394" s="9"/>
      <c r="I394" s="10"/>
      <c r="J394" s="8"/>
      <c r="K394" s="10"/>
      <c r="L394" s="10"/>
      <c r="M394" s="10"/>
      <c r="N394" s="10"/>
      <c r="O394" s="10"/>
      <c r="P394" s="8"/>
      <c r="Q394" s="9"/>
    </row>
    <row r="395" spans="2:17" x14ac:dyDescent="0.2">
      <c r="B395" s="7"/>
      <c r="C395" s="8"/>
      <c r="D395" s="9"/>
      <c r="E395" s="10"/>
      <c r="F395" s="8"/>
      <c r="G395" s="8"/>
      <c r="H395" s="9"/>
      <c r="I395" s="10"/>
      <c r="J395" s="8"/>
      <c r="K395" s="10"/>
      <c r="L395" s="10"/>
      <c r="M395" s="10"/>
      <c r="N395" s="10"/>
      <c r="O395" s="10"/>
      <c r="P395" s="8"/>
      <c r="Q395" s="9"/>
    </row>
    <row r="396" spans="2:17" x14ac:dyDescent="0.2">
      <c r="B396" s="7"/>
      <c r="C396" s="8"/>
      <c r="D396" s="9"/>
      <c r="E396" s="10"/>
      <c r="F396" s="8"/>
      <c r="G396" s="8"/>
      <c r="H396" s="9"/>
      <c r="I396" s="10"/>
      <c r="J396" s="8"/>
      <c r="K396" s="10"/>
      <c r="L396" s="10"/>
      <c r="M396" s="10"/>
      <c r="N396" s="10"/>
      <c r="O396" s="10"/>
      <c r="P396" s="8"/>
      <c r="Q396" s="9"/>
    </row>
    <row r="397" spans="2:17" x14ac:dyDescent="0.2">
      <c r="B397" s="7"/>
      <c r="C397" s="8"/>
      <c r="D397" s="9"/>
      <c r="E397" s="10"/>
      <c r="F397" s="8"/>
      <c r="G397" s="8"/>
      <c r="H397" s="9"/>
      <c r="I397" s="10"/>
      <c r="J397" s="8"/>
      <c r="K397" s="10"/>
      <c r="L397" s="10"/>
      <c r="M397" s="10"/>
      <c r="N397" s="10"/>
      <c r="O397" s="10"/>
      <c r="P397" s="8"/>
      <c r="Q397" s="9"/>
    </row>
    <row r="398" spans="2:17" x14ac:dyDescent="0.2">
      <c r="B398" s="7"/>
      <c r="C398" s="8"/>
      <c r="D398" s="9"/>
      <c r="E398" s="10"/>
      <c r="F398" s="8"/>
      <c r="G398" s="8"/>
      <c r="H398" s="9"/>
      <c r="I398" s="10"/>
      <c r="J398" s="8"/>
      <c r="K398" s="10"/>
      <c r="L398" s="10"/>
      <c r="M398" s="10"/>
      <c r="N398" s="10"/>
      <c r="O398" s="10"/>
      <c r="P398" s="8"/>
      <c r="Q398" s="9"/>
    </row>
    <row r="399" spans="2:17" x14ac:dyDescent="0.2">
      <c r="B399" s="7"/>
      <c r="C399" s="8"/>
      <c r="D399" s="9"/>
      <c r="E399" s="10"/>
      <c r="F399" s="8"/>
      <c r="G399" s="8"/>
      <c r="H399" s="9"/>
      <c r="I399" s="10"/>
      <c r="J399" s="8"/>
      <c r="K399" s="10"/>
      <c r="L399" s="10"/>
      <c r="M399" s="10"/>
      <c r="N399" s="10"/>
      <c r="O399" s="10"/>
      <c r="P399" s="8"/>
      <c r="Q399" s="9"/>
    </row>
    <row r="400" spans="2:17" x14ac:dyDescent="0.2">
      <c r="B400" s="7"/>
      <c r="C400" s="8"/>
      <c r="D400" s="9"/>
      <c r="E400" s="10"/>
      <c r="F400" s="8"/>
      <c r="G400" s="8"/>
      <c r="H400" s="9"/>
      <c r="I400" s="10"/>
      <c r="J400" s="8"/>
      <c r="K400" s="10"/>
      <c r="L400" s="10"/>
      <c r="M400" s="10"/>
      <c r="N400" s="10"/>
      <c r="O400" s="10"/>
      <c r="P400" s="8"/>
      <c r="Q400" s="9"/>
    </row>
    <row r="401" spans="2:17" x14ac:dyDescent="0.2">
      <c r="B401" s="7"/>
      <c r="C401" s="8"/>
      <c r="D401" s="9"/>
      <c r="E401" s="10"/>
      <c r="F401" s="8"/>
      <c r="G401" s="8"/>
      <c r="H401" s="9"/>
      <c r="I401" s="10"/>
      <c r="J401" s="8"/>
      <c r="K401" s="10"/>
      <c r="L401" s="10"/>
      <c r="M401" s="10"/>
      <c r="N401" s="10"/>
      <c r="O401" s="10"/>
      <c r="P401" s="8"/>
      <c r="Q401" s="9"/>
    </row>
    <row r="402" spans="2:17" x14ac:dyDescent="0.2">
      <c r="B402" s="7"/>
      <c r="C402" s="8"/>
      <c r="D402" s="9"/>
      <c r="E402" s="10"/>
      <c r="F402" s="8"/>
      <c r="G402" s="8"/>
      <c r="H402" s="9"/>
      <c r="I402" s="10"/>
      <c r="J402" s="8"/>
      <c r="K402" s="10"/>
      <c r="L402" s="10"/>
      <c r="M402" s="10"/>
      <c r="N402" s="10"/>
      <c r="O402" s="10"/>
      <c r="P402" s="8"/>
      <c r="Q402" s="9"/>
    </row>
    <row r="403" spans="2:17" x14ac:dyDescent="0.2">
      <c r="B403" s="7"/>
      <c r="C403" s="8"/>
      <c r="D403" s="9"/>
      <c r="E403" s="10"/>
      <c r="F403" s="8"/>
      <c r="G403" s="8"/>
      <c r="H403" s="9"/>
      <c r="I403" s="10"/>
      <c r="J403" s="8"/>
      <c r="K403" s="10"/>
      <c r="L403" s="10"/>
      <c r="M403" s="10"/>
      <c r="N403" s="10"/>
      <c r="O403" s="10"/>
      <c r="P403" s="8"/>
      <c r="Q403" s="9"/>
    </row>
    <row r="404" spans="2:17" x14ac:dyDescent="0.2">
      <c r="B404" s="7"/>
      <c r="C404" s="8"/>
      <c r="D404" s="9"/>
      <c r="E404" s="10"/>
      <c r="F404" s="8"/>
      <c r="G404" s="8"/>
      <c r="H404" s="9"/>
      <c r="I404" s="10"/>
      <c r="J404" s="8"/>
      <c r="K404" s="10"/>
      <c r="L404" s="10"/>
      <c r="M404" s="10"/>
      <c r="N404" s="10"/>
      <c r="O404" s="10"/>
      <c r="P404" s="8"/>
      <c r="Q404" s="9"/>
    </row>
    <row r="405" spans="2:17" x14ac:dyDescent="0.2">
      <c r="B405" s="7"/>
      <c r="C405" s="8"/>
      <c r="D405" s="9"/>
      <c r="E405" s="10"/>
      <c r="F405" s="8"/>
      <c r="G405" s="8"/>
      <c r="H405" s="9"/>
      <c r="I405" s="10"/>
      <c r="J405" s="8"/>
      <c r="K405" s="10"/>
      <c r="L405" s="10"/>
      <c r="M405" s="10"/>
      <c r="N405" s="10"/>
      <c r="O405" s="10"/>
      <c r="P405" s="8"/>
      <c r="Q405" s="9"/>
    </row>
    <row r="406" spans="2:17" x14ac:dyDescent="0.2">
      <c r="B406" s="7"/>
      <c r="C406" s="8"/>
      <c r="D406" s="9"/>
      <c r="E406" s="10"/>
      <c r="F406" s="8"/>
      <c r="G406" s="8"/>
      <c r="H406" s="9"/>
      <c r="I406" s="10"/>
      <c r="J406" s="8"/>
      <c r="K406" s="10"/>
      <c r="L406" s="10"/>
      <c r="M406" s="10"/>
      <c r="N406" s="10"/>
      <c r="O406" s="10"/>
      <c r="P406" s="8"/>
      <c r="Q406" s="9"/>
    </row>
    <row r="407" spans="2:17" x14ac:dyDescent="0.2">
      <c r="B407" s="7"/>
      <c r="C407" s="8"/>
      <c r="D407" s="9"/>
      <c r="E407" s="10"/>
      <c r="F407" s="8"/>
      <c r="G407" s="8"/>
      <c r="H407" s="9"/>
      <c r="I407" s="10"/>
      <c r="J407" s="8"/>
      <c r="K407" s="10"/>
      <c r="L407" s="10"/>
      <c r="M407" s="10"/>
      <c r="N407" s="10"/>
      <c r="O407" s="10"/>
      <c r="P407" s="8"/>
      <c r="Q407" s="9"/>
    </row>
    <row r="408" spans="2:17" x14ac:dyDescent="0.2">
      <c r="B408" s="7"/>
      <c r="C408" s="8"/>
      <c r="D408" s="9"/>
      <c r="E408" s="10"/>
      <c r="F408" s="8"/>
      <c r="G408" s="8"/>
      <c r="H408" s="9"/>
      <c r="I408" s="10"/>
      <c r="J408" s="8"/>
      <c r="K408" s="10"/>
      <c r="L408" s="10"/>
      <c r="M408" s="10"/>
      <c r="N408" s="10"/>
      <c r="O408" s="10"/>
      <c r="P408" s="8"/>
      <c r="Q408" s="9"/>
    </row>
    <row r="409" spans="2:17" x14ac:dyDescent="0.2">
      <c r="B409" s="7"/>
      <c r="C409" s="8"/>
      <c r="D409" s="9"/>
      <c r="E409" s="10"/>
      <c r="F409" s="8"/>
      <c r="G409" s="8"/>
      <c r="H409" s="9"/>
      <c r="I409" s="10"/>
      <c r="J409" s="8"/>
      <c r="K409" s="10"/>
      <c r="L409" s="10"/>
      <c r="M409" s="10"/>
      <c r="N409" s="10"/>
      <c r="O409" s="10"/>
      <c r="P409" s="8"/>
      <c r="Q409" s="9"/>
    </row>
    <row r="410" spans="2:17" x14ac:dyDescent="0.2">
      <c r="B410" s="7"/>
      <c r="C410" s="8"/>
      <c r="D410" s="9"/>
      <c r="E410" s="10"/>
      <c r="F410" s="8"/>
      <c r="G410" s="8"/>
      <c r="H410" s="9"/>
      <c r="I410" s="10"/>
      <c r="J410" s="8"/>
      <c r="K410" s="10"/>
      <c r="L410" s="10"/>
      <c r="M410" s="10"/>
      <c r="N410" s="10"/>
      <c r="O410" s="10"/>
      <c r="P410" s="8"/>
      <c r="Q410" s="9"/>
    </row>
    <row r="411" spans="2:17" x14ac:dyDescent="0.2">
      <c r="B411" s="7"/>
      <c r="C411" s="8"/>
      <c r="D411" s="9"/>
      <c r="E411" s="10"/>
      <c r="F411" s="8"/>
      <c r="G411" s="8"/>
      <c r="H411" s="9"/>
      <c r="I411" s="10"/>
      <c r="J411" s="8"/>
      <c r="K411" s="10"/>
      <c r="L411" s="10"/>
      <c r="M411" s="10"/>
      <c r="N411" s="10"/>
      <c r="O411" s="10"/>
      <c r="P411" s="8"/>
      <c r="Q411" s="9"/>
    </row>
    <row r="412" spans="2:17" x14ac:dyDescent="0.2">
      <c r="B412" s="7"/>
      <c r="C412" s="8"/>
      <c r="D412" s="9"/>
      <c r="E412" s="10"/>
      <c r="F412" s="8"/>
      <c r="G412" s="8"/>
      <c r="H412" s="9"/>
      <c r="I412" s="10"/>
      <c r="J412" s="8"/>
      <c r="K412" s="10"/>
      <c r="L412" s="10"/>
      <c r="M412" s="10"/>
      <c r="N412" s="10"/>
      <c r="O412" s="10"/>
      <c r="P412" s="8"/>
      <c r="Q412" s="9"/>
    </row>
    <row r="413" spans="2:17" x14ac:dyDescent="0.2">
      <c r="B413" s="7"/>
      <c r="C413" s="8"/>
      <c r="D413" s="9"/>
      <c r="E413" s="10"/>
      <c r="F413" s="8"/>
      <c r="G413" s="8"/>
      <c r="H413" s="9"/>
      <c r="I413" s="10"/>
      <c r="J413" s="8"/>
      <c r="K413" s="10"/>
      <c r="L413" s="10"/>
      <c r="M413" s="10"/>
      <c r="N413" s="10"/>
      <c r="O413" s="10"/>
      <c r="P413" s="8"/>
      <c r="Q413" s="9"/>
    </row>
    <row r="414" spans="2:17" x14ac:dyDescent="0.2">
      <c r="B414" s="7"/>
      <c r="C414" s="8"/>
      <c r="D414" s="9"/>
      <c r="E414" s="10"/>
      <c r="F414" s="8"/>
      <c r="G414" s="8"/>
      <c r="H414" s="9"/>
      <c r="I414" s="10"/>
      <c r="J414" s="8"/>
      <c r="K414" s="10"/>
      <c r="L414" s="10"/>
      <c r="M414" s="10"/>
      <c r="N414" s="10"/>
      <c r="O414" s="10"/>
      <c r="P414" s="8"/>
      <c r="Q414" s="9"/>
    </row>
    <row r="415" spans="2:17" x14ac:dyDescent="0.2">
      <c r="B415" s="7"/>
      <c r="C415" s="8"/>
      <c r="D415" s="9"/>
      <c r="E415" s="10"/>
      <c r="F415" s="8"/>
      <c r="G415" s="8"/>
      <c r="H415" s="9"/>
      <c r="I415" s="10"/>
      <c r="J415" s="8"/>
      <c r="K415" s="10"/>
      <c r="L415" s="10"/>
      <c r="M415" s="10"/>
      <c r="N415" s="10"/>
      <c r="O415" s="10"/>
      <c r="P415" s="8"/>
      <c r="Q415" s="9"/>
    </row>
    <row r="416" spans="2:17" x14ac:dyDescent="0.2">
      <c r="B416" s="7"/>
      <c r="C416" s="8"/>
      <c r="D416" s="9"/>
      <c r="E416" s="10"/>
      <c r="F416" s="8"/>
      <c r="G416" s="8"/>
      <c r="H416" s="9"/>
      <c r="I416" s="10"/>
      <c r="J416" s="8"/>
      <c r="K416" s="10"/>
      <c r="L416" s="10"/>
      <c r="M416" s="10"/>
      <c r="N416" s="10"/>
      <c r="O416" s="10"/>
      <c r="P416" s="8"/>
      <c r="Q416" s="9"/>
    </row>
    <row r="417" spans="2:17" x14ac:dyDescent="0.2">
      <c r="B417" s="7"/>
      <c r="C417" s="8"/>
      <c r="D417" s="9"/>
      <c r="E417" s="10"/>
      <c r="F417" s="8"/>
      <c r="G417" s="8"/>
      <c r="H417" s="9"/>
      <c r="I417" s="10"/>
      <c r="J417" s="8"/>
      <c r="K417" s="10"/>
      <c r="L417" s="10"/>
      <c r="M417" s="10"/>
      <c r="N417" s="10"/>
      <c r="O417" s="10"/>
      <c r="P417" s="8"/>
      <c r="Q417" s="9"/>
    </row>
    <row r="418" spans="2:17" x14ac:dyDescent="0.2">
      <c r="B418" s="7"/>
      <c r="C418" s="8"/>
      <c r="D418" s="9"/>
      <c r="E418" s="10"/>
      <c r="F418" s="8"/>
      <c r="G418" s="8"/>
      <c r="H418" s="9"/>
      <c r="I418" s="10"/>
      <c r="J418" s="8"/>
      <c r="K418" s="10"/>
      <c r="L418" s="10"/>
      <c r="M418" s="10"/>
      <c r="N418" s="10"/>
      <c r="O418" s="10"/>
      <c r="P418" s="8"/>
      <c r="Q418" s="9"/>
    </row>
    <row r="419" spans="2:17" x14ac:dyDescent="0.2">
      <c r="B419" s="7"/>
      <c r="C419" s="8"/>
      <c r="D419" s="9"/>
      <c r="E419" s="10"/>
      <c r="F419" s="8"/>
      <c r="G419" s="8"/>
      <c r="H419" s="9"/>
      <c r="I419" s="10"/>
      <c r="J419" s="8"/>
      <c r="K419" s="10"/>
      <c r="L419" s="10"/>
      <c r="M419" s="10"/>
      <c r="N419" s="10"/>
      <c r="O419" s="10"/>
      <c r="P419" s="8"/>
      <c r="Q419" s="9"/>
    </row>
    <row r="420" spans="2:17" x14ac:dyDescent="0.2">
      <c r="B420" s="7"/>
      <c r="C420" s="8"/>
      <c r="D420" s="9"/>
      <c r="E420" s="10"/>
      <c r="F420" s="8"/>
      <c r="G420" s="8"/>
      <c r="H420" s="9"/>
      <c r="I420" s="10"/>
      <c r="J420" s="8"/>
      <c r="K420" s="10"/>
      <c r="L420" s="10"/>
      <c r="M420" s="10"/>
      <c r="N420" s="10"/>
      <c r="O420" s="10"/>
      <c r="P420" s="8"/>
      <c r="Q420" s="9"/>
    </row>
    <row r="421" spans="2:17" x14ac:dyDescent="0.2">
      <c r="B421" s="7"/>
      <c r="C421" s="8"/>
      <c r="D421" s="9"/>
      <c r="E421" s="10"/>
      <c r="F421" s="8"/>
      <c r="G421" s="8"/>
      <c r="H421" s="9"/>
      <c r="I421" s="10"/>
      <c r="J421" s="8"/>
      <c r="K421" s="10"/>
      <c r="L421" s="10"/>
      <c r="M421" s="10"/>
      <c r="N421" s="10"/>
      <c r="O421" s="10"/>
      <c r="P421" s="8"/>
      <c r="Q421" s="9"/>
    </row>
    <row r="422" spans="2:17" x14ac:dyDescent="0.2">
      <c r="B422" s="7"/>
      <c r="C422" s="8"/>
      <c r="D422" s="9"/>
      <c r="E422" s="10"/>
      <c r="F422" s="8"/>
      <c r="G422" s="8"/>
      <c r="H422" s="9"/>
      <c r="I422" s="10"/>
      <c r="J422" s="8"/>
      <c r="K422" s="10"/>
      <c r="L422" s="10"/>
      <c r="M422" s="10"/>
      <c r="N422" s="10"/>
      <c r="O422" s="10"/>
      <c r="P422" s="8"/>
      <c r="Q422" s="9"/>
    </row>
    <row r="423" spans="2:17" x14ac:dyDescent="0.2">
      <c r="B423" s="7"/>
      <c r="C423" s="8"/>
      <c r="D423" s="9"/>
      <c r="E423" s="10"/>
      <c r="F423" s="8"/>
      <c r="G423" s="8"/>
      <c r="H423" s="9"/>
      <c r="I423" s="10"/>
      <c r="J423" s="8"/>
      <c r="K423" s="10"/>
      <c r="L423" s="10"/>
      <c r="M423" s="10"/>
      <c r="N423" s="10"/>
      <c r="O423" s="10"/>
      <c r="P423" s="8"/>
      <c r="Q423" s="9"/>
    </row>
    <row r="424" spans="2:17" x14ac:dyDescent="0.2">
      <c r="B424" s="7"/>
      <c r="C424" s="8"/>
      <c r="D424" s="9"/>
      <c r="E424" s="10"/>
      <c r="F424" s="8"/>
      <c r="G424" s="8"/>
      <c r="H424" s="9"/>
      <c r="I424" s="10"/>
      <c r="J424" s="8"/>
      <c r="K424" s="10"/>
      <c r="L424" s="10"/>
      <c r="M424" s="10"/>
      <c r="N424" s="10"/>
      <c r="O424" s="10"/>
      <c r="P424" s="8"/>
      <c r="Q424" s="9"/>
    </row>
    <row r="425" spans="2:17" x14ac:dyDescent="0.2">
      <c r="B425" s="7"/>
      <c r="C425" s="8"/>
      <c r="D425" s="9"/>
      <c r="E425" s="10"/>
      <c r="F425" s="8"/>
      <c r="G425" s="8"/>
      <c r="H425" s="9"/>
      <c r="I425" s="10"/>
      <c r="J425" s="8"/>
      <c r="K425" s="10"/>
      <c r="L425" s="10"/>
      <c r="M425" s="10"/>
      <c r="N425" s="10"/>
      <c r="O425" s="10"/>
      <c r="P425" s="8"/>
      <c r="Q425" s="9"/>
    </row>
    <row r="426" spans="2:17" x14ac:dyDescent="0.2">
      <c r="B426" s="7"/>
      <c r="C426" s="8"/>
      <c r="D426" s="9"/>
      <c r="E426" s="10"/>
      <c r="F426" s="8"/>
      <c r="G426" s="8"/>
      <c r="H426" s="9"/>
      <c r="I426" s="10"/>
      <c r="J426" s="8"/>
      <c r="K426" s="10"/>
      <c r="L426" s="10"/>
      <c r="M426" s="10"/>
      <c r="N426" s="10"/>
      <c r="O426" s="10"/>
      <c r="P426" s="8"/>
      <c r="Q426" s="9"/>
    </row>
    <row r="427" spans="2:17" x14ac:dyDescent="0.2">
      <c r="B427" s="7"/>
      <c r="C427" s="8"/>
      <c r="D427" s="9"/>
      <c r="E427" s="10"/>
      <c r="F427" s="8"/>
      <c r="G427" s="8"/>
      <c r="H427" s="9"/>
      <c r="I427" s="10"/>
      <c r="J427" s="8"/>
      <c r="K427" s="10"/>
      <c r="L427" s="10"/>
      <c r="M427" s="10"/>
      <c r="N427" s="10"/>
      <c r="O427" s="10"/>
      <c r="P427" s="8"/>
      <c r="Q427" s="9"/>
    </row>
    <row r="428" spans="2:17" x14ac:dyDescent="0.2">
      <c r="B428" s="7"/>
      <c r="C428" s="8"/>
      <c r="D428" s="9"/>
      <c r="E428" s="10"/>
      <c r="F428" s="8"/>
      <c r="G428" s="8"/>
      <c r="H428" s="9"/>
      <c r="I428" s="10"/>
      <c r="J428" s="8"/>
      <c r="K428" s="10"/>
      <c r="L428" s="10"/>
      <c r="M428" s="10"/>
      <c r="N428" s="10"/>
      <c r="O428" s="10"/>
      <c r="P428" s="8"/>
      <c r="Q428" s="9"/>
    </row>
    <row r="429" spans="2:17" x14ac:dyDescent="0.2">
      <c r="B429" s="7"/>
      <c r="C429" s="8"/>
      <c r="D429" s="9"/>
      <c r="E429" s="10"/>
      <c r="F429" s="8"/>
      <c r="G429" s="8"/>
      <c r="H429" s="9"/>
      <c r="I429" s="10"/>
      <c r="J429" s="8"/>
      <c r="K429" s="10"/>
      <c r="L429" s="10"/>
      <c r="M429" s="10"/>
      <c r="N429" s="10"/>
      <c r="O429" s="10"/>
      <c r="P429" s="8"/>
      <c r="Q429" s="9"/>
    </row>
    <row r="430" spans="2:17" x14ac:dyDescent="0.2">
      <c r="B430" s="7"/>
      <c r="C430" s="8"/>
      <c r="D430" s="9"/>
      <c r="E430" s="10"/>
      <c r="F430" s="8"/>
      <c r="G430" s="8"/>
      <c r="H430" s="9"/>
      <c r="I430" s="10"/>
      <c r="J430" s="8"/>
      <c r="K430" s="10"/>
      <c r="L430" s="10"/>
      <c r="M430" s="10"/>
      <c r="N430" s="10"/>
      <c r="O430" s="10"/>
      <c r="P430" s="8"/>
      <c r="Q430" s="9"/>
    </row>
    <row r="431" spans="2:17" x14ac:dyDescent="0.2">
      <c r="B431" s="7"/>
      <c r="C431" s="8"/>
      <c r="D431" s="9"/>
      <c r="E431" s="10"/>
      <c r="F431" s="8"/>
      <c r="G431" s="8"/>
      <c r="H431" s="9"/>
      <c r="I431" s="10"/>
      <c r="J431" s="8"/>
      <c r="K431" s="10"/>
      <c r="L431" s="10"/>
      <c r="M431" s="10"/>
      <c r="N431" s="10"/>
      <c r="O431" s="10"/>
      <c r="P431" s="8"/>
      <c r="Q431" s="9"/>
    </row>
    <row r="432" spans="2:17" x14ac:dyDescent="0.2">
      <c r="B432" s="7"/>
      <c r="C432" s="8"/>
      <c r="D432" s="9"/>
      <c r="E432" s="10"/>
      <c r="F432" s="8"/>
      <c r="G432" s="8"/>
      <c r="H432" s="9"/>
      <c r="I432" s="10"/>
      <c r="J432" s="8"/>
      <c r="K432" s="10"/>
      <c r="L432" s="10"/>
      <c r="M432" s="10"/>
      <c r="N432" s="10"/>
      <c r="O432" s="10"/>
      <c r="P432" s="8"/>
      <c r="Q432" s="9"/>
    </row>
    <row r="433" spans="2:17" x14ac:dyDescent="0.2">
      <c r="B433" s="7"/>
      <c r="C433" s="8"/>
      <c r="D433" s="9"/>
      <c r="E433" s="10"/>
      <c r="F433" s="8"/>
      <c r="G433" s="8"/>
      <c r="H433" s="9"/>
      <c r="I433" s="10"/>
      <c r="J433" s="8"/>
      <c r="K433" s="10"/>
      <c r="L433" s="10"/>
      <c r="M433" s="10"/>
      <c r="N433" s="10"/>
      <c r="O433" s="10"/>
      <c r="P433" s="8"/>
      <c r="Q433" s="9"/>
    </row>
    <row r="434" spans="2:17" x14ac:dyDescent="0.2">
      <c r="B434" s="7"/>
      <c r="C434" s="8"/>
      <c r="D434" s="9"/>
      <c r="E434" s="10"/>
      <c r="F434" s="8"/>
      <c r="G434" s="8"/>
      <c r="H434" s="9"/>
      <c r="I434" s="10"/>
      <c r="J434" s="8"/>
      <c r="K434" s="10"/>
      <c r="L434" s="10"/>
      <c r="M434" s="10"/>
      <c r="N434" s="10"/>
      <c r="O434" s="10"/>
      <c r="P434" s="8"/>
      <c r="Q434" s="9"/>
    </row>
    <row r="435" spans="2:17" x14ac:dyDescent="0.2">
      <c r="B435" s="7"/>
      <c r="C435" s="8"/>
      <c r="D435" s="9"/>
      <c r="E435" s="10"/>
      <c r="F435" s="8"/>
      <c r="G435" s="8"/>
      <c r="H435" s="9"/>
      <c r="I435" s="10"/>
      <c r="J435" s="8"/>
      <c r="K435" s="10"/>
      <c r="L435" s="10"/>
      <c r="M435" s="10"/>
      <c r="N435" s="10"/>
      <c r="O435" s="10"/>
      <c r="P435" s="8"/>
      <c r="Q435" s="9"/>
    </row>
    <row r="436" spans="2:17" x14ac:dyDescent="0.2">
      <c r="B436" s="7"/>
      <c r="C436" s="8"/>
      <c r="D436" s="9"/>
      <c r="E436" s="10"/>
      <c r="F436" s="8"/>
      <c r="G436" s="8"/>
      <c r="H436" s="9"/>
      <c r="I436" s="10"/>
      <c r="J436" s="8"/>
      <c r="K436" s="10"/>
      <c r="L436" s="10"/>
      <c r="M436" s="10"/>
      <c r="N436" s="10"/>
      <c r="O436" s="10"/>
      <c r="P436" s="8"/>
      <c r="Q436" s="9"/>
    </row>
    <row r="437" spans="2:17" x14ac:dyDescent="0.2">
      <c r="B437" s="7"/>
      <c r="C437" s="8"/>
      <c r="D437" s="9"/>
      <c r="E437" s="10"/>
      <c r="F437" s="8"/>
      <c r="G437" s="8"/>
      <c r="H437" s="9"/>
      <c r="I437" s="10"/>
      <c r="J437" s="8"/>
      <c r="K437" s="10"/>
      <c r="L437" s="10"/>
      <c r="M437" s="10"/>
      <c r="N437" s="10"/>
      <c r="O437" s="10"/>
      <c r="P437" s="8"/>
      <c r="Q437" s="9"/>
    </row>
    <row r="438" spans="2:17" x14ac:dyDescent="0.2">
      <c r="B438" s="7"/>
      <c r="C438" s="8"/>
      <c r="D438" s="9"/>
      <c r="E438" s="10"/>
      <c r="F438" s="8"/>
      <c r="G438" s="8"/>
      <c r="H438" s="9"/>
      <c r="I438" s="10"/>
      <c r="J438" s="8"/>
      <c r="K438" s="10"/>
      <c r="L438" s="10"/>
      <c r="M438" s="10"/>
      <c r="N438" s="10"/>
      <c r="O438" s="10"/>
      <c r="P438" s="8"/>
      <c r="Q438" s="9"/>
    </row>
    <row r="439" spans="2:17" x14ac:dyDescent="0.2">
      <c r="B439" s="7"/>
      <c r="C439" s="8"/>
      <c r="D439" s="9"/>
      <c r="E439" s="10"/>
      <c r="F439" s="8"/>
      <c r="G439" s="8"/>
      <c r="H439" s="9"/>
      <c r="I439" s="10"/>
      <c r="J439" s="8"/>
      <c r="K439" s="10"/>
      <c r="L439" s="10"/>
      <c r="M439" s="10"/>
      <c r="N439" s="10"/>
      <c r="O439" s="10"/>
      <c r="P439" s="8"/>
      <c r="Q439" s="9"/>
    </row>
    <row r="440" spans="2:17" x14ac:dyDescent="0.2">
      <c r="B440" s="7"/>
      <c r="C440" s="8"/>
      <c r="D440" s="9"/>
      <c r="E440" s="10"/>
      <c r="F440" s="8"/>
      <c r="G440" s="8"/>
      <c r="H440" s="9"/>
      <c r="I440" s="10"/>
      <c r="J440" s="8"/>
      <c r="K440" s="10"/>
      <c r="L440" s="10"/>
      <c r="M440" s="10"/>
      <c r="N440" s="10"/>
      <c r="O440" s="10"/>
      <c r="P440" s="8"/>
      <c r="Q440" s="9"/>
    </row>
    <row r="441" spans="2:17" x14ac:dyDescent="0.2">
      <c r="B441" s="7"/>
      <c r="C441" s="8"/>
      <c r="D441" s="9"/>
      <c r="E441" s="10"/>
      <c r="F441" s="8"/>
      <c r="G441" s="8"/>
      <c r="H441" s="9"/>
      <c r="I441" s="10"/>
      <c r="J441" s="8"/>
      <c r="K441" s="10"/>
      <c r="L441" s="10"/>
      <c r="M441" s="10"/>
      <c r="N441" s="10"/>
      <c r="O441" s="10"/>
      <c r="P441" s="8"/>
      <c r="Q441" s="9"/>
    </row>
    <row r="442" spans="2:17" x14ac:dyDescent="0.2">
      <c r="B442" s="7"/>
      <c r="C442" s="8"/>
      <c r="D442" s="9"/>
      <c r="E442" s="10"/>
      <c r="F442" s="8"/>
      <c r="G442" s="8"/>
      <c r="H442" s="9"/>
      <c r="I442" s="10"/>
      <c r="J442" s="8"/>
      <c r="K442" s="10"/>
      <c r="L442" s="10"/>
      <c r="M442" s="10"/>
      <c r="N442" s="10"/>
      <c r="O442" s="10"/>
      <c r="P442" s="8"/>
      <c r="Q442" s="9"/>
    </row>
    <row r="443" spans="2:17" x14ac:dyDescent="0.2">
      <c r="B443" s="7"/>
      <c r="C443" s="8"/>
      <c r="D443" s="9"/>
      <c r="E443" s="10"/>
      <c r="F443" s="8"/>
      <c r="G443" s="8"/>
      <c r="H443" s="9"/>
      <c r="I443" s="10"/>
      <c r="J443" s="8"/>
      <c r="K443" s="10"/>
      <c r="L443" s="10"/>
      <c r="M443" s="10"/>
      <c r="N443" s="10"/>
      <c r="O443" s="10"/>
      <c r="P443" s="8"/>
      <c r="Q443" s="9"/>
    </row>
    <row r="444" spans="2:17" x14ac:dyDescent="0.2">
      <c r="B444" s="7"/>
      <c r="C444" s="8"/>
      <c r="D444" s="9"/>
      <c r="E444" s="10"/>
      <c r="F444" s="8"/>
      <c r="G444" s="8"/>
      <c r="H444" s="9"/>
      <c r="I444" s="10"/>
      <c r="J444" s="8"/>
      <c r="K444" s="10"/>
      <c r="L444" s="10"/>
      <c r="M444" s="10"/>
      <c r="N444" s="10"/>
      <c r="O444" s="10"/>
      <c r="P444" s="8"/>
      <c r="Q444" s="9"/>
    </row>
    <row r="445" spans="2:17" x14ac:dyDescent="0.2">
      <c r="B445" s="7"/>
      <c r="C445" s="8"/>
      <c r="D445" s="9"/>
      <c r="E445" s="10"/>
      <c r="F445" s="8"/>
      <c r="G445" s="8"/>
      <c r="H445" s="9"/>
      <c r="I445" s="10"/>
      <c r="J445" s="8"/>
      <c r="K445" s="10"/>
      <c r="L445" s="10"/>
      <c r="M445" s="10"/>
      <c r="N445" s="10"/>
      <c r="O445" s="10"/>
      <c r="P445" s="8"/>
      <c r="Q445" s="9"/>
    </row>
    <row r="446" spans="2:17" x14ac:dyDescent="0.2">
      <c r="B446" s="7"/>
      <c r="C446" s="8"/>
      <c r="D446" s="9"/>
      <c r="E446" s="10"/>
      <c r="F446" s="8"/>
      <c r="G446" s="8"/>
      <c r="H446" s="9"/>
      <c r="I446" s="10"/>
      <c r="J446" s="8"/>
      <c r="K446" s="10"/>
      <c r="L446" s="10"/>
      <c r="M446" s="10"/>
      <c r="N446" s="10"/>
      <c r="O446" s="10"/>
      <c r="P446" s="8"/>
      <c r="Q446" s="9"/>
    </row>
    <row r="447" spans="2:17" x14ac:dyDescent="0.2">
      <c r="B447" s="7"/>
      <c r="C447" s="8"/>
      <c r="D447" s="9"/>
      <c r="E447" s="10"/>
      <c r="F447" s="8"/>
      <c r="G447" s="8"/>
      <c r="H447" s="9"/>
      <c r="I447" s="10"/>
      <c r="J447" s="8"/>
      <c r="K447" s="10"/>
      <c r="L447" s="10"/>
      <c r="M447" s="10"/>
      <c r="N447" s="10"/>
      <c r="O447" s="10"/>
      <c r="P447" s="8"/>
      <c r="Q447" s="9"/>
    </row>
    <row r="448" spans="2:17" x14ac:dyDescent="0.2">
      <c r="B448" s="7"/>
      <c r="C448" s="8"/>
      <c r="D448" s="9"/>
      <c r="E448" s="10"/>
      <c r="F448" s="8"/>
      <c r="G448" s="8"/>
      <c r="H448" s="9"/>
      <c r="I448" s="10"/>
      <c r="J448" s="8"/>
      <c r="K448" s="10"/>
      <c r="L448" s="10"/>
      <c r="M448" s="10"/>
      <c r="N448" s="10"/>
      <c r="O448" s="10"/>
      <c r="P448" s="8"/>
      <c r="Q448" s="9"/>
    </row>
    <row r="449" spans="2:17" x14ac:dyDescent="0.2">
      <c r="B449" s="7"/>
      <c r="C449" s="8"/>
      <c r="D449" s="9"/>
      <c r="E449" s="10"/>
      <c r="F449" s="8"/>
      <c r="G449" s="8"/>
      <c r="H449" s="9"/>
      <c r="I449" s="10"/>
      <c r="J449" s="8"/>
      <c r="K449" s="10"/>
      <c r="L449" s="10"/>
      <c r="M449" s="10"/>
      <c r="N449" s="10"/>
      <c r="O449" s="10"/>
      <c r="P449" s="8"/>
      <c r="Q449" s="9"/>
    </row>
    <row r="450" spans="2:17" x14ac:dyDescent="0.2">
      <c r="B450" s="7"/>
      <c r="C450" s="8"/>
      <c r="D450" s="9"/>
      <c r="E450" s="10"/>
      <c r="F450" s="8"/>
      <c r="G450" s="8"/>
      <c r="H450" s="9"/>
      <c r="I450" s="10"/>
      <c r="J450" s="8"/>
      <c r="K450" s="10"/>
      <c r="L450" s="10"/>
      <c r="M450" s="10"/>
      <c r="N450" s="10"/>
      <c r="O450" s="10"/>
      <c r="P450" s="8"/>
      <c r="Q450" s="9"/>
    </row>
    <row r="451" spans="2:17" x14ac:dyDescent="0.2">
      <c r="B451" s="7"/>
      <c r="C451" s="8"/>
      <c r="D451" s="9"/>
      <c r="E451" s="10"/>
      <c r="F451" s="8"/>
      <c r="G451" s="8"/>
      <c r="H451" s="9"/>
      <c r="I451" s="10"/>
      <c r="J451" s="8"/>
      <c r="K451" s="10"/>
      <c r="L451" s="10"/>
      <c r="M451" s="10"/>
      <c r="N451" s="10"/>
      <c r="O451" s="10"/>
      <c r="P451" s="8"/>
      <c r="Q451" s="9"/>
    </row>
    <row r="452" spans="2:17" x14ac:dyDescent="0.2">
      <c r="B452" s="7"/>
      <c r="C452" s="8"/>
      <c r="D452" s="9"/>
      <c r="E452" s="10"/>
      <c r="F452" s="8"/>
      <c r="G452" s="8"/>
      <c r="H452" s="9"/>
      <c r="I452" s="10"/>
      <c r="J452" s="8"/>
      <c r="K452" s="10"/>
      <c r="L452" s="10"/>
      <c r="M452" s="10"/>
      <c r="N452" s="10"/>
      <c r="O452" s="10"/>
      <c r="P452" s="8"/>
      <c r="Q452" s="9"/>
    </row>
    <row r="453" spans="2:17" x14ac:dyDescent="0.2">
      <c r="B453" s="7"/>
      <c r="C453" s="8"/>
      <c r="D453" s="9"/>
      <c r="E453" s="10"/>
      <c r="F453" s="8"/>
      <c r="G453" s="8"/>
      <c r="H453" s="9"/>
      <c r="I453" s="10"/>
      <c r="J453" s="8"/>
      <c r="K453" s="10"/>
      <c r="L453" s="10"/>
      <c r="M453" s="10"/>
      <c r="N453" s="10"/>
      <c r="O453" s="10"/>
      <c r="P453" s="8"/>
      <c r="Q453" s="9"/>
    </row>
    <row r="454" spans="2:17" x14ac:dyDescent="0.2">
      <c r="B454" s="7"/>
      <c r="C454" s="8"/>
      <c r="D454" s="9"/>
      <c r="E454" s="10"/>
      <c r="F454" s="8"/>
      <c r="G454" s="8"/>
      <c r="H454" s="9"/>
      <c r="I454" s="10"/>
      <c r="J454" s="8"/>
      <c r="K454" s="10"/>
      <c r="L454" s="10"/>
      <c r="M454" s="10"/>
      <c r="N454" s="10"/>
      <c r="O454" s="10"/>
      <c r="P454" s="8"/>
      <c r="Q454" s="9"/>
    </row>
    <row r="455" spans="2:17" x14ac:dyDescent="0.2">
      <c r="B455" s="7"/>
      <c r="C455" s="8"/>
      <c r="D455" s="9"/>
      <c r="E455" s="10"/>
      <c r="F455" s="8"/>
      <c r="G455" s="8"/>
      <c r="H455" s="9"/>
      <c r="I455" s="10"/>
      <c r="J455" s="8"/>
      <c r="K455" s="10"/>
      <c r="L455" s="10"/>
      <c r="M455" s="10"/>
      <c r="N455" s="10"/>
      <c r="O455" s="10"/>
      <c r="P455" s="8"/>
      <c r="Q455" s="9"/>
    </row>
    <row r="456" spans="2:17" x14ac:dyDescent="0.2">
      <c r="B456" s="7"/>
      <c r="C456" s="8"/>
      <c r="D456" s="9"/>
      <c r="E456" s="10"/>
      <c r="F456" s="8"/>
      <c r="G456" s="8"/>
      <c r="H456" s="9"/>
      <c r="I456" s="10"/>
      <c r="J456" s="8"/>
      <c r="K456" s="10"/>
      <c r="L456" s="10"/>
      <c r="M456" s="10"/>
      <c r="N456" s="10"/>
      <c r="O456" s="10"/>
      <c r="P456" s="8"/>
      <c r="Q456" s="9"/>
    </row>
    <row r="457" spans="2:17" x14ac:dyDescent="0.2">
      <c r="B457" s="7"/>
      <c r="C457" s="8"/>
      <c r="D457" s="9"/>
      <c r="E457" s="10"/>
      <c r="F457" s="8"/>
      <c r="G457" s="8"/>
      <c r="H457" s="9"/>
      <c r="I457" s="10"/>
      <c r="J457" s="8"/>
      <c r="K457" s="10"/>
      <c r="L457" s="10"/>
      <c r="M457" s="10"/>
      <c r="N457" s="10"/>
      <c r="O457" s="10"/>
      <c r="P457" s="8"/>
      <c r="Q457" s="9"/>
    </row>
    <row r="458" spans="2:17" x14ac:dyDescent="0.2">
      <c r="B458" s="7"/>
      <c r="C458" s="8"/>
      <c r="D458" s="9"/>
      <c r="E458" s="10"/>
      <c r="F458" s="8"/>
      <c r="G458" s="8"/>
      <c r="H458" s="9"/>
      <c r="I458" s="10"/>
      <c r="J458" s="8"/>
      <c r="K458" s="10"/>
      <c r="L458" s="10"/>
      <c r="M458" s="10"/>
      <c r="N458" s="10"/>
      <c r="O458" s="10"/>
      <c r="P458" s="8"/>
      <c r="Q458" s="9"/>
    </row>
    <row r="459" spans="2:17" x14ac:dyDescent="0.2">
      <c r="B459" s="7"/>
      <c r="C459" s="8"/>
      <c r="D459" s="9"/>
      <c r="E459" s="10"/>
      <c r="F459" s="8"/>
      <c r="G459" s="8"/>
      <c r="H459" s="9"/>
      <c r="I459" s="10"/>
      <c r="J459" s="8"/>
      <c r="K459" s="10"/>
      <c r="L459" s="10"/>
      <c r="M459" s="10"/>
      <c r="N459" s="10"/>
      <c r="O459" s="10"/>
      <c r="P459" s="8"/>
      <c r="Q459" s="9"/>
    </row>
    <row r="460" spans="2:17" x14ac:dyDescent="0.2">
      <c r="B460" s="7"/>
      <c r="C460" s="8"/>
      <c r="D460" s="9"/>
      <c r="E460" s="10"/>
      <c r="F460" s="8"/>
      <c r="G460" s="8"/>
      <c r="H460" s="9"/>
      <c r="I460" s="10"/>
      <c r="J460" s="8"/>
      <c r="K460" s="10"/>
      <c r="L460" s="10"/>
      <c r="M460" s="10"/>
      <c r="N460" s="10"/>
      <c r="O460" s="10"/>
      <c r="P460" s="8"/>
      <c r="Q460" s="9"/>
    </row>
    <row r="461" spans="2:17" x14ac:dyDescent="0.2">
      <c r="B461" s="7"/>
      <c r="C461" s="8"/>
      <c r="D461" s="9"/>
      <c r="E461" s="10"/>
      <c r="F461" s="8"/>
      <c r="G461" s="8"/>
      <c r="H461" s="9"/>
      <c r="I461" s="10"/>
      <c r="J461" s="8"/>
      <c r="K461" s="10"/>
      <c r="L461" s="10"/>
      <c r="M461" s="10"/>
      <c r="N461" s="10"/>
      <c r="O461" s="10"/>
      <c r="P461" s="8"/>
      <c r="Q461" s="9"/>
    </row>
    <row r="462" spans="2:17" x14ac:dyDescent="0.2">
      <c r="B462" s="7"/>
      <c r="C462" s="8"/>
      <c r="D462" s="9"/>
      <c r="E462" s="10"/>
      <c r="F462" s="8"/>
      <c r="G462" s="8"/>
      <c r="H462" s="9"/>
      <c r="I462" s="10"/>
      <c r="J462" s="8"/>
      <c r="K462" s="10"/>
      <c r="L462" s="10"/>
      <c r="M462" s="10"/>
      <c r="N462" s="10"/>
      <c r="O462" s="10"/>
      <c r="P462" s="8"/>
      <c r="Q462" s="9"/>
    </row>
    <row r="463" spans="2:17" x14ac:dyDescent="0.2">
      <c r="B463" s="7"/>
      <c r="C463" s="8"/>
      <c r="D463" s="9"/>
      <c r="E463" s="10"/>
      <c r="F463" s="8"/>
      <c r="G463" s="8"/>
      <c r="H463" s="9"/>
      <c r="I463" s="10"/>
      <c r="J463" s="8"/>
      <c r="K463" s="10"/>
      <c r="L463" s="10"/>
      <c r="M463" s="10"/>
      <c r="N463" s="10"/>
      <c r="O463" s="10"/>
      <c r="P463" s="8"/>
      <c r="Q463" s="9"/>
    </row>
    <row r="464" spans="2:17" x14ac:dyDescent="0.2">
      <c r="B464" s="7"/>
      <c r="C464" s="8"/>
      <c r="D464" s="9"/>
      <c r="E464" s="10"/>
      <c r="F464" s="8"/>
      <c r="G464" s="8"/>
      <c r="H464" s="9"/>
      <c r="I464" s="10"/>
      <c r="J464" s="8"/>
      <c r="K464" s="10"/>
      <c r="L464" s="10"/>
      <c r="M464" s="10"/>
      <c r="N464" s="10"/>
      <c r="O464" s="10"/>
      <c r="P464" s="8"/>
      <c r="Q464" s="9"/>
    </row>
    <row r="465" spans="2:17" x14ac:dyDescent="0.2">
      <c r="B465" s="7"/>
      <c r="C465" s="8"/>
      <c r="D465" s="9"/>
      <c r="E465" s="10"/>
      <c r="F465" s="8"/>
      <c r="G465" s="8"/>
      <c r="H465" s="9"/>
      <c r="I465" s="10"/>
      <c r="J465" s="8"/>
      <c r="K465" s="10"/>
      <c r="L465" s="10"/>
      <c r="M465" s="10"/>
      <c r="N465" s="10"/>
      <c r="O465" s="10"/>
      <c r="P465" s="8"/>
      <c r="Q465" s="9"/>
    </row>
    <row r="466" spans="2:17" x14ac:dyDescent="0.2">
      <c r="B466" s="7"/>
      <c r="C466" s="8"/>
      <c r="D466" s="9"/>
      <c r="E466" s="10"/>
      <c r="F466" s="8"/>
      <c r="G466" s="8"/>
      <c r="H466" s="9"/>
      <c r="I466" s="10"/>
      <c r="J466" s="8"/>
      <c r="K466" s="10"/>
      <c r="L466" s="10"/>
      <c r="M466" s="10"/>
      <c r="N466" s="10"/>
      <c r="O466" s="10"/>
      <c r="P466" s="8"/>
      <c r="Q466" s="9"/>
    </row>
    <row r="467" spans="2:17" x14ac:dyDescent="0.2">
      <c r="B467" s="7"/>
      <c r="C467" s="8"/>
      <c r="D467" s="9"/>
      <c r="E467" s="10"/>
      <c r="F467" s="8"/>
      <c r="G467" s="8"/>
      <c r="H467" s="9"/>
      <c r="I467" s="10"/>
      <c r="J467" s="8"/>
      <c r="K467" s="10"/>
      <c r="L467" s="10"/>
      <c r="M467" s="10"/>
      <c r="N467" s="10"/>
      <c r="O467" s="10"/>
      <c r="P467" s="8"/>
      <c r="Q467" s="9"/>
    </row>
    <row r="468" spans="2:17" x14ac:dyDescent="0.2">
      <c r="B468" s="7"/>
      <c r="C468" s="8"/>
      <c r="D468" s="9"/>
      <c r="E468" s="10"/>
      <c r="F468" s="8"/>
      <c r="G468" s="8"/>
      <c r="H468" s="9"/>
      <c r="I468" s="10"/>
      <c r="J468" s="8"/>
      <c r="K468" s="10"/>
      <c r="L468" s="10"/>
      <c r="M468" s="10"/>
      <c r="N468" s="10"/>
      <c r="O468" s="10"/>
      <c r="P468" s="8"/>
      <c r="Q468" s="9"/>
    </row>
    <row r="469" spans="2:17" x14ac:dyDescent="0.2">
      <c r="B469" s="7"/>
      <c r="C469" s="8"/>
      <c r="D469" s="9"/>
      <c r="E469" s="10"/>
      <c r="F469" s="8"/>
      <c r="G469" s="8"/>
      <c r="H469" s="9"/>
      <c r="I469" s="10"/>
      <c r="J469" s="8"/>
      <c r="K469" s="10"/>
      <c r="L469" s="10"/>
      <c r="M469" s="10"/>
      <c r="N469" s="10"/>
      <c r="O469" s="10"/>
      <c r="P469" s="8"/>
      <c r="Q469" s="9"/>
    </row>
    <row r="470" spans="2:17" x14ac:dyDescent="0.2">
      <c r="B470" s="7"/>
      <c r="C470" s="8"/>
      <c r="D470" s="9"/>
      <c r="E470" s="10"/>
      <c r="F470" s="8"/>
      <c r="G470" s="8"/>
      <c r="H470" s="9"/>
      <c r="I470" s="10"/>
      <c r="J470" s="8"/>
      <c r="K470" s="10"/>
      <c r="L470" s="10"/>
      <c r="M470" s="10"/>
      <c r="N470" s="10"/>
      <c r="O470" s="10"/>
      <c r="P470" s="8"/>
      <c r="Q470" s="9"/>
    </row>
    <row r="471" spans="2:17" x14ac:dyDescent="0.2">
      <c r="B471" s="7"/>
      <c r="C471" s="8"/>
      <c r="D471" s="9"/>
      <c r="E471" s="10"/>
      <c r="F471" s="8"/>
      <c r="G471" s="8"/>
      <c r="H471" s="9"/>
      <c r="I471" s="10"/>
      <c r="J471" s="8"/>
      <c r="K471" s="10"/>
      <c r="L471" s="10"/>
      <c r="M471" s="10"/>
      <c r="N471" s="10"/>
      <c r="O471" s="10"/>
      <c r="P471" s="8"/>
      <c r="Q471" s="9"/>
    </row>
    <row r="472" spans="2:17" x14ac:dyDescent="0.2">
      <c r="B472" s="7"/>
      <c r="C472" s="8"/>
      <c r="D472" s="9"/>
      <c r="E472" s="10"/>
      <c r="F472" s="8"/>
      <c r="G472" s="8"/>
      <c r="H472" s="9"/>
      <c r="I472" s="10"/>
      <c r="J472" s="8"/>
      <c r="K472" s="10"/>
      <c r="L472" s="10"/>
      <c r="M472" s="10"/>
      <c r="N472" s="10"/>
      <c r="O472" s="10"/>
      <c r="P472" s="8"/>
      <c r="Q472" s="9"/>
    </row>
    <row r="473" spans="2:17" x14ac:dyDescent="0.2">
      <c r="B473" s="7"/>
      <c r="C473" s="8"/>
      <c r="D473" s="9"/>
      <c r="E473" s="10"/>
      <c r="F473" s="8"/>
      <c r="G473" s="8"/>
      <c r="H473" s="9"/>
      <c r="I473" s="10"/>
      <c r="J473" s="8"/>
      <c r="K473" s="10"/>
      <c r="L473" s="10"/>
      <c r="M473" s="10"/>
      <c r="N473" s="10"/>
      <c r="O473" s="10"/>
      <c r="P473" s="8"/>
      <c r="Q473" s="9"/>
    </row>
    <row r="474" spans="2:17" x14ac:dyDescent="0.2">
      <c r="B474" s="7"/>
      <c r="C474" s="8"/>
      <c r="D474" s="9"/>
      <c r="E474" s="10"/>
      <c r="F474" s="8"/>
      <c r="G474" s="8"/>
      <c r="H474" s="9"/>
      <c r="I474" s="10"/>
      <c r="J474" s="8"/>
      <c r="K474" s="10"/>
      <c r="L474" s="10"/>
      <c r="M474" s="10"/>
      <c r="N474" s="10"/>
      <c r="O474" s="10"/>
      <c r="P474" s="8"/>
      <c r="Q474" s="9"/>
    </row>
    <row r="475" spans="2:17" x14ac:dyDescent="0.2">
      <c r="B475" s="7"/>
      <c r="C475" s="8"/>
      <c r="D475" s="9"/>
      <c r="E475" s="10"/>
      <c r="F475" s="8"/>
      <c r="G475" s="8"/>
      <c r="H475" s="9"/>
      <c r="I475" s="10"/>
      <c r="J475" s="8"/>
      <c r="K475" s="10"/>
      <c r="L475" s="10"/>
      <c r="M475" s="10"/>
      <c r="N475" s="10"/>
      <c r="O475" s="10"/>
      <c r="P475" s="8"/>
      <c r="Q475" s="9"/>
    </row>
    <row r="476" spans="2:17" x14ac:dyDescent="0.2">
      <c r="B476" s="7"/>
      <c r="C476" s="8"/>
      <c r="D476" s="9"/>
      <c r="E476" s="10"/>
      <c r="F476" s="8"/>
      <c r="G476" s="8"/>
      <c r="H476" s="9"/>
      <c r="I476" s="10"/>
      <c r="J476" s="8"/>
      <c r="K476" s="10"/>
      <c r="L476" s="10"/>
      <c r="M476" s="10"/>
      <c r="N476" s="10"/>
      <c r="O476" s="10"/>
      <c r="P476" s="8"/>
      <c r="Q476" s="9"/>
    </row>
    <row r="477" spans="2:17" x14ac:dyDescent="0.2">
      <c r="B477" s="7"/>
      <c r="C477" s="8"/>
      <c r="D477" s="9"/>
      <c r="E477" s="10"/>
      <c r="F477" s="8"/>
      <c r="G477" s="8"/>
      <c r="H477" s="9"/>
      <c r="I477" s="10"/>
      <c r="J477" s="8"/>
      <c r="K477" s="10"/>
      <c r="L477" s="10"/>
      <c r="M477" s="10"/>
      <c r="N477" s="10"/>
      <c r="O477" s="10"/>
      <c r="P477" s="8"/>
      <c r="Q477" s="9"/>
    </row>
    <row r="478" spans="2:17" x14ac:dyDescent="0.2">
      <c r="B478" s="7"/>
      <c r="C478" s="8"/>
      <c r="D478" s="9"/>
      <c r="E478" s="10"/>
      <c r="F478" s="8"/>
      <c r="G478" s="8"/>
      <c r="H478" s="9"/>
      <c r="I478" s="10"/>
      <c r="J478" s="8"/>
      <c r="K478" s="10"/>
      <c r="L478" s="10"/>
      <c r="M478" s="10"/>
      <c r="N478" s="10"/>
      <c r="O478" s="10"/>
      <c r="P478" s="8"/>
      <c r="Q478" s="9"/>
    </row>
    <row r="479" spans="2:17" x14ac:dyDescent="0.2">
      <c r="B479" s="7"/>
      <c r="C479" s="8"/>
      <c r="D479" s="9"/>
      <c r="E479" s="10"/>
      <c r="F479" s="8"/>
      <c r="G479" s="8"/>
      <c r="H479" s="9"/>
      <c r="I479" s="10"/>
      <c r="J479" s="8"/>
      <c r="K479" s="10"/>
      <c r="L479" s="10"/>
      <c r="M479" s="10"/>
      <c r="N479" s="10"/>
      <c r="O479" s="10"/>
      <c r="P479" s="8"/>
      <c r="Q479" s="9"/>
    </row>
    <row r="480" spans="2:17" x14ac:dyDescent="0.2">
      <c r="B480" s="7"/>
      <c r="C480" s="8"/>
      <c r="D480" s="9"/>
      <c r="E480" s="10"/>
      <c r="F480" s="8"/>
      <c r="G480" s="8"/>
      <c r="H480" s="9"/>
      <c r="I480" s="10"/>
      <c r="J480" s="8"/>
      <c r="K480" s="10"/>
      <c r="L480" s="10"/>
      <c r="M480" s="10"/>
      <c r="N480" s="10"/>
      <c r="O480" s="10"/>
      <c r="P480" s="8"/>
      <c r="Q480" s="9"/>
    </row>
    <row r="481" spans="2:17" x14ac:dyDescent="0.2">
      <c r="B481" s="7"/>
      <c r="C481" s="8"/>
      <c r="D481" s="9"/>
      <c r="E481" s="10"/>
      <c r="F481" s="8"/>
      <c r="G481" s="8"/>
      <c r="H481" s="9"/>
      <c r="I481" s="10"/>
      <c r="J481" s="8"/>
      <c r="K481" s="10"/>
      <c r="L481" s="10"/>
      <c r="M481" s="10"/>
      <c r="N481" s="10"/>
      <c r="O481" s="10"/>
      <c r="P481" s="8"/>
      <c r="Q481" s="9"/>
    </row>
    <row r="482" spans="2:17" x14ac:dyDescent="0.2">
      <c r="B482" s="7"/>
      <c r="C482" s="8"/>
      <c r="D482" s="9"/>
      <c r="E482" s="10"/>
      <c r="F482" s="8"/>
      <c r="G482" s="8"/>
      <c r="H482" s="9"/>
      <c r="I482" s="10"/>
      <c r="J482" s="8"/>
      <c r="K482" s="10"/>
      <c r="L482" s="10"/>
      <c r="M482" s="10"/>
      <c r="N482" s="10"/>
      <c r="O482" s="10"/>
      <c r="P482" s="8"/>
      <c r="Q482" s="9"/>
    </row>
    <row r="483" spans="2:17" x14ac:dyDescent="0.2">
      <c r="B483" s="7"/>
      <c r="C483" s="8"/>
      <c r="D483" s="9"/>
      <c r="E483" s="10"/>
      <c r="F483" s="8"/>
      <c r="G483" s="8"/>
      <c r="H483" s="9"/>
      <c r="I483" s="10"/>
      <c r="J483" s="8"/>
      <c r="K483" s="10"/>
      <c r="L483" s="10"/>
      <c r="M483" s="10"/>
      <c r="N483" s="10"/>
      <c r="O483" s="10"/>
      <c r="P483" s="8"/>
      <c r="Q483" s="9"/>
    </row>
    <row r="484" spans="2:17" x14ac:dyDescent="0.2">
      <c r="B484" s="7"/>
      <c r="C484" s="8"/>
      <c r="D484" s="9"/>
      <c r="E484" s="10"/>
      <c r="F484" s="8"/>
      <c r="G484" s="8"/>
      <c r="H484" s="9"/>
      <c r="I484" s="10"/>
      <c r="J484" s="8"/>
      <c r="K484" s="10"/>
      <c r="L484" s="10"/>
      <c r="M484" s="10"/>
      <c r="N484" s="10"/>
      <c r="O484" s="10"/>
      <c r="P484" s="8"/>
      <c r="Q484" s="9"/>
    </row>
    <row r="485" spans="2:17" x14ac:dyDescent="0.2">
      <c r="B485" s="7"/>
      <c r="C485" s="8"/>
      <c r="D485" s="9"/>
      <c r="E485" s="10"/>
      <c r="F485" s="8"/>
      <c r="G485" s="8"/>
      <c r="H485" s="9"/>
      <c r="I485" s="10"/>
      <c r="J485" s="8"/>
      <c r="K485" s="10"/>
      <c r="L485" s="10"/>
      <c r="M485" s="10"/>
      <c r="N485" s="10"/>
      <c r="O485" s="10"/>
      <c r="P485" s="8"/>
      <c r="Q485" s="9"/>
    </row>
    <row r="486" spans="2:17" x14ac:dyDescent="0.2">
      <c r="B486" s="7"/>
      <c r="C486" s="8"/>
      <c r="D486" s="9"/>
      <c r="E486" s="10"/>
      <c r="F486" s="8"/>
      <c r="G486" s="8"/>
      <c r="H486" s="9"/>
      <c r="I486" s="10"/>
      <c r="J486" s="8"/>
      <c r="K486" s="10"/>
      <c r="L486" s="10"/>
      <c r="M486" s="10"/>
      <c r="N486" s="10"/>
      <c r="O486" s="10"/>
      <c r="P486" s="8"/>
      <c r="Q486" s="9"/>
    </row>
    <row r="487" spans="2:17" x14ac:dyDescent="0.2">
      <c r="B487" s="7"/>
      <c r="C487" s="8"/>
      <c r="D487" s="9"/>
      <c r="E487" s="10"/>
      <c r="F487" s="8"/>
      <c r="G487" s="8"/>
      <c r="H487" s="9"/>
      <c r="I487" s="10"/>
      <c r="J487" s="8"/>
      <c r="K487" s="10"/>
      <c r="L487" s="10"/>
      <c r="M487" s="10"/>
      <c r="N487" s="10"/>
      <c r="O487" s="10"/>
      <c r="P487" s="8"/>
      <c r="Q487" s="9"/>
    </row>
    <row r="488" spans="2:17" x14ac:dyDescent="0.2">
      <c r="B488" s="7"/>
      <c r="C488" s="8"/>
      <c r="D488" s="9"/>
      <c r="E488" s="10"/>
      <c r="F488" s="8"/>
      <c r="G488" s="8"/>
      <c r="H488" s="9"/>
      <c r="I488" s="10"/>
      <c r="J488" s="8"/>
      <c r="K488" s="10"/>
      <c r="L488" s="10"/>
      <c r="M488" s="10"/>
      <c r="N488" s="10"/>
      <c r="O488" s="10"/>
      <c r="P488" s="8"/>
      <c r="Q488" s="9"/>
    </row>
    <row r="489" spans="2:17" x14ac:dyDescent="0.2">
      <c r="B489" s="7"/>
      <c r="C489" s="8"/>
      <c r="D489" s="9"/>
      <c r="E489" s="10"/>
      <c r="F489" s="8"/>
      <c r="G489" s="8"/>
      <c r="H489" s="9"/>
      <c r="I489" s="10"/>
      <c r="J489" s="8"/>
      <c r="K489" s="10"/>
      <c r="L489" s="10"/>
      <c r="M489" s="10"/>
      <c r="N489" s="10"/>
      <c r="O489" s="10"/>
      <c r="P489" s="8"/>
      <c r="Q489" s="9"/>
    </row>
    <row r="490" spans="2:17" x14ac:dyDescent="0.2">
      <c r="B490" s="7"/>
      <c r="C490" s="8"/>
      <c r="D490" s="9"/>
      <c r="E490" s="10"/>
      <c r="F490" s="8"/>
      <c r="G490" s="8"/>
      <c r="H490" s="9"/>
      <c r="I490" s="10"/>
      <c r="J490" s="8"/>
      <c r="K490" s="10"/>
      <c r="L490" s="10"/>
      <c r="M490" s="10"/>
      <c r="N490" s="10"/>
      <c r="O490" s="10"/>
      <c r="P490" s="8"/>
      <c r="Q490" s="9"/>
    </row>
    <row r="491" spans="2:17" x14ac:dyDescent="0.2">
      <c r="B491" s="7"/>
      <c r="C491" s="8"/>
      <c r="D491" s="9"/>
      <c r="E491" s="10"/>
      <c r="F491" s="8"/>
      <c r="G491" s="8"/>
      <c r="H491" s="9"/>
      <c r="I491" s="10"/>
      <c r="J491" s="8"/>
      <c r="K491" s="10"/>
      <c r="L491" s="10"/>
      <c r="M491" s="10"/>
      <c r="N491" s="10"/>
      <c r="O491" s="10"/>
      <c r="P491" s="8"/>
      <c r="Q491" s="9"/>
    </row>
    <row r="492" spans="2:17" x14ac:dyDescent="0.2">
      <c r="B492" s="7"/>
      <c r="C492" s="8"/>
      <c r="D492" s="9"/>
      <c r="E492" s="10"/>
      <c r="F492" s="8"/>
      <c r="G492" s="8"/>
      <c r="H492" s="9"/>
      <c r="I492" s="10"/>
      <c r="J492" s="8"/>
      <c r="K492" s="10"/>
      <c r="L492" s="10"/>
      <c r="M492" s="10"/>
      <c r="N492" s="10"/>
      <c r="O492" s="10"/>
      <c r="P492" s="8"/>
      <c r="Q492" s="9"/>
    </row>
    <row r="493" spans="2:17" x14ac:dyDescent="0.2">
      <c r="B493" s="7"/>
      <c r="C493" s="8"/>
      <c r="D493" s="9"/>
      <c r="E493" s="10"/>
      <c r="F493" s="8"/>
      <c r="G493" s="8"/>
      <c r="H493" s="9"/>
      <c r="I493" s="10"/>
      <c r="J493" s="8"/>
      <c r="K493" s="10"/>
      <c r="L493" s="10"/>
      <c r="M493" s="10"/>
      <c r="N493" s="10"/>
      <c r="O493" s="10"/>
      <c r="P493" s="8"/>
      <c r="Q493" s="9"/>
    </row>
    <row r="494" spans="2:17" x14ac:dyDescent="0.2">
      <c r="B494" s="7"/>
      <c r="C494" s="8"/>
      <c r="D494" s="9"/>
      <c r="E494" s="10"/>
      <c r="F494" s="8"/>
      <c r="G494" s="8"/>
      <c r="H494" s="9"/>
      <c r="I494" s="10"/>
      <c r="J494" s="8"/>
      <c r="K494" s="10"/>
      <c r="L494" s="10"/>
      <c r="M494" s="10"/>
      <c r="N494" s="10"/>
      <c r="O494" s="10"/>
      <c r="P494" s="8"/>
      <c r="Q494" s="9"/>
    </row>
    <row r="495" spans="2:17" x14ac:dyDescent="0.2">
      <c r="B495" s="7"/>
      <c r="C495" s="8"/>
      <c r="D495" s="9"/>
      <c r="E495" s="10"/>
      <c r="F495" s="8"/>
      <c r="G495" s="8"/>
      <c r="H495" s="9"/>
      <c r="I495" s="10"/>
      <c r="J495" s="8"/>
      <c r="K495" s="10"/>
      <c r="L495" s="10"/>
      <c r="M495" s="10"/>
      <c r="N495" s="10"/>
      <c r="O495" s="10"/>
      <c r="P495" s="8"/>
      <c r="Q495" s="9"/>
    </row>
    <row r="496" spans="2:17" x14ac:dyDescent="0.2">
      <c r="B496" s="7"/>
      <c r="C496" s="8"/>
      <c r="D496" s="9"/>
      <c r="E496" s="10"/>
      <c r="F496" s="8"/>
      <c r="G496" s="8"/>
      <c r="H496" s="9"/>
      <c r="I496" s="10"/>
      <c r="J496" s="8"/>
      <c r="K496" s="10"/>
      <c r="L496" s="10"/>
      <c r="M496" s="10"/>
      <c r="N496" s="10"/>
      <c r="O496" s="10"/>
      <c r="P496" s="8"/>
      <c r="Q496" s="9"/>
    </row>
    <row r="497" spans="2:17" x14ac:dyDescent="0.2">
      <c r="B497" s="7"/>
      <c r="C497" s="8"/>
      <c r="D497" s="9"/>
      <c r="E497" s="10"/>
      <c r="F497" s="8"/>
      <c r="G497" s="8"/>
      <c r="H497" s="9"/>
      <c r="I497" s="10"/>
      <c r="J497" s="8"/>
      <c r="K497" s="10"/>
      <c r="L497" s="10"/>
      <c r="M497" s="10"/>
      <c r="N497" s="10"/>
      <c r="O497" s="10"/>
      <c r="P497" s="8"/>
      <c r="Q497" s="9"/>
    </row>
    <row r="498" spans="2:17" x14ac:dyDescent="0.2">
      <c r="B498" s="7"/>
      <c r="C498" s="8"/>
      <c r="D498" s="9"/>
      <c r="E498" s="10"/>
      <c r="F498" s="8"/>
      <c r="G498" s="8"/>
      <c r="H498" s="9"/>
      <c r="I498" s="10"/>
      <c r="J498" s="8"/>
      <c r="K498" s="10"/>
      <c r="L498" s="10"/>
      <c r="M498" s="10"/>
      <c r="N498" s="10"/>
      <c r="O498" s="10"/>
      <c r="P498" s="8"/>
      <c r="Q498" s="9"/>
    </row>
    <row r="499" spans="2:17" x14ac:dyDescent="0.2">
      <c r="B499" s="7"/>
      <c r="C499" s="8"/>
      <c r="D499" s="9"/>
      <c r="E499" s="10"/>
      <c r="F499" s="8"/>
      <c r="G499" s="8"/>
      <c r="H499" s="9"/>
      <c r="I499" s="10"/>
      <c r="J499" s="8"/>
      <c r="K499" s="10"/>
      <c r="L499" s="10"/>
      <c r="M499" s="10"/>
      <c r="N499" s="10"/>
      <c r="O499" s="10"/>
      <c r="P499" s="8"/>
      <c r="Q499" s="9"/>
    </row>
    <row r="500" spans="2:17" x14ac:dyDescent="0.2">
      <c r="B500" s="7"/>
      <c r="C500" s="8"/>
      <c r="D500" s="9"/>
      <c r="E500" s="10"/>
      <c r="F500" s="8"/>
      <c r="G500" s="8"/>
      <c r="H500" s="9"/>
      <c r="I500" s="10"/>
      <c r="J500" s="8"/>
      <c r="K500" s="10"/>
      <c r="L500" s="10"/>
      <c r="M500" s="10"/>
      <c r="N500" s="10"/>
      <c r="O500" s="10"/>
      <c r="P500" s="8"/>
      <c r="Q500" s="9"/>
    </row>
    <row r="501" spans="2:17" x14ac:dyDescent="0.2">
      <c r="B501" s="7"/>
      <c r="C501" s="8"/>
      <c r="D501" s="9"/>
      <c r="E501" s="10"/>
      <c r="F501" s="8"/>
      <c r="G501" s="8"/>
      <c r="H501" s="9"/>
      <c r="I501" s="10"/>
      <c r="J501" s="8"/>
      <c r="K501" s="10"/>
      <c r="L501" s="10"/>
      <c r="M501" s="10"/>
      <c r="N501" s="10"/>
      <c r="O501" s="10"/>
      <c r="P501" s="8"/>
      <c r="Q501" s="9"/>
    </row>
    <row r="502" spans="2:17" x14ac:dyDescent="0.2">
      <c r="B502" s="7"/>
      <c r="C502" s="8"/>
      <c r="D502" s="9"/>
      <c r="E502" s="10"/>
      <c r="F502" s="8"/>
      <c r="G502" s="8"/>
      <c r="H502" s="9"/>
      <c r="I502" s="10"/>
      <c r="J502" s="8"/>
      <c r="K502" s="10"/>
      <c r="L502" s="10"/>
      <c r="M502" s="10"/>
      <c r="N502" s="10"/>
      <c r="O502" s="10"/>
      <c r="P502" s="8"/>
      <c r="Q502" s="9"/>
    </row>
    <row r="503" spans="2:17" x14ac:dyDescent="0.2">
      <c r="B503" s="7"/>
      <c r="C503" s="8"/>
      <c r="D503" s="9"/>
      <c r="E503" s="10"/>
      <c r="F503" s="8"/>
      <c r="G503" s="8"/>
      <c r="H503" s="9"/>
      <c r="I503" s="10"/>
      <c r="J503" s="8"/>
      <c r="K503" s="10"/>
      <c r="L503" s="10"/>
      <c r="M503" s="10"/>
      <c r="N503" s="10"/>
      <c r="O503" s="10"/>
      <c r="P503" s="8"/>
      <c r="Q503" s="9"/>
    </row>
    <row r="504" spans="2:17" x14ac:dyDescent="0.2">
      <c r="B504" s="7"/>
      <c r="C504" s="8"/>
      <c r="D504" s="9"/>
      <c r="E504" s="10"/>
      <c r="F504" s="8"/>
      <c r="G504" s="8"/>
      <c r="H504" s="9"/>
      <c r="I504" s="10"/>
      <c r="J504" s="8"/>
      <c r="K504" s="10"/>
      <c r="L504" s="10"/>
      <c r="M504" s="10"/>
      <c r="N504" s="10"/>
      <c r="O504" s="10"/>
      <c r="P504" s="8"/>
      <c r="Q504" s="9"/>
    </row>
    <row r="505" spans="2:17" x14ac:dyDescent="0.2">
      <c r="B505" s="7"/>
      <c r="C505" s="8"/>
      <c r="D505" s="9"/>
      <c r="E505" s="10"/>
      <c r="F505" s="8"/>
      <c r="G505" s="8"/>
      <c r="H505" s="9"/>
      <c r="I505" s="10"/>
      <c r="J505" s="8"/>
      <c r="K505" s="10"/>
      <c r="L505" s="10"/>
      <c r="M505" s="10"/>
      <c r="N505" s="10"/>
      <c r="O505" s="10"/>
      <c r="P505" s="8"/>
      <c r="Q505" s="9"/>
    </row>
    <row r="506" spans="2:17" x14ac:dyDescent="0.2">
      <c r="B506" s="7"/>
      <c r="C506" s="8"/>
      <c r="D506" s="9"/>
      <c r="E506" s="10"/>
      <c r="F506" s="8"/>
      <c r="G506" s="8"/>
      <c r="H506" s="9"/>
      <c r="I506" s="10"/>
      <c r="J506" s="8"/>
      <c r="K506" s="10"/>
      <c r="L506" s="10"/>
      <c r="M506" s="10"/>
      <c r="N506" s="10"/>
      <c r="O506" s="10"/>
      <c r="P506" s="8"/>
      <c r="Q506" s="9"/>
    </row>
    <row r="507" spans="2:17" x14ac:dyDescent="0.2">
      <c r="B507" s="7"/>
      <c r="C507" s="8"/>
      <c r="D507" s="9"/>
      <c r="E507" s="10"/>
      <c r="F507" s="8"/>
      <c r="G507" s="8"/>
      <c r="H507" s="9"/>
      <c r="I507" s="10"/>
      <c r="J507" s="8"/>
      <c r="K507" s="10"/>
      <c r="L507" s="10"/>
      <c r="M507" s="10"/>
      <c r="N507" s="10"/>
      <c r="O507" s="10"/>
      <c r="P507" s="8"/>
      <c r="Q507" s="9"/>
    </row>
    <row r="508" spans="2:17" x14ac:dyDescent="0.2">
      <c r="B508" s="7"/>
      <c r="C508" s="8"/>
      <c r="D508" s="9"/>
      <c r="E508" s="10"/>
      <c r="F508" s="8"/>
      <c r="G508" s="8"/>
      <c r="H508" s="9"/>
      <c r="I508" s="10"/>
      <c r="J508" s="8"/>
      <c r="K508" s="10"/>
      <c r="L508" s="10"/>
      <c r="M508" s="10"/>
      <c r="N508" s="10"/>
      <c r="O508" s="10"/>
      <c r="P508" s="8"/>
      <c r="Q508" s="9"/>
    </row>
    <row r="509" spans="2:17" x14ac:dyDescent="0.2">
      <c r="B509" s="7"/>
      <c r="C509" s="8"/>
      <c r="D509" s="9"/>
      <c r="E509" s="10"/>
      <c r="F509" s="8"/>
      <c r="G509" s="8"/>
      <c r="H509" s="9"/>
      <c r="I509" s="10"/>
      <c r="J509" s="8"/>
      <c r="K509" s="10"/>
      <c r="L509" s="10"/>
      <c r="M509" s="10"/>
      <c r="N509" s="10"/>
      <c r="O509" s="10"/>
      <c r="P509" s="8"/>
      <c r="Q509" s="9"/>
    </row>
    <row r="510" spans="2:17" x14ac:dyDescent="0.2">
      <c r="B510" s="7"/>
      <c r="C510" s="8"/>
      <c r="D510" s="9"/>
      <c r="E510" s="10"/>
      <c r="F510" s="8"/>
      <c r="G510" s="8"/>
      <c r="H510" s="9"/>
      <c r="I510" s="10"/>
      <c r="J510" s="8"/>
      <c r="K510" s="10"/>
      <c r="L510" s="10"/>
      <c r="M510" s="10"/>
      <c r="N510" s="10"/>
      <c r="O510" s="10"/>
      <c r="P510" s="8"/>
      <c r="Q510" s="9"/>
    </row>
    <row r="511" spans="2:17" x14ac:dyDescent="0.2">
      <c r="B511" s="7"/>
      <c r="C511" s="8"/>
      <c r="D511" s="9"/>
      <c r="E511" s="10"/>
      <c r="F511" s="8"/>
      <c r="G511" s="8"/>
      <c r="H511" s="9"/>
      <c r="I511" s="10"/>
      <c r="J511" s="8"/>
      <c r="K511" s="10"/>
      <c r="L511" s="10"/>
      <c r="M511" s="10"/>
      <c r="N511" s="10"/>
      <c r="O511" s="10"/>
      <c r="P511" s="8"/>
      <c r="Q511" s="9"/>
    </row>
    <row r="512" spans="2:17" x14ac:dyDescent="0.2">
      <c r="B512" s="7"/>
      <c r="C512" s="8"/>
      <c r="D512" s="9"/>
      <c r="E512" s="10"/>
      <c r="F512" s="8"/>
      <c r="G512" s="8"/>
      <c r="H512" s="9"/>
      <c r="I512" s="10"/>
      <c r="J512" s="8"/>
      <c r="K512" s="10"/>
      <c r="L512" s="10"/>
      <c r="M512" s="10"/>
      <c r="N512" s="10"/>
      <c r="O512" s="10"/>
      <c r="P512" s="8"/>
      <c r="Q512" s="9"/>
    </row>
    <row r="513" spans="2:17" x14ac:dyDescent="0.2">
      <c r="B513" s="7"/>
      <c r="C513" s="8"/>
      <c r="D513" s="9"/>
      <c r="E513" s="10"/>
      <c r="F513" s="8"/>
      <c r="G513" s="8"/>
      <c r="H513" s="9"/>
      <c r="I513" s="10"/>
      <c r="J513" s="8"/>
      <c r="K513" s="10"/>
      <c r="L513" s="10"/>
      <c r="M513" s="10"/>
      <c r="N513" s="10"/>
      <c r="O513" s="10"/>
      <c r="P513" s="8"/>
      <c r="Q513" s="9"/>
    </row>
    <row r="514" spans="2:17" x14ac:dyDescent="0.2">
      <c r="B514" s="7"/>
      <c r="C514" s="8"/>
      <c r="D514" s="9"/>
      <c r="E514" s="10"/>
      <c r="F514" s="8"/>
      <c r="G514" s="8"/>
      <c r="H514" s="9"/>
      <c r="I514" s="10"/>
      <c r="J514" s="8"/>
      <c r="K514" s="10"/>
      <c r="L514" s="10"/>
      <c r="M514" s="10"/>
      <c r="N514" s="10"/>
      <c r="O514" s="10"/>
      <c r="P514" s="8"/>
      <c r="Q514" s="9"/>
    </row>
    <row r="515" spans="2:17" x14ac:dyDescent="0.2">
      <c r="B515" s="7"/>
      <c r="C515" s="8"/>
      <c r="D515" s="9"/>
      <c r="E515" s="10"/>
      <c r="F515" s="8"/>
      <c r="G515" s="8"/>
      <c r="H515" s="9"/>
      <c r="I515" s="10"/>
      <c r="J515" s="8"/>
      <c r="K515" s="10"/>
      <c r="L515" s="10"/>
      <c r="M515" s="10"/>
      <c r="N515" s="10"/>
      <c r="O515" s="10"/>
      <c r="P515" s="8"/>
      <c r="Q515" s="9"/>
    </row>
    <row r="516" spans="2:17" x14ac:dyDescent="0.2">
      <c r="B516" s="7"/>
      <c r="C516" s="8"/>
      <c r="D516" s="9"/>
      <c r="E516" s="10"/>
      <c r="F516" s="8"/>
      <c r="G516" s="8"/>
      <c r="H516" s="9"/>
      <c r="I516" s="10"/>
      <c r="J516" s="8"/>
      <c r="K516" s="10"/>
      <c r="L516" s="10"/>
      <c r="M516" s="10"/>
      <c r="N516" s="10"/>
      <c r="O516" s="10"/>
      <c r="P516" s="8"/>
      <c r="Q516" s="9"/>
    </row>
    <row r="517" spans="2:17" x14ac:dyDescent="0.2">
      <c r="B517" s="7"/>
      <c r="C517" s="8"/>
      <c r="D517" s="9"/>
      <c r="E517" s="10"/>
      <c r="F517" s="8"/>
      <c r="G517" s="8"/>
      <c r="H517" s="9"/>
      <c r="I517" s="10"/>
      <c r="J517" s="8"/>
      <c r="K517" s="10"/>
      <c r="L517" s="10"/>
      <c r="M517" s="10"/>
      <c r="N517" s="10"/>
      <c r="O517" s="10"/>
      <c r="P517" s="8"/>
      <c r="Q517" s="9"/>
    </row>
    <row r="518" spans="2:17" x14ac:dyDescent="0.2">
      <c r="B518" s="7"/>
      <c r="C518" s="8"/>
      <c r="D518" s="9"/>
      <c r="E518" s="10"/>
      <c r="F518" s="8"/>
      <c r="G518" s="8"/>
      <c r="H518" s="9"/>
      <c r="I518" s="10"/>
      <c r="J518" s="8"/>
      <c r="K518" s="10"/>
      <c r="L518" s="10"/>
      <c r="M518" s="10"/>
      <c r="N518" s="10"/>
      <c r="O518" s="10"/>
      <c r="P518" s="8"/>
      <c r="Q518" s="9"/>
    </row>
    <row r="519" spans="2:17" x14ac:dyDescent="0.2">
      <c r="B519" s="7"/>
      <c r="C519" s="8"/>
      <c r="D519" s="9"/>
      <c r="E519" s="10"/>
      <c r="F519" s="8"/>
      <c r="G519" s="8"/>
      <c r="H519" s="9"/>
      <c r="I519" s="10"/>
      <c r="J519" s="8"/>
      <c r="K519" s="10"/>
      <c r="L519" s="10"/>
      <c r="M519" s="10"/>
      <c r="N519" s="10"/>
      <c r="O519" s="10"/>
      <c r="P519" s="8"/>
      <c r="Q519" s="9"/>
    </row>
    <row r="520" spans="2:17" x14ac:dyDescent="0.2">
      <c r="B520" s="7"/>
      <c r="C520" s="8"/>
      <c r="D520" s="9"/>
      <c r="E520" s="10"/>
      <c r="F520" s="8"/>
      <c r="G520" s="8"/>
      <c r="H520" s="9"/>
      <c r="I520" s="10"/>
      <c r="J520" s="8"/>
      <c r="K520" s="10"/>
      <c r="L520" s="10"/>
      <c r="M520" s="10"/>
      <c r="N520" s="10"/>
      <c r="O520" s="10"/>
      <c r="P520" s="8"/>
      <c r="Q520" s="9"/>
    </row>
    <row r="521" spans="2:17" x14ac:dyDescent="0.2">
      <c r="B521" s="7"/>
      <c r="C521" s="8"/>
      <c r="D521" s="9"/>
      <c r="E521" s="10"/>
      <c r="F521" s="8"/>
      <c r="G521" s="8"/>
      <c r="H521" s="9"/>
      <c r="I521" s="10"/>
      <c r="J521" s="8"/>
      <c r="K521" s="10"/>
      <c r="L521" s="10"/>
      <c r="M521" s="10"/>
      <c r="N521" s="10"/>
      <c r="O521" s="10"/>
      <c r="P521" s="8"/>
      <c r="Q521" s="9"/>
    </row>
    <row r="522" spans="2:17" x14ac:dyDescent="0.2">
      <c r="B522" s="7"/>
      <c r="C522" s="8"/>
      <c r="D522" s="9"/>
      <c r="E522" s="10"/>
      <c r="F522" s="8"/>
      <c r="G522" s="8"/>
      <c r="H522" s="9"/>
      <c r="I522" s="10"/>
      <c r="J522" s="8"/>
      <c r="K522" s="10"/>
      <c r="L522" s="10"/>
      <c r="M522" s="10"/>
      <c r="N522" s="10"/>
      <c r="O522" s="10"/>
      <c r="P522" s="8"/>
      <c r="Q522" s="9"/>
    </row>
    <row r="523" spans="2:17" x14ac:dyDescent="0.2">
      <c r="B523" s="7"/>
      <c r="C523" s="8"/>
      <c r="D523" s="9"/>
      <c r="E523" s="10"/>
      <c r="F523" s="8"/>
      <c r="G523" s="8"/>
      <c r="H523" s="9"/>
      <c r="I523" s="10"/>
      <c r="J523" s="8"/>
      <c r="K523" s="10"/>
      <c r="L523" s="10"/>
      <c r="M523" s="10"/>
      <c r="N523" s="10"/>
      <c r="O523" s="10"/>
      <c r="P523" s="8"/>
      <c r="Q523" s="9"/>
    </row>
    <row r="524" spans="2:17" x14ac:dyDescent="0.2">
      <c r="B524" s="7"/>
      <c r="C524" s="8"/>
      <c r="D524" s="9"/>
      <c r="E524" s="10"/>
      <c r="F524" s="8"/>
      <c r="G524" s="8"/>
      <c r="H524" s="9"/>
      <c r="I524" s="10"/>
      <c r="J524" s="8"/>
      <c r="K524" s="10"/>
      <c r="L524" s="10"/>
      <c r="M524" s="10"/>
      <c r="N524" s="10"/>
      <c r="O524" s="10"/>
      <c r="P524" s="8"/>
      <c r="Q524" s="9"/>
    </row>
    <row r="525" spans="2:17" x14ac:dyDescent="0.2">
      <c r="B525" s="7"/>
      <c r="C525" s="8"/>
      <c r="D525" s="9"/>
      <c r="E525" s="10"/>
      <c r="F525" s="8"/>
      <c r="G525" s="8"/>
      <c r="H525" s="9"/>
      <c r="I525" s="10"/>
      <c r="J525" s="8"/>
      <c r="K525" s="10"/>
      <c r="L525" s="10"/>
      <c r="M525" s="10"/>
      <c r="N525" s="10"/>
      <c r="O525" s="10"/>
      <c r="P525" s="8"/>
      <c r="Q525" s="9"/>
    </row>
    <row r="526" spans="2:17" x14ac:dyDescent="0.2">
      <c r="B526" s="7"/>
      <c r="C526" s="8"/>
      <c r="D526" s="9"/>
      <c r="E526" s="10"/>
      <c r="F526" s="8"/>
      <c r="G526" s="8"/>
      <c r="H526" s="9"/>
      <c r="I526" s="10"/>
      <c r="J526" s="8"/>
      <c r="K526" s="10"/>
      <c r="L526" s="10"/>
      <c r="M526" s="10"/>
      <c r="N526" s="10"/>
      <c r="O526" s="10"/>
      <c r="P526" s="8"/>
      <c r="Q526" s="9"/>
    </row>
    <row r="527" spans="2:17" x14ac:dyDescent="0.2">
      <c r="B527" s="7"/>
      <c r="C527" s="8"/>
      <c r="D527" s="9"/>
      <c r="E527" s="10"/>
      <c r="F527" s="8"/>
      <c r="G527" s="8"/>
      <c r="H527" s="9"/>
      <c r="I527" s="10"/>
      <c r="J527" s="8"/>
      <c r="K527" s="10"/>
      <c r="L527" s="10"/>
      <c r="M527" s="10"/>
      <c r="N527" s="10"/>
      <c r="O527" s="10"/>
      <c r="P527" s="8"/>
      <c r="Q527" s="9"/>
    </row>
    <row r="528" spans="2:17" x14ac:dyDescent="0.2">
      <c r="B528" s="7"/>
      <c r="C528" s="8"/>
      <c r="D528" s="9"/>
      <c r="E528" s="10"/>
      <c r="F528" s="8"/>
      <c r="G528" s="8"/>
      <c r="H528" s="9"/>
      <c r="I528" s="10"/>
      <c r="J528" s="8"/>
      <c r="K528" s="10"/>
      <c r="L528" s="10"/>
      <c r="M528" s="10"/>
      <c r="N528" s="10"/>
      <c r="O528" s="10"/>
      <c r="P528" s="8"/>
      <c r="Q528" s="9"/>
    </row>
    <row r="529" spans="2:17" x14ac:dyDescent="0.2">
      <c r="B529" s="7"/>
      <c r="C529" s="8"/>
      <c r="D529" s="9"/>
      <c r="E529" s="10"/>
      <c r="F529" s="8"/>
      <c r="G529" s="8"/>
      <c r="H529" s="9"/>
      <c r="I529" s="10"/>
      <c r="J529" s="8"/>
      <c r="K529" s="10"/>
      <c r="L529" s="10"/>
      <c r="M529" s="10"/>
      <c r="N529" s="10"/>
      <c r="O529" s="10"/>
      <c r="P529" s="8"/>
      <c r="Q529" s="9"/>
    </row>
    <row r="530" spans="2:17" x14ac:dyDescent="0.2">
      <c r="B530" s="7"/>
      <c r="C530" s="8"/>
      <c r="D530" s="9"/>
      <c r="E530" s="10"/>
      <c r="F530" s="8"/>
      <c r="G530" s="8"/>
      <c r="H530" s="9"/>
      <c r="I530" s="10"/>
      <c r="J530" s="8"/>
      <c r="K530" s="10"/>
      <c r="L530" s="10"/>
      <c r="M530" s="10"/>
      <c r="N530" s="10"/>
      <c r="O530" s="10"/>
      <c r="P530" s="8"/>
      <c r="Q530" s="9"/>
    </row>
    <row r="531" spans="2:17" x14ac:dyDescent="0.2">
      <c r="B531" s="7"/>
      <c r="C531" s="8"/>
      <c r="D531" s="9"/>
      <c r="E531" s="10"/>
      <c r="F531" s="8"/>
      <c r="G531" s="8"/>
      <c r="H531" s="9"/>
      <c r="I531" s="10"/>
      <c r="J531" s="8"/>
      <c r="K531" s="10"/>
      <c r="L531" s="10"/>
      <c r="M531" s="10"/>
      <c r="N531" s="10"/>
      <c r="O531" s="10"/>
      <c r="P531" s="8"/>
      <c r="Q531" s="9"/>
    </row>
    <row r="532" spans="2:17" x14ac:dyDescent="0.2">
      <c r="B532" s="7"/>
      <c r="C532" s="8"/>
      <c r="D532" s="9"/>
      <c r="E532" s="10"/>
      <c r="F532" s="8"/>
      <c r="G532" s="8"/>
      <c r="H532" s="9"/>
      <c r="I532" s="10"/>
      <c r="J532" s="8"/>
      <c r="K532" s="10"/>
      <c r="L532" s="10"/>
      <c r="M532" s="10"/>
      <c r="N532" s="10"/>
      <c r="O532" s="10"/>
      <c r="P532" s="8"/>
      <c r="Q532" s="9"/>
    </row>
    <row r="533" spans="2:17" x14ac:dyDescent="0.2">
      <c r="B533" s="7"/>
      <c r="C533" s="8"/>
      <c r="D533" s="9"/>
      <c r="E533" s="10"/>
      <c r="F533" s="8"/>
      <c r="G533" s="8"/>
      <c r="H533" s="9"/>
      <c r="I533" s="10"/>
      <c r="J533" s="8"/>
      <c r="K533" s="10"/>
      <c r="L533" s="10"/>
      <c r="M533" s="10"/>
      <c r="N533" s="10"/>
      <c r="O533" s="10"/>
      <c r="P533" s="8"/>
      <c r="Q533" s="9"/>
    </row>
    <row r="534" spans="2:17" x14ac:dyDescent="0.2">
      <c r="B534" s="7"/>
      <c r="C534" s="8"/>
      <c r="D534" s="9"/>
      <c r="E534" s="10"/>
      <c r="F534" s="8"/>
      <c r="G534" s="8"/>
      <c r="H534" s="9"/>
      <c r="I534" s="10"/>
      <c r="J534" s="8"/>
      <c r="K534" s="10"/>
      <c r="L534" s="10"/>
      <c r="M534" s="10"/>
      <c r="N534" s="10"/>
      <c r="O534" s="10"/>
      <c r="P534" s="8"/>
      <c r="Q534" s="9"/>
    </row>
    <row r="535" spans="2:17" x14ac:dyDescent="0.2">
      <c r="B535" s="7"/>
      <c r="C535" s="8"/>
      <c r="D535" s="9"/>
      <c r="E535" s="10"/>
      <c r="F535" s="8"/>
      <c r="G535" s="8"/>
      <c r="H535" s="9"/>
      <c r="I535" s="10"/>
      <c r="J535" s="8"/>
      <c r="K535" s="10"/>
      <c r="L535" s="10"/>
      <c r="M535" s="10"/>
      <c r="N535" s="10"/>
      <c r="O535" s="10"/>
      <c r="P535" s="8"/>
      <c r="Q535" s="9"/>
    </row>
    <row r="536" spans="2:17" x14ac:dyDescent="0.2">
      <c r="B536" s="7"/>
      <c r="C536" s="8"/>
      <c r="D536" s="9"/>
      <c r="E536" s="10"/>
      <c r="F536" s="8"/>
      <c r="G536" s="8"/>
      <c r="H536" s="9"/>
      <c r="I536" s="10"/>
      <c r="J536" s="8"/>
      <c r="K536" s="10"/>
      <c r="L536" s="10"/>
      <c r="M536" s="10"/>
      <c r="N536" s="10"/>
      <c r="O536" s="10"/>
      <c r="P536" s="8"/>
      <c r="Q536" s="9"/>
    </row>
    <row r="537" spans="2:17" x14ac:dyDescent="0.2">
      <c r="B537" s="7"/>
      <c r="C537" s="8"/>
      <c r="D537" s="9"/>
      <c r="E537" s="10"/>
      <c r="F537" s="8"/>
      <c r="G537" s="8"/>
      <c r="H537" s="9"/>
      <c r="I537" s="10"/>
      <c r="J537" s="8"/>
      <c r="K537" s="10"/>
      <c r="L537" s="10"/>
      <c r="M537" s="10"/>
      <c r="N537" s="10"/>
      <c r="O537" s="10"/>
      <c r="P537" s="8"/>
      <c r="Q537" s="9"/>
    </row>
    <row r="538" spans="2:17" x14ac:dyDescent="0.2">
      <c r="B538" s="7"/>
      <c r="C538" s="8"/>
      <c r="D538" s="9"/>
      <c r="E538" s="10"/>
      <c r="F538" s="8"/>
      <c r="G538" s="8"/>
      <c r="H538" s="9"/>
      <c r="I538" s="10"/>
      <c r="J538" s="8"/>
      <c r="K538" s="10"/>
      <c r="L538" s="10"/>
      <c r="M538" s="10"/>
      <c r="N538" s="10"/>
      <c r="O538" s="10"/>
      <c r="P538" s="8"/>
      <c r="Q538" s="9"/>
    </row>
    <row r="539" spans="2:17" x14ac:dyDescent="0.2">
      <c r="B539" s="7"/>
      <c r="C539" s="8"/>
      <c r="D539" s="9"/>
      <c r="E539" s="10"/>
      <c r="F539" s="8"/>
      <c r="G539" s="8"/>
      <c r="H539" s="9"/>
      <c r="I539" s="10"/>
      <c r="J539" s="8"/>
      <c r="K539" s="10"/>
      <c r="L539" s="10"/>
      <c r="M539" s="10"/>
      <c r="N539" s="10"/>
      <c r="O539" s="10"/>
      <c r="P539" s="8"/>
      <c r="Q539" s="9"/>
    </row>
    <row r="540" spans="2:17" x14ac:dyDescent="0.2">
      <c r="B540" s="7"/>
      <c r="C540" s="8"/>
      <c r="D540" s="9"/>
      <c r="E540" s="10"/>
      <c r="F540" s="8"/>
      <c r="G540" s="8"/>
      <c r="H540" s="9"/>
      <c r="I540" s="10"/>
      <c r="J540" s="8"/>
      <c r="K540" s="10"/>
      <c r="L540" s="10"/>
      <c r="M540" s="10"/>
      <c r="N540" s="10"/>
      <c r="O540" s="10"/>
      <c r="P540" s="8"/>
      <c r="Q540" s="9"/>
    </row>
    <row r="541" spans="2:17" x14ac:dyDescent="0.2">
      <c r="B541" s="7"/>
      <c r="C541" s="8"/>
      <c r="D541" s="9"/>
      <c r="E541" s="10"/>
      <c r="F541" s="8"/>
      <c r="G541" s="8"/>
      <c r="H541" s="9"/>
      <c r="I541" s="10"/>
      <c r="J541" s="8"/>
      <c r="K541" s="10"/>
      <c r="L541" s="10"/>
      <c r="M541" s="10"/>
      <c r="N541" s="10"/>
      <c r="O541" s="10"/>
      <c r="P541" s="8"/>
      <c r="Q541" s="9"/>
    </row>
    <row r="542" spans="2:17" x14ac:dyDescent="0.2">
      <c r="B542" s="7"/>
      <c r="C542" s="8"/>
      <c r="D542" s="9"/>
      <c r="E542" s="10"/>
      <c r="F542" s="8"/>
      <c r="G542" s="8"/>
      <c r="H542" s="9"/>
      <c r="I542" s="10"/>
      <c r="J542" s="8"/>
      <c r="K542" s="10"/>
      <c r="L542" s="10"/>
      <c r="M542" s="10"/>
      <c r="N542" s="10"/>
      <c r="O542" s="10"/>
      <c r="P542" s="8"/>
      <c r="Q542" s="9"/>
    </row>
    <row r="543" spans="2:17" x14ac:dyDescent="0.2">
      <c r="B543" s="7"/>
      <c r="C543" s="8"/>
      <c r="D543" s="9"/>
      <c r="E543" s="10"/>
      <c r="F543" s="8"/>
      <c r="G543" s="8"/>
      <c r="H543" s="9"/>
      <c r="I543" s="10"/>
      <c r="J543" s="8"/>
      <c r="K543" s="10"/>
      <c r="L543" s="10"/>
      <c r="M543" s="10"/>
      <c r="N543" s="10"/>
      <c r="O543" s="10"/>
      <c r="P543" s="8"/>
      <c r="Q543" s="9"/>
    </row>
    <row r="544" spans="2:17" x14ac:dyDescent="0.2">
      <c r="B544" s="7"/>
      <c r="C544" s="8"/>
      <c r="D544" s="9"/>
      <c r="E544" s="10"/>
      <c r="F544" s="8"/>
      <c r="G544" s="8"/>
      <c r="H544" s="9"/>
      <c r="I544" s="10"/>
      <c r="J544" s="8"/>
      <c r="K544" s="10"/>
      <c r="L544" s="10"/>
      <c r="M544" s="10"/>
      <c r="N544" s="10"/>
      <c r="O544" s="10"/>
      <c r="P544" s="8"/>
      <c r="Q544" s="9"/>
    </row>
    <row r="545" spans="2:17" x14ac:dyDescent="0.2">
      <c r="B545" s="7"/>
      <c r="C545" s="8"/>
      <c r="D545" s="9"/>
      <c r="E545" s="10"/>
      <c r="F545" s="8"/>
      <c r="G545" s="8"/>
      <c r="H545" s="9"/>
      <c r="I545" s="10"/>
      <c r="J545" s="8"/>
      <c r="K545" s="10"/>
      <c r="L545" s="10"/>
      <c r="M545" s="10"/>
      <c r="N545" s="10"/>
      <c r="O545" s="10"/>
      <c r="P545" s="8"/>
      <c r="Q545" s="9"/>
    </row>
    <row r="546" spans="2:17" x14ac:dyDescent="0.2">
      <c r="B546" s="7"/>
      <c r="C546" s="8"/>
      <c r="D546" s="9"/>
      <c r="E546" s="10"/>
      <c r="F546" s="8"/>
      <c r="G546" s="8"/>
      <c r="H546" s="9"/>
      <c r="I546" s="10"/>
      <c r="J546" s="8"/>
      <c r="K546" s="10"/>
      <c r="L546" s="10"/>
      <c r="M546" s="10"/>
      <c r="N546" s="10"/>
      <c r="O546" s="10"/>
      <c r="P546" s="8"/>
      <c r="Q546" s="9"/>
    </row>
    <row r="547" spans="2:17" x14ac:dyDescent="0.2">
      <c r="B547" s="7"/>
      <c r="C547" s="8"/>
      <c r="D547" s="9"/>
      <c r="E547" s="10"/>
      <c r="F547" s="8"/>
      <c r="G547" s="8"/>
      <c r="H547" s="9"/>
      <c r="I547" s="10"/>
      <c r="J547" s="8"/>
      <c r="K547" s="10"/>
      <c r="L547" s="10"/>
      <c r="M547" s="10"/>
      <c r="N547" s="10"/>
      <c r="O547" s="10"/>
      <c r="P547" s="8"/>
      <c r="Q547" s="9"/>
    </row>
    <row r="548" spans="2:17" x14ac:dyDescent="0.2">
      <c r="B548" s="7"/>
      <c r="C548" s="8"/>
      <c r="D548" s="9"/>
      <c r="E548" s="10"/>
      <c r="F548" s="8"/>
      <c r="G548" s="8"/>
      <c r="H548" s="9"/>
      <c r="I548" s="10"/>
      <c r="J548" s="8"/>
      <c r="K548" s="10"/>
      <c r="L548" s="10"/>
      <c r="M548" s="10"/>
      <c r="N548" s="10"/>
      <c r="O548" s="10"/>
      <c r="P548" s="8"/>
      <c r="Q548" s="9"/>
    </row>
    <row r="549" spans="2:17" x14ac:dyDescent="0.2">
      <c r="B549" s="7"/>
      <c r="C549" s="8"/>
      <c r="D549" s="9"/>
      <c r="E549" s="10"/>
      <c r="F549" s="8"/>
      <c r="G549" s="8"/>
      <c r="H549" s="9"/>
      <c r="I549" s="10"/>
      <c r="J549" s="8"/>
      <c r="K549" s="10"/>
      <c r="L549" s="10"/>
      <c r="M549" s="10"/>
      <c r="N549" s="10"/>
      <c r="O549" s="10"/>
      <c r="P549" s="8"/>
      <c r="Q549" s="9"/>
    </row>
    <row r="550" spans="2:17" x14ac:dyDescent="0.2">
      <c r="B550" s="7"/>
      <c r="C550" s="8"/>
      <c r="D550" s="9"/>
      <c r="E550" s="10"/>
      <c r="F550" s="8"/>
      <c r="G550" s="8"/>
      <c r="H550" s="9"/>
      <c r="I550" s="10"/>
      <c r="J550" s="8"/>
      <c r="K550" s="10"/>
      <c r="L550" s="10"/>
      <c r="M550" s="10"/>
      <c r="N550" s="10"/>
      <c r="O550" s="10"/>
      <c r="P550" s="8"/>
      <c r="Q550" s="9"/>
    </row>
    <row r="551" spans="2:17" x14ac:dyDescent="0.2">
      <c r="B551" s="7"/>
      <c r="C551" s="8"/>
      <c r="D551" s="9"/>
      <c r="E551" s="10"/>
      <c r="F551" s="8"/>
      <c r="G551" s="8"/>
      <c r="H551" s="9"/>
      <c r="I551" s="10"/>
      <c r="J551" s="8"/>
      <c r="K551" s="10"/>
      <c r="L551" s="10"/>
      <c r="M551" s="10"/>
      <c r="N551" s="10"/>
      <c r="O551" s="10"/>
      <c r="P551" s="8"/>
      <c r="Q551" s="9"/>
    </row>
    <row r="552" spans="2:17" x14ac:dyDescent="0.2">
      <c r="B552" s="7"/>
      <c r="C552" s="8"/>
      <c r="D552" s="9"/>
      <c r="E552" s="10"/>
      <c r="F552" s="8"/>
      <c r="G552" s="8"/>
      <c r="H552" s="9"/>
      <c r="I552" s="10"/>
      <c r="J552" s="8"/>
      <c r="K552" s="10"/>
      <c r="L552" s="10"/>
      <c r="M552" s="10"/>
      <c r="N552" s="10"/>
      <c r="O552" s="10"/>
      <c r="P552" s="8"/>
      <c r="Q552" s="9"/>
    </row>
    <row r="553" spans="2:17" x14ac:dyDescent="0.2">
      <c r="B553" s="7"/>
      <c r="C553" s="8"/>
      <c r="D553" s="9"/>
      <c r="E553" s="10"/>
      <c r="F553" s="8"/>
      <c r="G553" s="8"/>
      <c r="H553" s="9"/>
      <c r="I553" s="10"/>
      <c r="J553" s="8"/>
      <c r="K553" s="10"/>
      <c r="L553" s="10"/>
      <c r="M553" s="10"/>
      <c r="N553" s="10"/>
      <c r="O553" s="10"/>
      <c r="P553" s="8"/>
      <c r="Q553" s="9"/>
    </row>
    <row r="554" spans="2:17" x14ac:dyDescent="0.2">
      <c r="B554" s="7"/>
      <c r="C554" s="8"/>
      <c r="D554" s="9"/>
      <c r="E554" s="10"/>
      <c r="F554" s="8"/>
      <c r="G554" s="8"/>
      <c r="H554" s="9"/>
      <c r="I554" s="10"/>
      <c r="J554" s="8"/>
      <c r="K554" s="10"/>
      <c r="L554" s="10"/>
      <c r="M554" s="10"/>
      <c r="N554" s="10"/>
      <c r="O554" s="10"/>
      <c r="P554" s="8"/>
      <c r="Q554" s="9"/>
    </row>
    <row r="555" spans="2:17" x14ac:dyDescent="0.2">
      <c r="B555" s="7"/>
      <c r="C555" s="8"/>
      <c r="D555" s="9"/>
      <c r="E555" s="10"/>
      <c r="F555" s="8"/>
      <c r="G555" s="8"/>
      <c r="H555" s="9"/>
      <c r="I555" s="10"/>
      <c r="J555" s="8"/>
      <c r="K555" s="10"/>
      <c r="L555" s="10"/>
      <c r="M555" s="10"/>
      <c r="N555" s="10"/>
      <c r="O555" s="10"/>
      <c r="P555" s="8"/>
      <c r="Q555" s="9"/>
    </row>
    <row r="556" spans="2:17" x14ac:dyDescent="0.2">
      <c r="B556" s="7"/>
      <c r="C556" s="8"/>
      <c r="D556" s="9"/>
      <c r="E556" s="10"/>
      <c r="F556" s="8"/>
      <c r="G556" s="8"/>
      <c r="H556" s="9"/>
      <c r="I556" s="10"/>
      <c r="J556" s="8"/>
      <c r="K556" s="10"/>
      <c r="L556" s="10"/>
      <c r="M556" s="10"/>
      <c r="N556" s="10"/>
      <c r="O556" s="10"/>
      <c r="P556" s="8"/>
      <c r="Q556" s="9"/>
    </row>
    <row r="557" spans="2:17" x14ac:dyDescent="0.2">
      <c r="B557" s="7"/>
      <c r="C557" s="8"/>
      <c r="D557" s="9"/>
      <c r="E557" s="10"/>
      <c r="F557" s="8"/>
      <c r="G557" s="8"/>
      <c r="H557" s="9"/>
      <c r="I557" s="10"/>
      <c r="J557" s="8"/>
      <c r="K557" s="10"/>
      <c r="L557" s="10"/>
      <c r="M557" s="10"/>
      <c r="N557" s="10"/>
      <c r="O557" s="10"/>
      <c r="P557" s="8"/>
      <c r="Q557" s="9"/>
    </row>
    <row r="558" spans="2:17" x14ac:dyDescent="0.2">
      <c r="B558" s="7"/>
      <c r="C558" s="8"/>
      <c r="D558" s="9"/>
      <c r="E558" s="10"/>
      <c r="F558" s="8"/>
      <c r="G558" s="8"/>
      <c r="H558" s="9"/>
      <c r="I558" s="10"/>
      <c r="J558" s="8"/>
      <c r="K558" s="10"/>
      <c r="L558" s="10"/>
      <c r="M558" s="10"/>
      <c r="N558" s="10"/>
      <c r="O558" s="10"/>
      <c r="P558" s="8"/>
      <c r="Q558" s="9"/>
    </row>
    <row r="559" spans="2:17" x14ac:dyDescent="0.2">
      <c r="B559" s="7"/>
      <c r="C559" s="8"/>
      <c r="D559" s="9"/>
      <c r="E559" s="10"/>
      <c r="F559" s="8"/>
      <c r="G559" s="8"/>
      <c r="H559" s="9"/>
      <c r="I559" s="10"/>
      <c r="J559" s="8"/>
      <c r="K559" s="10"/>
      <c r="L559" s="10"/>
      <c r="M559" s="10"/>
      <c r="N559" s="10"/>
      <c r="O559" s="10"/>
      <c r="P559" s="8"/>
      <c r="Q559" s="9"/>
    </row>
    <row r="560" spans="2:17" x14ac:dyDescent="0.2">
      <c r="B560" s="7"/>
      <c r="C560" s="8"/>
      <c r="D560" s="9"/>
      <c r="E560" s="10"/>
      <c r="F560" s="8"/>
      <c r="G560" s="8"/>
      <c r="H560" s="9"/>
      <c r="I560" s="10"/>
      <c r="J560" s="8"/>
      <c r="K560" s="10"/>
      <c r="L560" s="10"/>
      <c r="M560" s="10"/>
      <c r="N560" s="10"/>
      <c r="O560" s="10"/>
      <c r="P560" s="8"/>
      <c r="Q560" s="9"/>
    </row>
    <row r="561" spans="2:17" x14ac:dyDescent="0.2">
      <c r="B561" s="7"/>
      <c r="C561" s="8"/>
      <c r="D561" s="9"/>
      <c r="E561" s="10"/>
      <c r="F561" s="8"/>
      <c r="G561" s="8"/>
      <c r="H561" s="9"/>
      <c r="I561" s="10"/>
      <c r="J561" s="8"/>
      <c r="K561" s="10"/>
      <c r="L561" s="10"/>
      <c r="M561" s="10"/>
      <c r="N561" s="10"/>
      <c r="O561" s="10"/>
      <c r="P561" s="8"/>
      <c r="Q561" s="9"/>
    </row>
    <row r="562" spans="2:17" x14ac:dyDescent="0.2">
      <c r="B562" s="7"/>
      <c r="C562" s="8"/>
      <c r="D562" s="9"/>
      <c r="E562" s="10"/>
      <c r="F562" s="8"/>
      <c r="G562" s="8"/>
      <c r="H562" s="9"/>
      <c r="I562" s="10"/>
      <c r="J562" s="8"/>
      <c r="K562" s="10"/>
      <c r="L562" s="10"/>
      <c r="M562" s="10"/>
      <c r="N562" s="10"/>
      <c r="O562" s="10"/>
      <c r="P562" s="8"/>
      <c r="Q562" s="9"/>
    </row>
    <row r="563" spans="2:17" x14ac:dyDescent="0.2">
      <c r="B563" s="7"/>
      <c r="C563" s="8"/>
      <c r="D563" s="9"/>
      <c r="E563" s="10"/>
      <c r="F563" s="8"/>
      <c r="G563" s="8"/>
      <c r="H563" s="9"/>
      <c r="I563" s="10"/>
      <c r="J563" s="8"/>
      <c r="K563" s="10"/>
      <c r="L563" s="10"/>
      <c r="M563" s="10"/>
      <c r="N563" s="10"/>
      <c r="O563" s="10"/>
      <c r="P563" s="8"/>
      <c r="Q563" s="9"/>
    </row>
    <row r="564" spans="2:17" x14ac:dyDescent="0.2">
      <c r="B564" s="7"/>
      <c r="C564" s="8"/>
      <c r="D564" s="9"/>
      <c r="E564" s="10"/>
      <c r="F564" s="8"/>
      <c r="G564" s="8"/>
      <c r="H564" s="9"/>
      <c r="I564" s="10"/>
      <c r="J564" s="8"/>
      <c r="K564" s="10"/>
      <c r="L564" s="10"/>
      <c r="M564" s="10"/>
      <c r="N564" s="10"/>
      <c r="O564" s="10"/>
      <c r="P564" s="8"/>
      <c r="Q564" s="9"/>
    </row>
    <row r="565" spans="2:17" x14ac:dyDescent="0.2">
      <c r="B565" s="7"/>
      <c r="C565" s="8"/>
      <c r="D565" s="9"/>
      <c r="E565" s="10"/>
      <c r="F565" s="8"/>
      <c r="G565" s="8"/>
      <c r="H565" s="9"/>
      <c r="I565" s="10"/>
      <c r="J565" s="8"/>
      <c r="K565" s="10"/>
      <c r="L565" s="10"/>
      <c r="M565" s="10"/>
      <c r="N565" s="10"/>
      <c r="O565" s="10"/>
      <c r="P565" s="8"/>
      <c r="Q565" s="9"/>
    </row>
    <row r="566" spans="2:17" x14ac:dyDescent="0.2">
      <c r="B566" s="7"/>
      <c r="C566" s="8"/>
      <c r="D566" s="9"/>
      <c r="E566" s="10"/>
      <c r="F566" s="8"/>
      <c r="G566" s="8"/>
      <c r="H566" s="9"/>
      <c r="I566" s="10"/>
      <c r="J566" s="8"/>
      <c r="K566" s="10"/>
      <c r="L566" s="10"/>
      <c r="M566" s="10"/>
      <c r="N566" s="10"/>
      <c r="O566" s="10"/>
      <c r="P566" s="8"/>
      <c r="Q566" s="9"/>
    </row>
    <row r="567" spans="2:17" x14ac:dyDescent="0.2">
      <c r="B567" s="7"/>
      <c r="C567" s="8"/>
      <c r="D567" s="9"/>
      <c r="E567" s="10"/>
      <c r="F567" s="8"/>
      <c r="G567" s="8"/>
      <c r="H567" s="9"/>
      <c r="I567" s="10"/>
      <c r="J567" s="8"/>
      <c r="K567" s="10"/>
      <c r="L567" s="10"/>
      <c r="M567" s="10"/>
      <c r="N567" s="10"/>
      <c r="O567" s="10"/>
      <c r="P567" s="8"/>
      <c r="Q567" s="9"/>
    </row>
    <row r="568" spans="2:17" x14ac:dyDescent="0.2">
      <c r="B568" s="7"/>
      <c r="C568" s="8"/>
      <c r="D568" s="9"/>
      <c r="E568" s="10"/>
      <c r="F568" s="8"/>
      <c r="G568" s="8"/>
      <c r="H568" s="9"/>
      <c r="I568" s="10"/>
      <c r="J568" s="8"/>
      <c r="K568" s="10"/>
      <c r="L568" s="10"/>
      <c r="M568" s="10"/>
      <c r="N568" s="10"/>
      <c r="O568" s="10"/>
      <c r="P568" s="8"/>
      <c r="Q568" s="9"/>
    </row>
    <row r="569" spans="2:17" x14ac:dyDescent="0.2">
      <c r="B569" s="7"/>
      <c r="C569" s="8"/>
      <c r="D569" s="9"/>
      <c r="E569" s="10"/>
      <c r="F569" s="8"/>
      <c r="G569" s="8"/>
      <c r="H569" s="9"/>
      <c r="I569" s="10"/>
      <c r="J569" s="8"/>
      <c r="K569" s="10"/>
      <c r="L569" s="10"/>
      <c r="M569" s="10"/>
      <c r="N569" s="10"/>
      <c r="O569" s="10"/>
      <c r="P569" s="8"/>
      <c r="Q569" s="9"/>
    </row>
    <row r="570" spans="2:17" x14ac:dyDescent="0.2">
      <c r="B570" s="7"/>
      <c r="C570" s="8"/>
      <c r="D570" s="9"/>
      <c r="E570" s="10"/>
      <c r="F570" s="8"/>
      <c r="G570" s="8"/>
      <c r="H570" s="9"/>
      <c r="I570" s="10"/>
      <c r="J570" s="8"/>
      <c r="K570" s="10"/>
      <c r="L570" s="10"/>
      <c r="M570" s="10"/>
      <c r="N570" s="10"/>
      <c r="O570" s="10"/>
      <c r="P570" s="8"/>
      <c r="Q570" s="9"/>
    </row>
    <row r="571" spans="2:17" x14ac:dyDescent="0.2">
      <c r="B571" s="7"/>
      <c r="C571" s="8"/>
      <c r="D571" s="9"/>
      <c r="E571" s="10"/>
      <c r="F571" s="8"/>
      <c r="G571" s="8"/>
      <c r="H571" s="9"/>
      <c r="I571" s="10"/>
      <c r="J571" s="8"/>
      <c r="K571" s="10"/>
      <c r="L571" s="10"/>
      <c r="M571" s="10"/>
      <c r="N571" s="10"/>
      <c r="O571" s="10"/>
      <c r="P571" s="8"/>
      <c r="Q571" s="9"/>
    </row>
    <row r="572" spans="2:17" x14ac:dyDescent="0.2">
      <c r="B572" s="7"/>
      <c r="C572" s="8"/>
      <c r="D572" s="9"/>
      <c r="E572" s="10"/>
      <c r="F572" s="8"/>
      <c r="G572" s="8"/>
      <c r="H572" s="9"/>
      <c r="I572" s="10"/>
      <c r="J572" s="8"/>
      <c r="K572" s="10"/>
      <c r="L572" s="10"/>
      <c r="M572" s="10"/>
      <c r="N572" s="10"/>
      <c r="O572" s="10"/>
      <c r="P572" s="8"/>
      <c r="Q572" s="9"/>
    </row>
    <row r="573" spans="2:17" x14ac:dyDescent="0.2">
      <c r="B573" s="7"/>
      <c r="C573" s="8"/>
      <c r="D573" s="9"/>
      <c r="E573" s="10"/>
      <c r="F573" s="8"/>
      <c r="G573" s="8"/>
      <c r="H573" s="9"/>
      <c r="I573" s="10"/>
      <c r="J573" s="8"/>
      <c r="K573" s="10"/>
      <c r="L573" s="10"/>
      <c r="M573" s="10"/>
      <c r="N573" s="10"/>
      <c r="O573" s="10"/>
      <c r="P573" s="8"/>
      <c r="Q573" s="9"/>
    </row>
    <row r="574" spans="2:17" x14ac:dyDescent="0.2">
      <c r="B574" s="7"/>
      <c r="C574" s="8"/>
      <c r="D574" s="9"/>
      <c r="E574" s="10"/>
      <c r="F574" s="8"/>
      <c r="G574" s="8"/>
      <c r="H574" s="9"/>
      <c r="I574" s="10"/>
      <c r="J574" s="8"/>
      <c r="K574" s="10"/>
      <c r="L574" s="10"/>
      <c r="M574" s="10"/>
      <c r="N574" s="10"/>
      <c r="O574" s="10"/>
      <c r="P574" s="8"/>
      <c r="Q574" s="9"/>
    </row>
    <row r="575" spans="2:17" x14ac:dyDescent="0.2">
      <c r="B575" s="7"/>
      <c r="C575" s="8"/>
      <c r="D575" s="9"/>
      <c r="E575" s="10"/>
      <c r="F575" s="8"/>
      <c r="G575" s="8"/>
      <c r="H575" s="9"/>
      <c r="I575" s="10"/>
      <c r="J575" s="8"/>
      <c r="K575" s="10"/>
      <c r="L575" s="10"/>
      <c r="M575" s="10"/>
      <c r="N575" s="10"/>
      <c r="O575" s="10"/>
      <c r="P575" s="8"/>
      <c r="Q575" s="9"/>
    </row>
    <row r="576" spans="2:17" x14ac:dyDescent="0.2">
      <c r="B576" s="7"/>
      <c r="C576" s="8"/>
      <c r="D576" s="9"/>
      <c r="E576" s="10"/>
      <c r="F576" s="8"/>
      <c r="G576" s="8"/>
      <c r="H576" s="9"/>
      <c r="I576" s="10"/>
      <c r="J576" s="8"/>
      <c r="K576" s="10"/>
      <c r="L576" s="10"/>
      <c r="M576" s="10"/>
      <c r="N576" s="10"/>
      <c r="O576" s="10"/>
      <c r="P576" s="8"/>
      <c r="Q576" s="9"/>
    </row>
    <row r="577" spans="2:17" x14ac:dyDescent="0.2">
      <c r="B577" s="7"/>
      <c r="C577" s="8"/>
      <c r="D577" s="9"/>
      <c r="E577" s="10"/>
      <c r="F577" s="8"/>
      <c r="G577" s="8"/>
      <c r="H577" s="9"/>
      <c r="I577" s="10"/>
      <c r="J577" s="8"/>
      <c r="K577" s="10"/>
      <c r="L577" s="10"/>
      <c r="M577" s="10"/>
      <c r="N577" s="10"/>
      <c r="O577" s="10"/>
      <c r="P577" s="8"/>
      <c r="Q577" s="9"/>
    </row>
    <row r="578" spans="2:17" x14ac:dyDescent="0.2">
      <c r="B578" s="7"/>
      <c r="C578" s="8"/>
      <c r="D578" s="9"/>
      <c r="E578" s="10"/>
      <c r="F578" s="8"/>
      <c r="G578" s="8"/>
      <c r="H578" s="9"/>
      <c r="I578" s="10"/>
      <c r="J578" s="8"/>
      <c r="K578" s="10"/>
      <c r="L578" s="10"/>
      <c r="M578" s="10"/>
      <c r="N578" s="10"/>
      <c r="O578" s="10"/>
      <c r="P578" s="8"/>
      <c r="Q578" s="9"/>
    </row>
    <row r="579" spans="2:17" x14ac:dyDescent="0.2">
      <c r="B579" s="7"/>
      <c r="C579" s="8"/>
      <c r="D579" s="9"/>
      <c r="E579" s="10"/>
      <c r="F579" s="8"/>
      <c r="G579" s="8"/>
      <c r="H579" s="9"/>
      <c r="I579" s="10"/>
      <c r="J579" s="8"/>
      <c r="K579" s="10"/>
      <c r="L579" s="10"/>
      <c r="M579" s="10"/>
      <c r="N579" s="10"/>
      <c r="O579" s="10"/>
      <c r="P579" s="8"/>
      <c r="Q579" s="9"/>
    </row>
    <row r="580" spans="2:17" x14ac:dyDescent="0.2">
      <c r="B580" s="7"/>
      <c r="C580" s="8"/>
      <c r="D580" s="9"/>
      <c r="E580" s="10"/>
      <c r="F580" s="8"/>
      <c r="G580" s="8"/>
      <c r="H580" s="9"/>
      <c r="I580" s="10"/>
      <c r="J580" s="8"/>
      <c r="K580" s="10"/>
      <c r="L580" s="10"/>
      <c r="M580" s="10"/>
      <c r="N580" s="10"/>
      <c r="O580" s="10"/>
      <c r="P580" s="8"/>
      <c r="Q580" s="9"/>
    </row>
    <row r="581" spans="2:17" x14ac:dyDescent="0.2">
      <c r="B581" s="7"/>
      <c r="C581" s="8"/>
      <c r="D581" s="9"/>
      <c r="E581" s="10"/>
      <c r="F581" s="8"/>
      <c r="G581" s="8"/>
      <c r="H581" s="9"/>
      <c r="I581" s="10"/>
      <c r="J581" s="8"/>
      <c r="K581" s="10"/>
      <c r="L581" s="10"/>
      <c r="M581" s="10"/>
      <c r="N581" s="10"/>
      <c r="O581" s="10"/>
      <c r="P581" s="8"/>
      <c r="Q581" s="9"/>
    </row>
    <row r="582" spans="2:17" x14ac:dyDescent="0.2">
      <c r="B582" s="7"/>
      <c r="C582" s="8"/>
      <c r="D582" s="9"/>
      <c r="E582" s="10"/>
      <c r="F582" s="8"/>
      <c r="G582" s="8"/>
      <c r="H582" s="9"/>
      <c r="I582" s="10"/>
      <c r="J582" s="8"/>
      <c r="K582" s="10"/>
      <c r="L582" s="10"/>
      <c r="M582" s="10"/>
      <c r="N582" s="10"/>
      <c r="O582" s="10"/>
      <c r="P582" s="8"/>
      <c r="Q582" s="9"/>
    </row>
    <row r="583" spans="2:17" x14ac:dyDescent="0.2">
      <c r="B583" s="7"/>
      <c r="C583" s="8"/>
      <c r="D583" s="9"/>
      <c r="E583" s="10"/>
      <c r="F583" s="8"/>
      <c r="G583" s="8"/>
      <c r="H583" s="9"/>
      <c r="I583" s="10"/>
      <c r="J583" s="8"/>
      <c r="K583" s="10"/>
      <c r="L583" s="10"/>
      <c r="M583" s="10"/>
      <c r="N583" s="10"/>
      <c r="O583" s="10"/>
      <c r="P583" s="8"/>
      <c r="Q583" s="9"/>
    </row>
    <row r="584" spans="2:17" x14ac:dyDescent="0.2">
      <c r="B584" s="7"/>
      <c r="C584" s="8"/>
      <c r="D584" s="9"/>
      <c r="E584" s="10"/>
      <c r="F584" s="8"/>
      <c r="G584" s="8"/>
      <c r="H584" s="9"/>
      <c r="I584" s="10"/>
      <c r="J584" s="8"/>
      <c r="K584" s="10"/>
      <c r="L584" s="10"/>
      <c r="M584" s="10"/>
      <c r="N584" s="10"/>
      <c r="O584" s="10"/>
      <c r="P584" s="8"/>
      <c r="Q584" s="9"/>
    </row>
    <row r="585" spans="2:17" x14ac:dyDescent="0.2">
      <c r="B585" s="7"/>
      <c r="C585" s="8"/>
      <c r="D585" s="9"/>
      <c r="E585" s="10"/>
      <c r="F585" s="8"/>
      <c r="G585" s="8"/>
      <c r="H585" s="9"/>
      <c r="I585" s="10"/>
      <c r="J585" s="8"/>
      <c r="K585" s="10"/>
      <c r="L585" s="10"/>
      <c r="M585" s="10"/>
      <c r="N585" s="10"/>
      <c r="O585" s="10"/>
      <c r="P585" s="8"/>
      <c r="Q585" s="9"/>
    </row>
    <row r="586" spans="2:17" x14ac:dyDescent="0.2">
      <c r="B586" s="7"/>
      <c r="C586" s="8"/>
      <c r="D586" s="9"/>
      <c r="E586" s="10"/>
      <c r="F586" s="8"/>
      <c r="G586" s="8"/>
      <c r="H586" s="9"/>
      <c r="I586" s="10"/>
      <c r="J586" s="8"/>
      <c r="K586" s="10"/>
      <c r="L586" s="10"/>
      <c r="M586" s="10"/>
      <c r="N586" s="10"/>
      <c r="O586" s="10"/>
      <c r="P586" s="8"/>
      <c r="Q586" s="9"/>
    </row>
    <row r="587" spans="2:17" x14ac:dyDescent="0.2">
      <c r="B587" s="7"/>
      <c r="C587" s="8"/>
      <c r="D587" s="9"/>
      <c r="E587" s="10"/>
      <c r="F587" s="8"/>
      <c r="G587" s="8"/>
      <c r="H587" s="9"/>
      <c r="I587" s="10"/>
      <c r="J587" s="8"/>
      <c r="K587" s="10"/>
      <c r="L587" s="10"/>
      <c r="M587" s="10"/>
      <c r="N587" s="10"/>
      <c r="O587" s="10"/>
      <c r="P587" s="8"/>
      <c r="Q587" s="9"/>
    </row>
    <row r="588" spans="2:17" x14ac:dyDescent="0.2">
      <c r="B588" s="7"/>
      <c r="C588" s="8"/>
      <c r="D588" s="9"/>
      <c r="E588" s="10"/>
      <c r="F588" s="8"/>
      <c r="G588" s="8"/>
      <c r="H588" s="9"/>
      <c r="I588" s="10"/>
      <c r="J588" s="8"/>
      <c r="K588" s="10"/>
      <c r="L588" s="10"/>
      <c r="M588" s="10"/>
      <c r="N588" s="10"/>
      <c r="O588" s="10"/>
      <c r="P588" s="8"/>
      <c r="Q588" s="9"/>
    </row>
    <row r="589" spans="2:17" x14ac:dyDescent="0.2">
      <c r="B589" s="7"/>
      <c r="C589" s="8"/>
      <c r="D589" s="9"/>
      <c r="E589" s="10"/>
      <c r="F589" s="8"/>
      <c r="G589" s="8"/>
      <c r="H589" s="9"/>
      <c r="I589" s="10"/>
      <c r="J589" s="8"/>
      <c r="K589" s="10"/>
      <c r="L589" s="10"/>
      <c r="M589" s="10"/>
      <c r="N589" s="10"/>
      <c r="O589" s="10"/>
      <c r="P589" s="8"/>
      <c r="Q589" s="9"/>
    </row>
    <row r="590" spans="2:17" x14ac:dyDescent="0.2">
      <c r="B590" s="7"/>
      <c r="C590" s="8"/>
      <c r="D590" s="9"/>
      <c r="E590" s="10"/>
      <c r="F590" s="8"/>
      <c r="G590" s="8"/>
      <c r="H590" s="9"/>
      <c r="I590" s="10"/>
      <c r="J590" s="8"/>
      <c r="K590" s="10"/>
      <c r="L590" s="10"/>
      <c r="M590" s="10"/>
      <c r="N590" s="10"/>
      <c r="O590" s="10"/>
      <c r="P590" s="8"/>
      <c r="Q590" s="9"/>
    </row>
    <row r="591" spans="2:17" x14ac:dyDescent="0.2">
      <c r="B591" s="7"/>
      <c r="C591" s="8"/>
      <c r="D591" s="9"/>
      <c r="E591" s="10"/>
      <c r="F591" s="8"/>
      <c r="G591" s="8"/>
      <c r="H591" s="9"/>
      <c r="I591" s="10"/>
      <c r="J591" s="8"/>
      <c r="K591" s="10"/>
      <c r="L591" s="10"/>
      <c r="M591" s="10"/>
      <c r="N591" s="10"/>
      <c r="O591" s="10"/>
      <c r="P591" s="8"/>
      <c r="Q591" s="9"/>
    </row>
    <row r="592" spans="2:17" x14ac:dyDescent="0.2">
      <c r="B592" s="7"/>
      <c r="C592" s="8"/>
      <c r="D592" s="9"/>
      <c r="E592" s="10"/>
      <c r="F592" s="8"/>
      <c r="G592" s="8"/>
      <c r="H592" s="9"/>
      <c r="I592" s="10"/>
      <c r="J592" s="8"/>
      <c r="K592" s="10"/>
      <c r="L592" s="10"/>
      <c r="M592" s="10"/>
      <c r="N592" s="10"/>
      <c r="O592" s="10"/>
      <c r="P592" s="8"/>
      <c r="Q592" s="9"/>
    </row>
    <row r="593" spans="2:17" x14ac:dyDescent="0.2">
      <c r="B593" s="7"/>
      <c r="C593" s="8"/>
      <c r="D593" s="9"/>
      <c r="E593" s="10"/>
      <c r="F593" s="8"/>
      <c r="G593" s="8"/>
      <c r="H593" s="9"/>
      <c r="I593" s="10"/>
      <c r="J593" s="8"/>
      <c r="K593" s="10"/>
      <c r="L593" s="10"/>
      <c r="M593" s="10"/>
      <c r="N593" s="10"/>
      <c r="O593" s="10"/>
      <c r="P593" s="8"/>
      <c r="Q593" s="9"/>
    </row>
    <row r="594" spans="2:17" x14ac:dyDescent="0.2">
      <c r="B594" s="7"/>
      <c r="C594" s="8"/>
      <c r="D594" s="9"/>
      <c r="E594" s="10"/>
      <c r="F594" s="8"/>
      <c r="G594" s="8"/>
      <c r="H594" s="9"/>
      <c r="I594" s="10"/>
      <c r="J594" s="8"/>
      <c r="K594" s="10"/>
      <c r="L594" s="10"/>
      <c r="M594" s="10"/>
      <c r="N594" s="10"/>
      <c r="O594" s="10"/>
      <c r="P594" s="8"/>
      <c r="Q594" s="9"/>
    </row>
    <row r="595" spans="2:17" x14ac:dyDescent="0.2">
      <c r="B595" s="7"/>
      <c r="C595" s="8"/>
      <c r="D595" s="9"/>
      <c r="E595" s="10"/>
      <c r="F595" s="8"/>
      <c r="G595" s="8"/>
      <c r="H595" s="9"/>
      <c r="I595" s="10"/>
      <c r="J595" s="8"/>
      <c r="K595" s="10"/>
      <c r="L595" s="10"/>
      <c r="M595" s="10"/>
      <c r="N595" s="10"/>
      <c r="O595" s="10"/>
      <c r="P595" s="8"/>
      <c r="Q595" s="9"/>
    </row>
    <row r="596" spans="2:17" x14ac:dyDescent="0.2">
      <c r="B596" s="7"/>
      <c r="C596" s="8"/>
      <c r="D596" s="9"/>
      <c r="E596" s="10"/>
      <c r="F596" s="8"/>
      <c r="G596" s="8"/>
      <c r="H596" s="9"/>
      <c r="I596" s="10"/>
      <c r="J596" s="8"/>
      <c r="K596" s="10"/>
      <c r="L596" s="10"/>
      <c r="M596" s="10"/>
      <c r="N596" s="10"/>
      <c r="O596" s="10"/>
      <c r="P596" s="8"/>
      <c r="Q596" s="9"/>
    </row>
    <row r="597" spans="2:17" x14ac:dyDescent="0.2">
      <c r="B597" s="7"/>
      <c r="C597" s="8"/>
      <c r="D597" s="9"/>
      <c r="E597" s="10"/>
      <c r="F597" s="8"/>
      <c r="G597" s="8"/>
      <c r="H597" s="9"/>
      <c r="I597" s="10"/>
      <c r="J597" s="8"/>
      <c r="K597" s="10"/>
      <c r="L597" s="10"/>
      <c r="M597" s="10"/>
      <c r="N597" s="10"/>
      <c r="O597" s="10"/>
      <c r="P597" s="8"/>
      <c r="Q597" s="9"/>
    </row>
    <row r="598" spans="2:17" x14ac:dyDescent="0.2">
      <c r="B598" s="7"/>
      <c r="C598" s="8"/>
      <c r="D598" s="9"/>
      <c r="E598" s="10"/>
      <c r="F598" s="8"/>
      <c r="G598" s="8"/>
      <c r="H598" s="9"/>
      <c r="I598" s="10"/>
      <c r="J598" s="8"/>
      <c r="K598" s="10"/>
      <c r="L598" s="10"/>
      <c r="M598" s="10"/>
      <c r="N598" s="10"/>
      <c r="O598" s="10"/>
      <c r="P598" s="8"/>
      <c r="Q598" s="9"/>
    </row>
    <row r="599" spans="2:17" x14ac:dyDescent="0.2">
      <c r="B599" s="7"/>
      <c r="C599" s="8"/>
      <c r="D599" s="9"/>
      <c r="E599" s="10"/>
      <c r="F599" s="8"/>
      <c r="G599" s="8"/>
      <c r="H599" s="9"/>
      <c r="I599" s="10"/>
      <c r="J599" s="8"/>
      <c r="K599" s="10"/>
      <c r="L599" s="10"/>
      <c r="M599" s="10"/>
      <c r="N599" s="10"/>
      <c r="O599" s="10"/>
      <c r="P599" s="8"/>
      <c r="Q599" s="9"/>
    </row>
    <row r="600" spans="2:17" x14ac:dyDescent="0.2">
      <c r="B600" s="7"/>
      <c r="C600" s="8"/>
      <c r="D600" s="9"/>
      <c r="E600" s="10"/>
      <c r="F600" s="8"/>
      <c r="G600" s="8"/>
      <c r="H600" s="9"/>
      <c r="I600" s="10"/>
      <c r="J600" s="8"/>
      <c r="K600" s="10"/>
      <c r="L600" s="10"/>
      <c r="M600" s="10"/>
      <c r="N600" s="10"/>
      <c r="O600" s="10"/>
      <c r="P600" s="8"/>
      <c r="Q600" s="9"/>
    </row>
    <row r="601" spans="2:17" x14ac:dyDescent="0.2">
      <c r="B601" s="7"/>
      <c r="C601" s="8"/>
      <c r="D601" s="9"/>
      <c r="E601" s="10"/>
      <c r="F601" s="8"/>
      <c r="G601" s="8"/>
      <c r="H601" s="9"/>
      <c r="I601" s="10"/>
      <c r="J601" s="8"/>
      <c r="K601" s="10"/>
      <c r="L601" s="10"/>
      <c r="M601" s="10"/>
      <c r="N601" s="10"/>
      <c r="O601" s="10"/>
      <c r="P601" s="8"/>
      <c r="Q601" s="9"/>
    </row>
    <row r="602" spans="2:17" x14ac:dyDescent="0.2">
      <c r="B602" s="7"/>
      <c r="C602" s="8"/>
      <c r="D602" s="9"/>
      <c r="E602" s="10"/>
      <c r="F602" s="8"/>
      <c r="G602" s="8"/>
      <c r="H602" s="9"/>
      <c r="I602" s="10"/>
      <c r="J602" s="8"/>
      <c r="K602" s="10"/>
      <c r="L602" s="10"/>
      <c r="M602" s="10"/>
      <c r="N602" s="10"/>
      <c r="O602" s="10"/>
      <c r="P602" s="8"/>
      <c r="Q602" s="9"/>
    </row>
    <row r="603" spans="2:17" x14ac:dyDescent="0.2">
      <c r="B603" s="7"/>
      <c r="C603" s="8"/>
      <c r="D603" s="9"/>
      <c r="E603" s="10"/>
      <c r="F603" s="8"/>
      <c r="G603" s="8"/>
      <c r="H603" s="9"/>
      <c r="I603" s="10"/>
      <c r="J603" s="8"/>
      <c r="K603" s="10"/>
      <c r="L603" s="10"/>
      <c r="M603" s="10"/>
      <c r="N603" s="10"/>
      <c r="O603" s="10"/>
      <c r="P603" s="8"/>
      <c r="Q603" s="9"/>
    </row>
    <row r="604" spans="2:17" x14ac:dyDescent="0.2">
      <c r="B604" s="7"/>
      <c r="C604" s="8"/>
      <c r="D604" s="9"/>
      <c r="E604" s="10"/>
      <c r="F604" s="8"/>
      <c r="G604" s="8"/>
      <c r="H604" s="9"/>
      <c r="I604" s="10"/>
      <c r="J604" s="8"/>
      <c r="K604" s="10"/>
      <c r="L604" s="10"/>
      <c r="M604" s="10"/>
      <c r="N604" s="10"/>
      <c r="O604" s="10"/>
      <c r="P604" s="8"/>
      <c r="Q604" s="9"/>
    </row>
    <row r="605" spans="2:17" x14ac:dyDescent="0.2">
      <c r="B605" s="7"/>
      <c r="C605" s="8"/>
      <c r="D605" s="9"/>
      <c r="E605" s="10"/>
      <c r="F605" s="8"/>
      <c r="G605" s="8"/>
      <c r="H605" s="9"/>
      <c r="I605" s="10"/>
      <c r="J605" s="8"/>
      <c r="K605" s="10"/>
      <c r="L605" s="10"/>
      <c r="M605" s="10"/>
      <c r="N605" s="10"/>
      <c r="O605" s="10"/>
      <c r="P605" s="8"/>
      <c r="Q605" s="9"/>
    </row>
    <row r="606" spans="2:17" x14ac:dyDescent="0.2">
      <c r="B606" s="7"/>
      <c r="C606" s="8"/>
      <c r="D606" s="9"/>
      <c r="E606" s="10"/>
      <c r="F606" s="8"/>
      <c r="G606" s="8"/>
      <c r="H606" s="9"/>
      <c r="I606" s="10"/>
      <c r="J606" s="8"/>
      <c r="K606" s="10"/>
      <c r="L606" s="10"/>
      <c r="M606" s="10"/>
      <c r="N606" s="10"/>
      <c r="O606" s="10"/>
      <c r="P606" s="8"/>
      <c r="Q606" s="9"/>
    </row>
    <row r="607" spans="2:17" x14ac:dyDescent="0.2">
      <c r="B607" s="7"/>
      <c r="C607" s="8"/>
      <c r="D607" s="9"/>
      <c r="E607" s="10"/>
      <c r="F607" s="8"/>
      <c r="G607" s="8"/>
      <c r="H607" s="9"/>
      <c r="I607" s="10"/>
      <c r="J607" s="8"/>
      <c r="K607" s="10"/>
      <c r="L607" s="10"/>
      <c r="M607" s="10"/>
      <c r="N607" s="10"/>
      <c r="O607" s="10"/>
      <c r="P607" s="8"/>
      <c r="Q607" s="9"/>
    </row>
    <row r="608" spans="2:17" x14ac:dyDescent="0.2">
      <c r="B608" s="7"/>
      <c r="C608" s="8"/>
      <c r="D608" s="9"/>
      <c r="E608" s="10"/>
      <c r="F608" s="8"/>
      <c r="G608" s="8"/>
      <c r="H608" s="9"/>
      <c r="I608" s="10"/>
      <c r="J608" s="8"/>
      <c r="K608" s="10"/>
      <c r="L608" s="10"/>
      <c r="M608" s="10"/>
      <c r="N608" s="10"/>
      <c r="O608" s="10"/>
      <c r="P608" s="8"/>
      <c r="Q608" s="9"/>
    </row>
    <row r="609" spans="2:17" x14ac:dyDescent="0.2">
      <c r="B609" s="7"/>
      <c r="C609" s="8"/>
      <c r="D609" s="9"/>
      <c r="E609" s="10"/>
      <c r="F609" s="8"/>
      <c r="G609" s="8"/>
      <c r="H609" s="9"/>
      <c r="I609" s="10"/>
      <c r="J609" s="8"/>
      <c r="K609" s="10"/>
      <c r="L609" s="10"/>
      <c r="M609" s="10"/>
      <c r="N609" s="10"/>
      <c r="O609" s="10"/>
      <c r="P609" s="8"/>
      <c r="Q609" s="9"/>
    </row>
    <row r="610" spans="2:17" x14ac:dyDescent="0.2">
      <c r="B610" s="7"/>
      <c r="C610" s="8"/>
      <c r="D610" s="9"/>
      <c r="E610" s="10"/>
      <c r="F610" s="8"/>
      <c r="G610" s="8"/>
      <c r="H610" s="9"/>
      <c r="I610" s="10"/>
      <c r="J610" s="8"/>
      <c r="K610" s="10"/>
      <c r="L610" s="10"/>
      <c r="M610" s="10"/>
      <c r="N610" s="10"/>
      <c r="O610" s="10"/>
      <c r="P610" s="8"/>
      <c r="Q610" s="9"/>
    </row>
    <row r="611" spans="2:17" x14ac:dyDescent="0.2">
      <c r="B611" s="7"/>
      <c r="C611" s="8"/>
      <c r="D611" s="9"/>
      <c r="E611" s="10"/>
      <c r="F611" s="8"/>
      <c r="G611" s="8"/>
      <c r="H611" s="9"/>
      <c r="I611" s="10"/>
      <c r="J611" s="8"/>
      <c r="K611" s="10"/>
      <c r="L611" s="10"/>
      <c r="M611" s="10"/>
      <c r="N611" s="10"/>
      <c r="O611" s="10"/>
      <c r="P611" s="8"/>
      <c r="Q611" s="9"/>
    </row>
    <row r="612" spans="2:17" x14ac:dyDescent="0.2">
      <c r="B612" s="7"/>
      <c r="C612" s="8"/>
      <c r="D612" s="9"/>
      <c r="E612" s="10"/>
      <c r="F612" s="8"/>
      <c r="G612" s="8"/>
      <c r="H612" s="9"/>
      <c r="I612" s="10"/>
      <c r="J612" s="8"/>
      <c r="K612" s="10"/>
      <c r="L612" s="10"/>
      <c r="M612" s="10"/>
      <c r="N612" s="10"/>
      <c r="O612" s="10"/>
      <c r="P612" s="8"/>
      <c r="Q612" s="9"/>
    </row>
    <row r="613" spans="2:17" x14ac:dyDescent="0.2">
      <c r="B613" s="7"/>
      <c r="C613" s="8"/>
      <c r="D613" s="9"/>
      <c r="E613" s="10"/>
      <c r="F613" s="8"/>
      <c r="G613" s="8"/>
      <c r="H613" s="9"/>
      <c r="I613" s="10"/>
      <c r="J613" s="8"/>
      <c r="K613" s="10"/>
      <c r="L613" s="10"/>
      <c r="M613" s="10"/>
      <c r="N613" s="10"/>
      <c r="O613" s="10"/>
      <c r="P613" s="8"/>
      <c r="Q613" s="9"/>
    </row>
    <row r="614" spans="2:17" x14ac:dyDescent="0.2">
      <c r="B614" s="7"/>
      <c r="C614" s="8"/>
      <c r="D614" s="9"/>
      <c r="E614" s="10"/>
      <c r="F614" s="8"/>
      <c r="G614" s="8"/>
      <c r="H614" s="9"/>
      <c r="I614" s="10"/>
      <c r="J614" s="8"/>
      <c r="K614" s="10"/>
      <c r="L614" s="10"/>
      <c r="M614" s="10"/>
      <c r="N614" s="10"/>
      <c r="O614" s="10"/>
      <c r="P614" s="8"/>
      <c r="Q614" s="9"/>
    </row>
    <row r="615" spans="2:17" x14ac:dyDescent="0.2">
      <c r="B615" s="7"/>
      <c r="C615" s="8"/>
      <c r="D615" s="9"/>
      <c r="E615" s="10"/>
      <c r="F615" s="8"/>
      <c r="G615" s="8"/>
      <c r="H615" s="9"/>
      <c r="I615" s="10"/>
      <c r="J615" s="8"/>
      <c r="K615" s="10"/>
      <c r="L615" s="10"/>
      <c r="M615" s="10"/>
      <c r="N615" s="10"/>
      <c r="O615" s="10"/>
      <c r="P615" s="8"/>
      <c r="Q615" s="9"/>
    </row>
    <row r="616" spans="2:17" x14ac:dyDescent="0.2">
      <c r="B616" s="7"/>
      <c r="C616" s="8"/>
      <c r="D616" s="9"/>
      <c r="E616" s="10"/>
      <c r="F616" s="8"/>
      <c r="G616" s="8"/>
      <c r="H616" s="9"/>
      <c r="I616" s="10"/>
      <c r="J616" s="8"/>
      <c r="K616" s="10"/>
      <c r="L616" s="10"/>
      <c r="M616" s="10"/>
      <c r="N616" s="10"/>
      <c r="O616" s="10"/>
      <c r="P616" s="8"/>
      <c r="Q616" s="9"/>
    </row>
    <row r="617" spans="2:17" x14ac:dyDescent="0.2">
      <c r="B617" s="7"/>
      <c r="C617" s="8"/>
      <c r="D617" s="9"/>
      <c r="E617" s="10"/>
      <c r="F617" s="8"/>
      <c r="G617" s="8"/>
      <c r="H617" s="9"/>
      <c r="I617" s="10"/>
      <c r="J617" s="8"/>
      <c r="K617" s="10"/>
      <c r="L617" s="10"/>
      <c r="M617" s="10"/>
      <c r="N617" s="10"/>
      <c r="O617" s="10"/>
      <c r="P617" s="8"/>
      <c r="Q617" s="9"/>
    </row>
    <row r="618" spans="2:17" x14ac:dyDescent="0.2">
      <c r="B618" s="7"/>
      <c r="C618" s="8"/>
      <c r="D618" s="9"/>
      <c r="E618" s="10"/>
      <c r="F618" s="8"/>
      <c r="G618" s="8"/>
      <c r="H618" s="9"/>
      <c r="I618" s="10"/>
      <c r="J618" s="8"/>
      <c r="K618" s="10"/>
      <c r="L618" s="10"/>
      <c r="M618" s="10"/>
      <c r="N618" s="10"/>
      <c r="O618" s="10"/>
      <c r="P618" s="8"/>
      <c r="Q618" s="9"/>
    </row>
    <row r="619" spans="2:17" x14ac:dyDescent="0.2">
      <c r="B619" s="7"/>
      <c r="C619" s="8"/>
      <c r="D619" s="9"/>
      <c r="E619" s="10"/>
      <c r="F619" s="8"/>
      <c r="G619" s="8"/>
      <c r="H619" s="9"/>
      <c r="I619" s="10"/>
      <c r="J619" s="8"/>
      <c r="K619" s="10"/>
      <c r="L619" s="10"/>
      <c r="M619" s="10"/>
      <c r="N619" s="10"/>
      <c r="O619" s="10"/>
      <c r="P619" s="8"/>
      <c r="Q619" s="9"/>
    </row>
    <row r="620" spans="2:17" x14ac:dyDescent="0.2">
      <c r="B620" s="7"/>
      <c r="C620" s="8"/>
      <c r="D620" s="9"/>
      <c r="E620" s="10"/>
      <c r="F620" s="8"/>
      <c r="G620" s="8"/>
      <c r="H620" s="9"/>
      <c r="I620" s="10"/>
      <c r="J620" s="8"/>
      <c r="K620" s="10"/>
      <c r="L620" s="10"/>
      <c r="M620" s="10"/>
      <c r="N620" s="10"/>
      <c r="O620" s="10"/>
      <c r="P620" s="8"/>
      <c r="Q620" s="9"/>
    </row>
    <row r="621" spans="2:17" x14ac:dyDescent="0.2">
      <c r="B621" s="7"/>
      <c r="C621" s="8"/>
      <c r="D621" s="9"/>
      <c r="E621" s="10"/>
      <c r="F621" s="8"/>
      <c r="G621" s="8"/>
      <c r="H621" s="9"/>
      <c r="I621" s="10"/>
      <c r="J621" s="8"/>
      <c r="K621" s="10"/>
      <c r="L621" s="10"/>
      <c r="M621" s="10"/>
      <c r="N621" s="10"/>
      <c r="O621" s="10"/>
      <c r="P621" s="8"/>
      <c r="Q621" s="9"/>
    </row>
    <row r="622" spans="2:17" x14ac:dyDescent="0.2">
      <c r="B622" s="7"/>
      <c r="C622" s="8"/>
      <c r="D622" s="9"/>
      <c r="E622" s="10"/>
      <c r="F622" s="8"/>
      <c r="G622" s="8"/>
      <c r="H622" s="9"/>
      <c r="I622" s="10"/>
      <c r="J622" s="8"/>
      <c r="K622" s="10"/>
      <c r="L622" s="10"/>
      <c r="M622" s="10"/>
      <c r="N622" s="10"/>
      <c r="O622" s="10"/>
      <c r="P622" s="8"/>
      <c r="Q622" s="9"/>
    </row>
    <row r="623" spans="2:17" x14ac:dyDescent="0.2">
      <c r="B623" s="7"/>
      <c r="C623" s="8"/>
      <c r="D623" s="9"/>
      <c r="E623" s="10"/>
      <c r="F623" s="8"/>
      <c r="G623" s="8"/>
      <c r="H623" s="9"/>
      <c r="I623" s="10"/>
      <c r="J623" s="8"/>
      <c r="K623" s="10"/>
      <c r="L623" s="10"/>
      <c r="M623" s="10"/>
      <c r="N623" s="10"/>
      <c r="O623" s="10"/>
      <c r="P623" s="8"/>
      <c r="Q623" s="9"/>
    </row>
    <row r="624" spans="2:17" x14ac:dyDescent="0.2">
      <c r="B624" s="7"/>
      <c r="C624" s="8"/>
      <c r="D624" s="9"/>
      <c r="E624" s="10"/>
      <c r="F624" s="8"/>
      <c r="G624" s="8"/>
      <c r="H624" s="9"/>
      <c r="I624" s="10"/>
      <c r="J624" s="8"/>
      <c r="K624" s="10"/>
      <c r="L624" s="10"/>
      <c r="M624" s="10"/>
      <c r="N624" s="10"/>
      <c r="O624" s="10"/>
      <c r="P624" s="8"/>
      <c r="Q624" s="9"/>
    </row>
    <row r="625" spans="2:17" x14ac:dyDescent="0.2">
      <c r="B625" s="7"/>
      <c r="C625" s="8"/>
      <c r="D625" s="9"/>
      <c r="E625" s="10"/>
      <c r="F625" s="8"/>
      <c r="G625" s="8"/>
      <c r="H625" s="9"/>
      <c r="I625" s="10"/>
      <c r="J625" s="8"/>
      <c r="K625" s="10"/>
      <c r="L625" s="10"/>
      <c r="M625" s="10"/>
      <c r="N625" s="10"/>
      <c r="O625" s="10"/>
      <c r="P625" s="8"/>
      <c r="Q625" s="9"/>
    </row>
    <row r="626" spans="2:17" x14ac:dyDescent="0.2">
      <c r="B626" s="7"/>
      <c r="C626" s="8"/>
      <c r="D626" s="9"/>
      <c r="E626" s="10"/>
      <c r="F626" s="8"/>
      <c r="G626" s="8"/>
      <c r="H626" s="9"/>
      <c r="I626" s="10"/>
      <c r="J626" s="8"/>
      <c r="K626" s="10"/>
      <c r="L626" s="10"/>
      <c r="M626" s="10"/>
      <c r="N626" s="10"/>
      <c r="O626" s="10"/>
      <c r="P626" s="8"/>
      <c r="Q626" s="9"/>
    </row>
    <row r="627" spans="2:17" x14ac:dyDescent="0.2">
      <c r="B627" s="7"/>
      <c r="C627" s="8"/>
      <c r="D627" s="9"/>
      <c r="E627" s="10"/>
      <c r="F627" s="8"/>
      <c r="G627" s="8"/>
      <c r="H627" s="9"/>
      <c r="I627" s="10"/>
      <c r="J627" s="8"/>
      <c r="K627" s="10"/>
      <c r="L627" s="10"/>
      <c r="M627" s="10"/>
      <c r="N627" s="10"/>
      <c r="O627" s="10"/>
      <c r="P627" s="8"/>
      <c r="Q627" s="9"/>
    </row>
    <row r="628" spans="2:17" x14ac:dyDescent="0.2">
      <c r="B628" s="7"/>
      <c r="C628" s="8"/>
      <c r="D628" s="9"/>
      <c r="E628" s="10"/>
      <c r="F628" s="8"/>
      <c r="G628" s="8"/>
      <c r="H628" s="9"/>
      <c r="I628" s="10"/>
      <c r="J628" s="8"/>
      <c r="K628" s="10"/>
      <c r="L628" s="10"/>
      <c r="M628" s="10"/>
      <c r="N628" s="10"/>
      <c r="O628" s="10"/>
      <c r="P628" s="8"/>
      <c r="Q628" s="9"/>
    </row>
    <row r="629" spans="2:17" x14ac:dyDescent="0.2">
      <c r="B629" s="7"/>
      <c r="C629" s="8"/>
      <c r="D629" s="9"/>
      <c r="E629" s="10"/>
      <c r="F629" s="8"/>
      <c r="G629" s="8"/>
      <c r="H629" s="9"/>
      <c r="I629" s="10"/>
      <c r="J629" s="8"/>
      <c r="K629" s="10"/>
      <c r="L629" s="10"/>
      <c r="M629" s="10"/>
      <c r="N629" s="10"/>
      <c r="O629" s="10"/>
      <c r="P629" s="8"/>
      <c r="Q629" s="9"/>
    </row>
    <row r="630" spans="2:17" x14ac:dyDescent="0.2">
      <c r="B630" s="7"/>
      <c r="C630" s="8"/>
      <c r="D630" s="9"/>
      <c r="E630" s="10"/>
      <c r="F630" s="8"/>
      <c r="G630" s="8"/>
      <c r="H630" s="9"/>
      <c r="I630" s="10"/>
      <c r="J630" s="8"/>
      <c r="K630" s="10"/>
      <c r="L630" s="10"/>
      <c r="M630" s="10"/>
      <c r="N630" s="10"/>
      <c r="O630" s="10"/>
      <c r="P630" s="8"/>
      <c r="Q630" s="9"/>
    </row>
    <row r="631" spans="2:17" x14ac:dyDescent="0.2">
      <c r="B631" s="7"/>
      <c r="C631" s="8"/>
      <c r="D631" s="9"/>
      <c r="E631" s="10"/>
      <c r="F631" s="8"/>
      <c r="G631" s="8"/>
      <c r="H631" s="9"/>
      <c r="I631" s="10"/>
      <c r="J631" s="8"/>
      <c r="K631" s="10"/>
      <c r="L631" s="10"/>
      <c r="M631" s="10"/>
      <c r="N631" s="10"/>
      <c r="O631" s="10"/>
      <c r="P631" s="8"/>
      <c r="Q631" s="9"/>
    </row>
    <row r="632" spans="2:17" x14ac:dyDescent="0.2">
      <c r="B632" s="7"/>
      <c r="C632" s="8"/>
      <c r="D632" s="9"/>
      <c r="E632" s="10"/>
      <c r="F632" s="8"/>
      <c r="G632" s="8"/>
      <c r="H632" s="9"/>
      <c r="I632" s="10"/>
      <c r="J632" s="8"/>
      <c r="K632" s="10"/>
      <c r="L632" s="10"/>
      <c r="M632" s="10"/>
      <c r="N632" s="10"/>
      <c r="O632" s="10"/>
      <c r="P632" s="8"/>
      <c r="Q632" s="9"/>
    </row>
    <row r="633" spans="2:17" x14ac:dyDescent="0.2">
      <c r="B633" s="7"/>
      <c r="C633" s="8"/>
      <c r="D633" s="9"/>
      <c r="E633" s="10"/>
      <c r="F633" s="8"/>
      <c r="G633" s="8"/>
      <c r="H633" s="9"/>
      <c r="I633" s="10"/>
      <c r="J633" s="8"/>
      <c r="K633" s="10"/>
      <c r="L633" s="10"/>
      <c r="M633" s="10"/>
      <c r="N633" s="10"/>
      <c r="O633" s="10"/>
      <c r="P633" s="8"/>
      <c r="Q633" s="9"/>
    </row>
    <row r="634" spans="2:17" x14ac:dyDescent="0.2">
      <c r="B634" s="7"/>
      <c r="C634" s="8"/>
      <c r="D634" s="9"/>
      <c r="E634" s="10"/>
      <c r="F634" s="8"/>
      <c r="G634" s="8"/>
      <c r="H634" s="9"/>
      <c r="I634" s="10"/>
      <c r="J634" s="8"/>
      <c r="K634" s="10"/>
      <c r="L634" s="10"/>
      <c r="M634" s="10"/>
      <c r="N634" s="10"/>
      <c r="O634" s="10"/>
      <c r="P634" s="8"/>
      <c r="Q634" s="9"/>
    </row>
    <row r="635" spans="2:17" x14ac:dyDescent="0.2">
      <c r="B635" s="7"/>
      <c r="C635" s="8"/>
      <c r="D635" s="9"/>
      <c r="E635" s="10"/>
      <c r="F635" s="8"/>
      <c r="G635" s="8"/>
      <c r="H635" s="9"/>
      <c r="I635" s="10"/>
      <c r="J635" s="8"/>
      <c r="K635" s="10"/>
      <c r="L635" s="10"/>
      <c r="M635" s="10"/>
      <c r="N635" s="10"/>
      <c r="O635" s="10"/>
      <c r="P635" s="8"/>
      <c r="Q635" s="9"/>
    </row>
    <row r="636" spans="2:17" x14ac:dyDescent="0.2">
      <c r="B636" s="7"/>
      <c r="C636" s="8"/>
      <c r="D636" s="9"/>
      <c r="E636" s="10"/>
      <c r="F636" s="8"/>
      <c r="G636" s="8"/>
      <c r="H636" s="9"/>
      <c r="I636" s="10"/>
      <c r="J636" s="8"/>
      <c r="K636" s="10"/>
      <c r="L636" s="10"/>
      <c r="M636" s="10"/>
      <c r="N636" s="10"/>
      <c r="O636" s="10"/>
      <c r="P636" s="8"/>
      <c r="Q636" s="9"/>
    </row>
    <row r="637" spans="2:17" x14ac:dyDescent="0.2">
      <c r="B637" s="7"/>
      <c r="C637" s="8"/>
      <c r="D637" s="9"/>
      <c r="E637" s="10"/>
      <c r="F637" s="8"/>
      <c r="G637" s="8"/>
      <c r="H637" s="9"/>
      <c r="I637" s="10"/>
      <c r="J637" s="8"/>
      <c r="K637" s="10"/>
      <c r="L637" s="10"/>
      <c r="M637" s="10"/>
      <c r="N637" s="10"/>
      <c r="O637" s="10"/>
      <c r="P637" s="8"/>
      <c r="Q637" s="9"/>
    </row>
    <row r="638" spans="2:17" x14ac:dyDescent="0.2">
      <c r="B638" s="7"/>
      <c r="C638" s="8"/>
      <c r="D638" s="9"/>
      <c r="E638" s="10"/>
      <c r="F638" s="8"/>
      <c r="G638" s="8"/>
      <c r="H638" s="9"/>
      <c r="I638" s="10"/>
      <c r="J638" s="8"/>
      <c r="K638" s="10"/>
      <c r="L638" s="10"/>
      <c r="M638" s="10"/>
      <c r="N638" s="10"/>
      <c r="O638" s="10"/>
      <c r="P638" s="8"/>
      <c r="Q638" s="9"/>
    </row>
    <row r="639" spans="2:17" x14ac:dyDescent="0.2">
      <c r="B639" s="7"/>
      <c r="C639" s="8"/>
      <c r="D639" s="9"/>
      <c r="E639" s="10"/>
      <c r="F639" s="8"/>
      <c r="G639" s="8"/>
      <c r="H639" s="9"/>
      <c r="I639" s="10"/>
      <c r="J639" s="8"/>
      <c r="K639" s="10"/>
      <c r="L639" s="10"/>
      <c r="M639" s="10"/>
      <c r="N639" s="10"/>
      <c r="O639" s="10"/>
      <c r="P639" s="8"/>
      <c r="Q639" s="9"/>
    </row>
    <row r="640" spans="2:17" x14ac:dyDescent="0.2">
      <c r="B640" s="7"/>
      <c r="C640" s="8"/>
      <c r="D640" s="9"/>
      <c r="E640" s="10"/>
      <c r="F640" s="8"/>
      <c r="G640" s="8"/>
      <c r="H640" s="9"/>
      <c r="I640" s="10"/>
      <c r="J640" s="8"/>
      <c r="K640" s="10"/>
      <c r="L640" s="10"/>
      <c r="M640" s="10"/>
      <c r="N640" s="10"/>
      <c r="O640" s="10"/>
      <c r="P640" s="8"/>
      <c r="Q640" s="9"/>
    </row>
    <row r="641" spans="2:17" x14ac:dyDescent="0.2">
      <c r="B641" s="7"/>
      <c r="C641" s="8"/>
      <c r="D641" s="9"/>
      <c r="E641" s="10"/>
      <c r="F641" s="8"/>
      <c r="G641" s="8"/>
      <c r="H641" s="9"/>
      <c r="I641" s="10"/>
      <c r="J641" s="8"/>
      <c r="K641" s="10"/>
      <c r="L641" s="10"/>
      <c r="M641" s="10"/>
      <c r="N641" s="10"/>
      <c r="O641" s="10"/>
      <c r="P641" s="8"/>
      <c r="Q641" s="9"/>
    </row>
    <row r="642" spans="2:17" x14ac:dyDescent="0.2">
      <c r="B642" s="7"/>
      <c r="C642" s="8"/>
      <c r="D642" s="9"/>
      <c r="E642" s="10"/>
      <c r="F642" s="8"/>
      <c r="G642" s="8"/>
      <c r="H642" s="9"/>
      <c r="I642" s="10"/>
      <c r="J642" s="8"/>
      <c r="K642" s="10"/>
      <c r="L642" s="10"/>
      <c r="M642" s="10"/>
      <c r="N642" s="10"/>
      <c r="O642" s="10"/>
      <c r="P642" s="8"/>
      <c r="Q642" s="9"/>
    </row>
    <row r="643" spans="2:17" x14ac:dyDescent="0.2">
      <c r="B643" s="7"/>
      <c r="C643" s="8"/>
      <c r="D643" s="9"/>
      <c r="E643" s="10"/>
      <c r="F643" s="8"/>
      <c r="G643" s="8"/>
      <c r="H643" s="9"/>
      <c r="I643" s="10"/>
      <c r="J643" s="8"/>
      <c r="K643" s="10"/>
      <c r="L643" s="10"/>
      <c r="M643" s="10"/>
      <c r="N643" s="10"/>
      <c r="O643" s="10"/>
      <c r="P643" s="8"/>
      <c r="Q643" s="9"/>
    </row>
    <row r="644" spans="2:17" x14ac:dyDescent="0.2">
      <c r="B644" s="7"/>
      <c r="C644" s="8"/>
      <c r="D644" s="9"/>
      <c r="E644" s="10"/>
      <c r="F644" s="8"/>
      <c r="G644" s="8"/>
      <c r="H644" s="9"/>
      <c r="I644" s="10"/>
      <c r="J644" s="8"/>
      <c r="K644" s="10"/>
      <c r="L644" s="10"/>
      <c r="M644" s="10"/>
      <c r="N644" s="10"/>
      <c r="O644" s="10"/>
      <c r="P644" s="8"/>
      <c r="Q644" s="9"/>
    </row>
    <row r="645" spans="2:17" x14ac:dyDescent="0.2">
      <c r="B645" s="7"/>
      <c r="C645" s="8"/>
      <c r="D645" s="9"/>
      <c r="E645" s="10"/>
      <c r="F645" s="8"/>
      <c r="G645" s="8"/>
      <c r="H645" s="9"/>
      <c r="I645" s="10"/>
      <c r="J645" s="8"/>
      <c r="K645" s="10"/>
      <c r="L645" s="10"/>
      <c r="M645" s="10"/>
      <c r="N645" s="10"/>
      <c r="O645" s="10"/>
      <c r="P645" s="8"/>
      <c r="Q645" s="9"/>
    </row>
    <row r="646" spans="2:17" x14ac:dyDescent="0.2">
      <c r="B646" s="7"/>
      <c r="C646" s="8"/>
      <c r="D646" s="9"/>
      <c r="E646" s="10"/>
      <c r="F646" s="8"/>
      <c r="G646" s="8"/>
      <c r="H646" s="9"/>
      <c r="I646" s="10"/>
      <c r="J646" s="8"/>
      <c r="K646" s="10"/>
      <c r="L646" s="10"/>
      <c r="M646" s="10"/>
      <c r="N646" s="10"/>
      <c r="O646" s="10"/>
      <c r="P646" s="8"/>
      <c r="Q646" s="9"/>
    </row>
    <row r="647" spans="2:17" x14ac:dyDescent="0.2">
      <c r="B647" s="7"/>
      <c r="C647" s="8"/>
      <c r="D647" s="9"/>
      <c r="E647" s="10"/>
      <c r="F647" s="8"/>
      <c r="G647" s="8"/>
      <c r="H647" s="9"/>
      <c r="I647" s="10"/>
      <c r="J647" s="8"/>
      <c r="K647" s="10"/>
      <c r="L647" s="10"/>
      <c r="M647" s="10"/>
      <c r="N647" s="10"/>
      <c r="O647" s="10"/>
      <c r="P647" s="8"/>
      <c r="Q647" s="9"/>
    </row>
    <row r="648" spans="2:17" x14ac:dyDescent="0.2">
      <c r="B648" s="7"/>
      <c r="C648" s="8"/>
      <c r="D648" s="9"/>
      <c r="E648" s="10"/>
      <c r="F648" s="8"/>
      <c r="G648" s="8"/>
      <c r="H648" s="9"/>
      <c r="I648" s="10"/>
      <c r="J648" s="8"/>
      <c r="K648" s="10"/>
      <c r="L648" s="10"/>
      <c r="M648" s="10"/>
      <c r="N648" s="10"/>
      <c r="O648" s="10"/>
      <c r="P648" s="8"/>
      <c r="Q648" s="9"/>
    </row>
    <row r="649" spans="2:17" x14ac:dyDescent="0.2">
      <c r="B649" s="7"/>
      <c r="C649" s="8"/>
      <c r="D649" s="9"/>
      <c r="E649" s="10"/>
      <c r="F649" s="8"/>
      <c r="G649" s="8"/>
      <c r="H649" s="9"/>
      <c r="I649" s="10"/>
      <c r="J649" s="8"/>
      <c r="K649" s="10"/>
      <c r="L649" s="10"/>
      <c r="M649" s="10"/>
      <c r="N649" s="10"/>
      <c r="O649" s="10"/>
      <c r="P649" s="8"/>
      <c r="Q649" s="9"/>
    </row>
    <row r="650" spans="2:17" x14ac:dyDescent="0.2">
      <c r="B650" s="7"/>
      <c r="C650" s="8"/>
      <c r="D650" s="9"/>
      <c r="E650" s="10"/>
      <c r="F650" s="8"/>
      <c r="G650" s="8"/>
      <c r="H650" s="9"/>
      <c r="I650" s="10"/>
      <c r="J650" s="8"/>
      <c r="K650" s="10"/>
      <c r="L650" s="10"/>
      <c r="M650" s="10"/>
      <c r="N650" s="10"/>
      <c r="O650" s="10"/>
      <c r="P650" s="8"/>
      <c r="Q650" s="9"/>
    </row>
    <row r="651" spans="2:17" x14ac:dyDescent="0.2">
      <c r="B651" s="7"/>
      <c r="C651" s="8"/>
      <c r="D651" s="9"/>
      <c r="E651" s="10"/>
      <c r="F651" s="8"/>
      <c r="G651" s="8"/>
      <c r="H651" s="9"/>
      <c r="I651" s="10"/>
      <c r="J651" s="8"/>
      <c r="K651" s="10"/>
      <c r="L651" s="10"/>
      <c r="M651" s="10"/>
      <c r="N651" s="10"/>
      <c r="O651" s="10"/>
      <c r="P651" s="8"/>
      <c r="Q651" s="9"/>
    </row>
    <row r="652" spans="2:17" x14ac:dyDescent="0.2">
      <c r="B652" s="7"/>
      <c r="C652" s="8"/>
      <c r="D652" s="9"/>
      <c r="E652" s="10"/>
      <c r="F652" s="8"/>
      <c r="G652" s="8"/>
      <c r="H652" s="9"/>
      <c r="I652" s="10"/>
      <c r="J652" s="8"/>
      <c r="K652" s="10"/>
      <c r="L652" s="10"/>
      <c r="M652" s="10"/>
      <c r="N652" s="10"/>
      <c r="O652" s="10"/>
      <c r="P652" s="8"/>
      <c r="Q652" s="9"/>
    </row>
    <row r="653" spans="2:17" x14ac:dyDescent="0.2">
      <c r="B653" s="7"/>
      <c r="C653" s="8"/>
      <c r="D653" s="9"/>
      <c r="E653" s="10"/>
      <c r="F653" s="8"/>
      <c r="G653" s="8"/>
      <c r="H653" s="9"/>
      <c r="I653" s="10"/>
      <c r="J653" s="8"/>
      <c r="K653" s="10"/>
      <c r="L653" s="10"/>
      <c r="M653" s="10"/>
      <c r="N653" s="10"/>
      <c r="O653" s="10"/>
      <c r="P653" s="8"/>
      <c r="Q653" s="9"/>
    </row>
    <row r="654" spans="2:17" x14ac:dyDescent="0.2">
      <c r="B654" s="7"/>
      <c r="C654" s="8"/>
      <c r="D654" s="9"/>
      <c r="E654" s="10"/>
      <c r="F654" s="8"/>
      <c r="G654" s="8"/>
      <c r="H654" s="9"/>
      <c r="I654" s="10"/>
      <c r="J654" s="8"/>
      <c r="K654" s="10"/>
      <c r="L654" s="10"/>
      <c r="M654" s="10"/>
      <c r="N654" s="10"/>
      <c r="O654" s="10"/>
      <c r="P654" s="8"/>
      <c r="Q654" s="9"/>
    </row>
    <row r="655" spans="2:17" x14ac:dyDescent="0.2">
      <c r="B655" s="7"/>
      <c r="C655" s="8"/>
      <c r="D655" s="9"/>
      <c r="E655" s="10"/>
      <c r="F655" s="8"/>
      <c r="G655" s="8"/>
      <c r="H655" s="9"/>
      <c r="I655" s="10"/>
      <c r="J655" s="8"/>
      <c r="K655" s="10"/>
      <c r="L655" s="10"/>
      <c r="M655" s="10"/>
      <c r="N655" s="10"/>
      <c r="O655" s="10"/>
      <c r="P655" s="8"/>
      <c r="Q655" s="9"/>
    </row>
    <row r="656" spans="2:17" x14ac:dyDescent="0.2">
      <c r="B656" s="7"/>
      <c r="C656" s="8"/>
      <c r="D656" s="9"/>
      <c r="E656" s="10"/>
      <c r="F656" s="8"/>
      <c r="G656" s="8"/>
      <c r="H656" s="9"/>
      <c r="I656" s="10"/>
      <c r="J656" s="8"/>
      <c r="K656" s="10"/>
      <c r="L656" s="10"/>
      <c r="M656" s="10"/>
      <c r="N656" s="10"/>
      <c r="O656" s="10"/>
      <c r="P656" s="8"/>
      <c r="Q656" s="9"/>
    </row>
    <row r="657" spans="2:17" x14ac:dyDescent="0.2">
      <c r="B657" s="7"/>
      <c r="C657" s="8"/>
      <c r="D657" s="9"/>
      <c r="E657" s="10"/>
      <c r="F657" s="8"/>
      <c r="G657" s="8"/>
      <c r="H657" s="9"/>
      <c r="I657" s="10"/>
      <c r="J657" s="8"/>
      <c r="K657" s="10"/>
      <c r="L657" s="10"/>
      <c r="M657" s="10"/>
      <c r="N657" s="10"/>
      <c r="O657" s="10"/>
      <c r="P657" s="8"/>
      <c r="Q657" s="9"/>
    </row>
    <row r="658" spans="2:17" x14ac:dyDescent="0.2">
      <c r="B658" s="7"/>
      <c r="C658" s="8"/>
      <c r="D658" s="9"/>
      <c r="E658" s="10"/>
      <c r="F658" s="8"/>
      <c r="G658" s="8"/>
      <c r="H658" s="9"/>
      <c r="I658" s="10"/>
      <c r="J658" s="8"/>
      <c r="K658" s="10"/>
      <c r="L658" s="10"/>
      <c r="M658" s="10"/>
      <c r="N658" s="10"/>
      <c r="O658" s="10"/>
      <c r="P658" s="8"/>
      <c r="Q658" s="9"/>
    </row>
    <row r="659" spans="2:17" x14ac:dyDescent="0.2">
      <c r="B659" s="7"/>
      <c r="C659" s="8"/>
      <c r="D659" s="9"/>
      <c r="E659" s="10"/>
      <c r="F659" s="8"/>
      <c r="G659" s="8"/>
      <c r="H659" s="9"/>
      <c r="I659" s="10"/>
      <c r="J659" s="8"/>
      <c r="K659" s="10"/>
      <c r="L659" s="10"/>
      <c r="M659" s="10"/>
      <c r="N659" s="10"/>
      <c r="O659" s="10"/>
      <c r="P659" s="8"/>
      <c r="Q659" s="9"/>
    </row>
    <row r="660" spans="2:17" x14ac:dyDescent="0.2">
      <c r="B660" s="7"/>
      <c r="C660" s="8"/>
      <c r="D660" s="9"/>
      <c r="E660" s="10"/>
      <c r="F660" s="8"/>
      <c r="G660" s="8"/>
      <c r="H660" s="9"/>
      <c r="I660" s="10"/>
      <c r="J660" s="8"/>
      <c r="K660" s="10"/>
      <c r="L660" s="10"/>
      <c r="M660" s="10"/>
      <c r="N660" s="10"/>
      <c r="O660" s="10"/>
      <c r="P660" s="8"/>
      <c r="Q660" s="9"/>
    </row>
    <row r="661" spans="2:17" x14ac:dyDescent="0.2">
      <c r="B661" s="7"/>
      <c r="C661" s="8"/>
      <c r="D661" s="9"/>
      <c r="E661" s="10"/>
      <c r="F661" s="8"/>
      <c r="G661" s="8"/>
      <c r="H661" s="9"/>
      <c r="I661" s="10"/>
      <c r="J661" s="8"/>
      <c r="K661" s="10"/>
      <c r="L661" s="10"/>
      <c r="M661" s="10"/>
      <c r="N661" s="10"/>
      <c r="O661" s="10"/>
      <c r="P661" s="8"/>
      <c r="Q661" s="9"/>
    </row>
    <row r="662" spans="2:17" x14ac:dyDescent="0.2">
      <c r="B662" s="7"/>
      <c r="C662" s="8"/>
      <c r="D662" s="9"/>
      <c r="E662" s="10"/>
      <c r="F662" s="8"/>
      <c r="G662" s="8"/>
      <c r="H662" s="9"/>
      <c r="I662" s="10"/>
      <c r="J662" s="8"/>
      <c r="K662" s="10"/>
      <c r="L662" s="10"/>
      <c r="M662" s="10"/>
      <c r="N662" s="10"/>
      <c r="O662" s="10"/>
      <c r="P662" s="8"/>
      <c r="Q662" s="9"/>
    </row>
    <row r="663" spans="2:17" x14ac:dyDescent="0.2">
      <c r="B663" s="7"/>
      <c r="C663" s="8"/>
      <c r="D663" s="9"/>
      <c r="E663" s="10"/>
      <c r="F663" s="8"/>
      <c r="G663" s="8"/>
      <c r="H663" s="9"/>
      <c r="I663" s="10"/>
      <c r="J663" s="8"/>
      <c r="K663" s="10"/>
      <c r="L663" s="10"/>
      <c r="M663" s="10"/>
      <c r="N663" s="10"/>
      <c r="O663" s="10"/>
      <c r="P663" s="8"/>
      <c r="Q663" s="9"/>
    </row>
    <row r="664" spans="2:17" x14ac:dyDescent="0.2">
      <c r="B664" s="7"/>
      <c r="C664" s="8"/>
      <c r="D664" s="9"/>
      <c r="E664" s="10"/>
      <c r="F664" s="8"/>
      <c r="G664" s="8"/>
      <c r="H664" s="9"/>
      <c r="I664" s="10"/>
      <c r="J664" s="8"/>
      <c r="K664" s="10"/>
      <c r="L664" s="10"/>
      <c r="M664" s="10"/>
      <c r="N664" s="10"/>
      <c r="O664" s="10"/>
      <c r="P664" s="8"/>
      <c r="Q664" s="9"/>
    </row>
    <row r="665" spans="2:17" x14ac:dyDescent="0.2">
      <c r="B665" s="7"/>
      <c r="C665" s="8"/>
      <c r="D665" s="9"/>
      <c r="E665" s="10"/>
      <c r="F665" s="8"/>
      <c r="G665" s="8"/>
      <c r="H665" s="9"/>
      <c r="I665" s="10"/>
      <c r="J665" s="8"/>
      <c r="K665" s="10"/>
      <c r="L665" s="10"/>
      <c r="M665" s="10"/>
      <c r="N665" s="10"/>
      <c r="O665" s="10"/>
      <c r="P665" s="8"/>
      <c r="Q665" s="9"/>
    </row>
    <row r="666" spans="2:17" x14ac:dyDescent="0.2">
      <c r="B666" s="7"/>
      <c r="C666" s="8"/>
      <c r="D666" s="9"/>
      <c r="E666" s="10"/>
      <c r="F666" s="8"/>
      <c r="G666" s="8"/>
      <c r="H666" s="9"/>
      <c r="I666" s="10"/>
      <c r="J666" s="8"/>
      <c r="K666" s="10"/>
      <c r="L666" s="10"/>
      <c r="M666" s="10"/>
      <c r="N666" s="10"/>
      <c r="O666" s="10"/>
      <c r="P666" s="8"/>
      <c r="Q666" s="9"/>
    </row>
    <row r="667" spans="2:17" x14ac:dyDescent="0.2">
      <c r="B667" s="7"/>
      <c r="C667" s="8"/>
      <c r="D667" s="9"/>
      <c r="E667" s="10"/>
      <c r="F667" s="8"/>
      <c r="G667" s="8"/>
      <c r="H667" s="9"/>
      <c r="I667" s="10"/>
      <c r="J667" s="8"/>
      <c r="K667" s="10"/>
      <c r="L667" s="10"/>
      <c r="M667" s="10"/>
      <c r="N667" s="10"/>
      <c r="O667" s="10"/>
      <c r="P667" s="8"/>
      <c r="Q667" s="9"/>
    </row>
    <row r="668" spans="2:17" x14ac:dyDescent="0.2">
      <c r="B668" s="7"/>
      <c r="C668" s="8"/>
      <c r="D668" s="9"/>
      <c r="E668" s="10"/>
      <c r="F668" s="8"/>
      <c r="G668" s="8"/>
      <c r="H668" s="9"/>
      <c r="I668" s="10"/>
      <c r="J668" s="8"/>
      <c r="K668" s="10"/>
      <c r="L668" s="10"/>
      <c r="M668" s="10"/>
      <c r="N668" s="10"/>
      <c r="O668" s="10"/>
      <c r="P668" s="8"/>
      <c r="Q668" s="9"/>
    </row>
    <row r="669" spans="2:17" x14ac:dyDescent="0.2">
      <c r="B669" s="7"/>
      <c r="C669" s="8"/>
      <c r="D669" s="9"/>
      <c r="E669" s="10"/>
      <c r="F669" s="8"/>
      <c r="G669" s="8"/>
      <c r="H669" s="9"/>
      <c r="I669" s="10"/>
      <c r="J669" s="8"/>
      <c r="K669" s="10"/>
      <c r="L669" s="10"/>
      <c r="M669" s="10"/>
      <c r="N669" s="10"/>
      <c r="O669" s="10"/>
      <c r="P669" s="8"/>
      <c r="Q669" s="9"/>
    </row>
    <row r="670" spans="2:17" x14ac:dyDescent="0.2">
      <c r="B670" s="7"/>
      <c r="C670" s="8"/>
      <c r="D670" s="9"/>
      <c r="E670" s="10"/>
      <c r="F670" s="8"/>
      <c r="G670" s="8"/>
      <c r="H670" s="9"/>
      <c r="I670" s="10"/>
      <c r="J670" s="8"/>
      <c r="K670" s="10"/>
      <c r="L670" s="10"/>
      <c r="M670" s="10"/>
      <c r="N670" s="10"/>
      <c r="O670" s="10"/>
      <c r="P670" s="8"/>
      <c r="Q670" s="9"/>
    </row>
    <row r="671" spans="2:17" x14ac:dyDescent="0.2">
      <c r="B671" s="7"/>
      <c r="C671" s="8"/>
      <c r="D671" s="9"/>
      <c r="E671" s="10"/>
      <c r="F671" s="8"/>
      <c r="G671" s="8"/>
      <c r="H671" s="9"/>
      <c r="I671" s="10"/>
      <c r="J671" s="8"/>
      <c r="K671" s="10"/>
      <c r="L671" s="10"/>
      <c r="M671" s="10"/>
      <c r="N671" s="10"/>
      <c r="O671" s="10"/>
      <c r="P671" s="8"/>
      <c r="Q671" s="9"/>
    </row>
    <row r="672" spans="2:17" x14ac:dyDescent="0.2">
      <c r="B672" s="7"/>
      <c r="C672" s="8"/>
      <c r="D672" s="9"/>
      <c r="E672" s="10"/>
      <c r="F672" s="8"/>
      <c r="G672" s="8"/>
      <c r="H672" s="9"/>
      <c r="I672" s="10"/>
      <c r="J672" s="8"/>
      <c r="K672" s="10"/>
      <c r="L672" s="10"/>
      <c r="M672" s="10"/>
      <c r="N672" s="10"/>
      <c r="O672" s="10"/>
      <c r="P672" s="8"/>
      <c r="Q672" s="9"/>
    </row>
    <row r="673" spans="2:17" x14ac:dyDescent="0.2">
      <c r="B673" s="7"/>
      <c r="C673" s="8"/>
      <c r="D673" s="9"/>
      <c r="E673" s="10"/>
      <c r="F673" s="8"/>
      <c r="G673" s="8"/>
      <c r="H673" s="9"/>
      <c r="I673" s="10"/>
      <c r="J673" s="8"/>
      <c r="K673" s="10"/>
      <c r="L673" s="10"/>
      <c r="M673" s="10"/>
      <c r="N673" s="10"/>
      <c r="O673" s="10"/>
      <c r="P673" s="8"/>
      <c r="Q673" s="9"/>
    </row>
    <row r="674" spans="2:17" x14ac:dyDescent="0.2">
      <c r="B674" s="7"/>
      <c r="C674" s="8"/>
      <c r="D674" s="9"/>
      <c r="E674" s="10"/>
      <c r="F674" s="8"/>
      <c r="G674" s="8"/>
      <c r="H674" s="9"/>
      <c r="I674" s="10"/>
      <c r="J674" s="8"/>
      <c r="K674" s="10"/>
      <c r="L674" s="10"/>
      <c r="M674" s="10"/>
      <c r="N674" s="10"/>
      <c r="O674" s="10"/>
      <c r="P674" s="8"/>
      <c r="Q674" s="9"/>
    </row>
    <row r="675" spans="2:17" x14ac:dyDescent="0.2">
      <c r="B675" s="7"/>
      <c r="C675" s="8"/>
      <c r="D675" s="9"/>
      <c r="E675" s="10"/>
      <c r="F675" s="8"/>
      <c r="G675" s="8"/>
      <c r="H675" s="9"/>
      <c r="I675" s="10"/>
      <c r="J675" s="8"/>
      <c r="K675" s="10"/>
      <c r="L675" s="10"/>
      <c r="M675" s="10"/>
      <c r="N675" s="10"/>
      <c r="O675" s="10"/>
      <c r="P675" s="8"/>
      <c r="Q675" s="9"/>
    </row>
    <row r="676" spans="2:17" x14ac:dyDescent="0.2">
      <c r="B676" s="7"/>
      <c r="C676" s="8"/>
      <c r="D676" s="9"/>
      <c r="E676" s="10"/>
      <c r="F676" s="8"/>
      <c r="G676" s="8"/>
      <c r="H676" s="9"/>
      <c r="I676" s="10"/>
      <c r="J676" s="8"/>
      <c r="K676" s="10"/>
      <c r="L676" s="10"/>
      <c r="M676" s="10"/>
      <c r="N676" s="10"/>
      <c r="O676" s="10"/>
      <c r="P676" s="8"/>
      <c r="Q676" s="9"/>
    </row>
    <row r="677" spans="2:17" x14ac:dyDescent="0.2">
      <c r="B677" s="7"/>
      <c r="C677" s="8"/>
      <c r="D677" s="9"/>
      <c r="E677" s="10"/>
      <c r="F677" s="8"/>
      <c r="G677" s="8"/>
      <c r="H677" s="9"/>
      <c r="I677" s="10"/>
      <c r="J677" s="8"/>
      <c r="K677" s="10"/>
      <c r="L677" s="10"/>
      <c r="M677" s="10"/>
      <c r="N677" s="10"/>
      <c r="O677" s="10"/>
      <c r="P677" s="8"/>
      <c r="Q677" s="9"/>
    </row>
    <row r="678" spans="2:17" x14ac:dyDescent="0.2">
      <c r="B678" s="7"/>
      <c r="C678" s="8"/>
      <c r="D678" s="9"/>
      <c r="E678" s="10"/>
      <c r="F678" s="8"/>
      <c r="G678" s="8"/>
      <c r="H678" s="9"/>
      <c r="I678" s="10"/>
      <c r="J678" s="8"/>
      <c r="K678" s="10"/>
      <c r="L678" s="10"/>
      <c r="M678" s="10"/>
      <c r="N678" s="10"/>
      <c r="O678" s="10"/>
      <c r="P678" s="8"/>
      <c r="Q678" s="9"/>
    </row>
    <row r="679" spans="2:17" x14ac:dyDescent="0.2">
      <c r="B679" s="7"/>
      <c r="C679" s="8"/>
      <c r="D679" s="9"/>
      <c r="E679" s="10"/>
      <c r="F679" s="8"/>
      <c r="G679" s="8"/>
      <c r="H679" s="9"/>
      <c r="I679" s="10"/>
      <c r="J679" s="8"/>
      <c r="K679" s="10"/>
      <c r="L679" s="10"/>
      <c r="M679" s="10"/>
      <c r="N679" s="10"/>
      <c r="O679" s="10"/>
      <c r="P679" s="8"/>
      <c r="Q679" s="9"/>
    </row>
    <row r="680" spans="2:17" x14ac:dyDescent="0.2">
      <c r="B680" s="7"/>
      <c r="C680" s="8"/>
      <c r="D680" s="9"/>
      <c r="E680" s="10"/>
      <c r="F680" s="8"/>
      <c r="G680" s="8"/>
      <c r="H680" s="9"/>
      <c r="I680" s="10"/>
      <c r="J680" s="8"/>
      <c r="K680" s="10"/>
      <c r="L680" s="10"/>
      <c r="M680" s="10"/>
      <c r="N680" s="10"/>
      <c r="O680" s="10"/>
      <c r="P680" s="8"/>
      <c r="Q680" s="9"/>
    </row>
    <row r="681" spans="2:17" x14ac:dyDescent="0.2">
      <c r="B681" s="7"/>
      <c r="C681" s="8"/>
      <c r="D681" s="9"/>
      <c r="E681" s="10"/>
      <c r="F681" s="8"/>
      <c r="G681" s="8"/>
      <c r="H681" s="9"/>
      <c r="I681" s="10"/>
      <c r="J681" s="8"/>
      <c r="K681" s="10"/>
      <c r="L681" s="10"/>
      <c r="M681" s="10"/>
      <c r="N681" s="10"/>
      <c r="O681" s="10"/>
      <c r="P681" s="8"/>
      <c r="Q681" s="9"/>
    </row>
    <row r="682" spans="2:17" x14ac:dyDescent="0.2">
      <c r="B682" s="7"/>
      <c r="C682" s="8"/>
      <c r="D682" s="9"/>
      <c r="E682" s="10"/>
      <c r="F682" s="8"/>
      <c r="G682" s="8"/>
      <c r="H682" s="9"/>
      <c r="I682" s="10"/>
      <c r="J682" s="8"/>
      <c r="K682" s="10"/>
      <c r="L682" s="10"/>
      <c r="M682" s="10"/>
      <c r="N682" s="10"/>
      <c r="O682" s="10"/>
      <c r="P682" s="8"/>
      <c r="Q682" s="9"/>
    </row>
    <row r="683" spans="2:17" x14ac:dyDescent="0.2">
      <c r="B683" s="7"/>
      <c r="C683" s="8"/>
      <c r="D683" s="9"/>
      <c r="E683" s="10"/>
      <c r="F683" s="8"/>
      <c r="G683" s="8"/>
      <c r="H683" s="9"/>
      <c r="I683" s="10"/>
      <c r="J683" s="8"/>
      <c r="K683" s="10"/>
      <c r="L683" s="10"/>
      <c r="M683" s="10"/>
      <c r="N683" s="10"/>
      <c r="O683" s="10"/>
      <c r="P683" s="8"/>
      <c r="Q683" s="9"/>
    </row>
    <row r="684" spans="2:17" x14ac:dyDescent="0.2">
      <c r="B684" s="7"/>
      <c r="C684" s="8"/>
      <c r="D684" s="9"/>
      <c r="E684" s="10"/>
      <c r="F684" s="8"/>
      <c r="G684" s="8"/>
      <c r="H684" s="9"/>
      <c r="I684" s="10"/>
      <c r="J684" s="8"/>
      <c r="K684" s="10"/>
      <c r="L684" s="10"/>
      <c r="M684" s="10"/>
      <c r="N684" s="10"/>
      <c r="O684" s="10"/>
      <c r="P684" s="8"/>
      <c r="Q684" s="9"/>
    </row>
    <row r="685" spans="2:17" x14ac:dyDescent="0.2">
      <c r="B685" s="7"/>
      <c r="C685" s="8"/>
      <c r="D685" s="9"/>
      <c r="E685" s="10"/>
      <c r="F685" s="8"/>
      <c r="G685" s="8"/>
      <c r="H685" s="9"/>
      <c r="I685" s="10"/>
      <c r="J685" s="8"/>
      <c r="K685" s="10"/>
      <c r="L685" s="10"/>
      <c r="M685" s="10"/>
      <c r="N685" s="10"/>
      <c r="O685" s="10"/>
      <c r="P685" s="8"/>
      <c r="Q685" s="9"/>
    </row>
    <row r="686" spans="2:17" x14ac:dyDescent="0.2">
      <c r="B686" s="7"/>
      <c r="C686" s="8"/>
      <c r="D686" s="9"/>
      <c r="E686" s="10"/>
      <c r="F686" s="8"/>
      <c r="G686" s="8"/>
      <c r="H686" s="9"/>
      <c r="I686" s="10"/>
      <c r="J686" s="8"/>
      <c r="K686" s="10"/>
      <c r="L686" s="10"/>
      <c r="M686" s="10"/>
      <c r="N686" s="10"/>
      <c r="O686" s="10"/>
      <c r="P686" s="8"/>
      <c r="Q686" s="9"/>
    </row>
    <row r="687" spans="2:17" x14ac:dyDescent="0.2">
      <c r="B687" s="7"/>
      <c r="C687" s="8"/>
      <c r="D687" s="9"/>
      <c r="E687" s="10"/>
      <c r="F687" s="8"/>
      <c r="G687" s="8"/>
      <c r="H687" s="9"/>
      <c r="I687" s="10"/>
      <c r="J687" s="8"/>
      <c r="K687" s="10"/>
      <c r="L687" s="10"/>
      <c r="M687" s="10"/>
      <c r="N687" s="10"/>
      <c r="O687" s="10"/>
      <c r="P687" s="8"/>
      <c r="Q687" s="9"/>
    </row>
    <row r="688" spans="2:17" x14ac:dyDescent="0.2">
      <c r="B688" s="7"/>
      <c r="C688" s="8"/>
      <c r="D688" s="9"/>
      <c r="E688" s="10"/>
      <c r="F688" s="8"/>
      <c r="G688" s="8"/>
      <c r="H688" s="9"/>
      <c r="I688" s="10"/>
      <c r="J688" s="8"/>
      <c r="K688" s="10"/>
      <c r="L688" s="10"/>
      <c r="M688" s="10"/>
      <c r="N688" s="10"/>
      <c r="O688" s="10"/>
      <c r="P688" s="8"/>
      <c r="Q688" s="9"/>
    </row>
    <row r="689" spans="2:17" x14ac:dyDescent="0.2">
      <c r="B689" s="7"/>
      <c r="C689" s="8"/>
      <c r="D689" s="9"/>
      <c r="E689" s="10"/>
      <c r="F689" s="8"/>
      <c r="G689" s="8"/>
      <c r="H689" s="9"/>
      <c r="I689" s="10"/>
      <c r="J689" s="8"/>
      <c r="K689" s="10"/>
      <c r="L689" s="10"/>
      <c r="M689" s="10"/>
      <c r="N689" s="10"/>
      <c r="O689" s="10"/>
      <c r="P689" s="8"/>
      <c r="Q689" s="9"/>
    </row>
    <row r="690" spans="2:17" x14ac:dyDescent="0.2">
      <c r="B690" s="7"/>
      <c r="C690" s="8"/>
      <c r="D690" s="9"/>
      <c r="E690" s="10"/>
      <c r="F690" s="8"/>
      <c r="G690" s="8"/>
      <c r="H690" s="9"/>
      <c r="I690" s="10"/>
      <c r="J690" s="8"/>
      <c r="K690" s="10"/>
      <c r="L690" s="10"/>
      <c r="M690" s="10"/>
      <c r="N690" s="10"/>
      <c r="O690" s="10"/>
      <c r="P690" s="8"/>
      <c r="Q690" s="9"/>
    </row>
    <row r="691" spans="2:17" x14ac:dyDescent="0.2">
      <c r="B691" s="7"/>
      <c r="C691" s="8"/>
      <c r="D691" s="9"/>
      <c r="E691" s="10"/>
      <c r="F691" s="8"/>
      <c r="G691" s="8"/>
      <c r="H691" s="9"/>
      <c r="I691" s="10"/>
      <c r="J691" s="8"/>
      <c r="K691" s="10"/>
      <c r="L691" s="10"/>
      <c r="M691" s="10"/>
      <c r="N691" s="10"/>
      <c r="O691" s="10"/>
      <c r="P691" s="8"/>
      <c r="Q691" s="9"/>
    </row>
    <row r="692" spans="2:17" x14ac:dyDescent="0.2">
      <c r="B692" s="7"/>
      <c r="C692" s="8"/>
      <c r="D692" s="9"/>
      <c r="E692" s="10"/>
      <c r="F692" s="8"/>
      <c r="G692" s="8"/>
      <c r="H692" s="9"/>
      <c r="I692" s="10"/>
      <c r="J692" s="8"/>
      <c r="K692" s="10"/>
      <c r="L692" s="10"/>
      <c r="M692" s="10"/>
      <c r="N692" s="10"/>
      <c r="O692" s="10"/>
      <c r="P692" s="8"/>
      <c r="Q692" s="9"/>
    </row>
    <row r="693" spans="2:17" x14ac:dyDescent="0.2">
      <c r="B693" s="7"/>
      <c r="C693" s="8"/>
      <c r="D693" s="9"/>
      <c r="E693" s="10"/>
      <c r="F693" s="8"/>
      <c r="G693" s="8"/>
      <c r="H693" s="9"/>
      <c r="I693" s="10"/>
      <c r="J693" s="8"/>
      <c r="K693" s="10"/>
      <c r="L693" s="10"/>
      <c r="M693" s="10"/>
      <c r="N693" s="10"/>
      <c r="O693" s="10"/>
      <c r="P693" s="8"/>
      <c r="Q693" s="9"/>
    </row>
    <row r="694" spans="2:17" x14ac:dyDescent="0.2">
      <c r="B694" s="7"/>
      <c r="C694" s="8"/>
      <c r="D694" s="9"/>
      <c r="E694" s="10"/>
      <c r="F694" s="8"/>
      <c r="G694" s="8"/>
      <c r="H694" s="9"/>
      <c r="I694" s="10"/>
      <c r="J694" s="8"/>
      <c r="K694" s="10"/>
      <c r="L694" s="10"/>
      <c r="M694" s="10"/>
      <c r="N694" s="10"/>
      <c r="O694" s="10"/>
      <c r="P694" s="8"/>
      <c r="Q694" s="9"/>
    </row>
    <row r="695" spans="2:17" x14ac:dyDescent="0.2">
      <c r="B695" s="7"/>
      <c r="C695" s="8"/>
      <c r="D695" s="9"/>
      <c r="E695" s="10"/>
      <c r="F695" s="8"/>
      <c r="G695" s="8"/>
      <c r="H695" s="9"/>
      <c r="I695" s="10"/>
      <c r="J695" s="8"/>
      <c r="K695" s="10"/>
      <c r="L695" s="10"/>
      <c r="M695" s="10"/>
      <c r="N695" s="10"/>
      <c r="O695" s="10"/>
      <c r="P695" s="8"/>
      <c r="Q695" s="9"/>
    </row>
    <row r="696" spans="2:17" x14ac:dyDescent="0.2">
      <c r="B696" s="7"/>
      <c r="C696" s="8"/>
      <c r="D696" s="9"/>
      <c r="E696" s="10"/>
      <c r="F696" s="8"/>
      <c r="G696" s="8"/>
      <c r="H696" s="9"/>
      <c r="I696" s="10"/>
      <c r="J696" s="8"/>
      <c r="K696" s="10"/>
      <c r="L696" s="10"/>
      <c r="M696" s="10"/>
      <c r="N696" s="10"/>
      <c r="O696" s="10"/>
      <c r="P696" s="8"/>
      <c r="Q696" s="9"/>
    </row>
    <row r="697" spans="2:17" x14ac:dyDescent="0.2">
      <c r="B697" s="7"/>
      <c r="C697" s="8"/>
      <c r="D697" s="9"/>
      <c r="E697" s="10"/>
      <c r="F697" s="8"/>
      <c r="G697" s="8"/>
      <c r="H697" s="9"/>
      <c r="I697" s="10"/>
      <c r="J697" s="8"/>
      <c r="K697" s="10"/>
      <c r="L697" s="10"/>
      <c r="M697" s="10"/>
      <c r="N697" s="10"/>
      <c r="O697" s="10"/>
      <c r="P697" s="8"/>
      <c r="Q697" s="9"/>
    </row>
    <row r="698" spans="2:17" x14ac:dyDescent="0.2">
      <c r="B698" s="7"/>
      <c r="C698" s="8"/>
      <c r="D698" s="9"/>
      <c r="E698" s="10"/>
      <c r="F698" s="8"/>
      <c r="G698" s="8"/>
      <c r="H698" s="9"/>
      <c r="I698" s="10"/>
      <c r="J698" s="8"/>
      <c r="K698" s="10"/>
      <c r="L698" s="10"/>
      <c r="M698" s="10"/>
      <c r="N698" s="10"/>
      <c r="O698" s="10"/>
      <c r="P698" s="8"/>
      <c r="Q698" s="9"/>
    </row>
    <row r="699" spans="2:17" x14ac:dyDescent="0.2">
      <c r="B699" s="7"/>
      <c r="C699" s="8"/>
      <c r="D699" s="9"/>
      <c r="E699" s="10"/>
      <c r="F699" s="8"/>
      <c r="G699" s="8"/>
      <c r="H699" s="9"/>
      <c r="I699" s="10"/>
      <c r="J699" s="8"/>
      <c r="K699" s="10"/>
      <c r="L699" s="10"/>
      <c r="M699" s="10"/>
      <c r="N699" s="10"/>
      <c r="O699" s="10"/>
      <c r="P699" s="8"/>
      <c r="Q699" s="9"/>
    </row>
    <row r="700" spans="2:17" x14ac:dyDescent="0.2">
      <c r="B700" s="7"/>
      <c r="C700" s="8"/>
      <c r="D700" s="9"/>
      <c r="E700" s="10"/>
      <c r="F700" s="8"/>
      <c r="G700" s="8"/>
      <c r="H700" s="9"/>
      <c r="I700" s="10"/>
      <c r="J700" s="8"/>
      <c r="K700" s="10"/>
      <c r="L700" s="10"/>
      <c r="M700" s="10"/>
      <c r="N700" s="10"/>
      <c r="O700" s="10"/>
      <c r="P700" s="8"/>
      <c r="Q700" s="9"/>
    </row>
    <row r="701" spans="2:17" x14ac:dyDescent="0.2">
      <c r="B701" s="7"/>
      <c r="C701" s="8"/>
      <c r="D701" s="9"/>
      <c r="E701" s="10"/>
      <c r="F701" s="8"/>
      <c r="G701" s="8"/>
      <c r="H701" s="9"/>
      <c r="I701" s="10"/>
      <c r="J701" s="8"/>
      <c r="K701" s="10"/>
      <c r="L701" s="10"/>
      <c r="M701" s="10"/>
      <c r="N701" s="10"/>
      <c r="O701" s="10"/>
      <c r="P701" s="8"/>
      <c r="Q701" s="9"/>
    </row>
    <row r="702" spans="2:17" x14ac:dyDescent="0.2">
      <c r="B702" s="7"/>
      <c r="C702" s="8"/>
      <c r="D702" s="9"/>
      <c r="E702" s="10"/>
      <c r="F702" s="8"/>
      <c r="G702" s="8"/>
      <c r="H702" s="9"/>
      <c r="I702" s="10"/>
      <c r="J702" s="8"/>
      <c r="K702" s="10"/>
      <c r="L702" s="10"/>
      <c r="M702" s="10"/>
      <c r="N702" s="10"/>
      <c r="O702" s="10"/>
      <c r="P702" s="8"/>
      <c r="Q702" s="9"/>
    </row>
    <row r="703" spans="2:17" x14ac:dyDescent="0.2">
      <c r="B703" s="7"/>
      <c r="C703" s="8"/>
      <c r="D703" s="9"/>
      <c r="E703" s="10"/>
      <c r="F703" s="8"/>
      <c r="G703" s="8"/>
      <c r="H703" s="9"/>
      <c r="I703" s="10"/>
      <c r="J703" s="8"/>
      <c r="K703" s="10"/>
      <c r="L703" s="10"/>
      <c r="M703" s="10"/>
      <c r="N703" s="10"/>
      <c r="O703" s="10"/>
      <c r="P703" s="8"/>
      <c r="Q703" s="9"/>
    </row>
    <row r="704" spans="2:17" x14ac:dyDescent="0.2">
      <c r="B704" s="7"/>
      <c r="C704" s="8"/>
      <c r="D704" s="9"/>
      <c r="E704" s="10"/>
      <c r="F704" s="8"/>
      <c r="G704" s="8"/>
      <c r="H704" s="9"/>
      <c r="I704" s="10"/>
      <c r="J704" s="8"/>
      <c r="K704" s="10"/>
      <c r="L704" s="10"/>
      <c r="M704" s="10"/>
      <c r="N704" s="10"/>
      <c r="O704" s="10"/>
      <c r="P704" s="8"/>
      <c r="Q704" s="9"/>
    </row>
    <row r="705" spans="2:17" x14ac:dyDescent="0.2">
      <c r="B705" s="7"/>
      <c r="C705" s="8"/>
      <c r="D705" s="9"/>
      <c r="E705" s="10"/>
      <c r="F705" s="8"/>
      <c r="G705" s="8"/>
      <c r="H705" s="9"/>
      <c r="I705" s="10"/>
      <c r="J705" s="8"/>
      <c r="K705" s="10"/>
      <c r="L705" s="10"/>
      <c r="M705" s="10"/>
      <c r="N705" s="10"/>
      <c r="O705" s="10"/>
      <c r="P705" s="8"/>
      <c r="Q705" s="9"/>
    </row>
    <row r="706" spans="2:17" x14ac:dyDescent="0.2">
      <c r="B706" s="7"/>
      <c r="C706" s="8"/>
      <c r="D706" s="9"/>
      <c r="E706" s="10"/>
      <c r="F706" s="8"/>
      <c r="G706" s="8"/>
      <c r="H706" s="9"/>
      <c r="I706" s="10"/>
      <c r="J706" s="8"/>
      <c r="K706" s="10"/>
      <c r="L706" s="10"/>
      <c r="M706" s="10"/>
      <c r="N706" s="10"/>
      <c r="O706" s="10"/>
      <c r="P706" s="8"/>
      <c r="Q706" s="9"/>
    </row>
    <row r="707" spans="2:17" x14ac:dyDescent="0.2">
      <c r="B707" s="7"/>
      <c r="C707" s="8"/>
      <c r="D707" s="9"/>
      <c r="E707" s="10"/>
      <c r="F707" s="8"/>
      <c r="G707" s="8"/>
      <c r="H707" s="9"/>
      <c r="I707" s="10"/>
      <c r="J707" s="8"/>
      <c r="K707" s="10"/>
      <c r="L707" s="10"/>
      <c r="M707" s="10"/>
      <c r="N707" s="10"/>
      <c r="O707" s="10"/>
      <c r="P707" s="8"/>
      <c r="Q707" s="9"/>
    </row>
    <row r="708" spans="2:17" x14ac:dyDescent="0.2">
      <c r="B708" s="7"/>
      <c r="C708" s="8"/>
      <c r="D708" s="9"/>
      <c r="E708" s="10"/>
      <c r="F708" s="8"/>
      <c r="G708" s="8"/>
      <c r="H708" s="9"/>
      <c r="I708" s="10"/>
      <c r="J708" s="8"/>
      <c r="K708" s="10"/>
      <c r="L708" s="10"/>
      <c r="M708" s="10"/>
      <c r="N708" s="10"/>
      <c r="O708" s="10"/>
      <c r="P708" s="8"/>
      <c r="Q708" s="9"/>
    </row>
    <row r="709" spans="2:17" x14ac:dyDescent="0.2">
      <c r="B709" s="7"/>
      <c r="C709" s="8"/>
      <c r="D709" s="9"/>
      <c r="E709" s="10"/>
      <c r="F709" s="8"/>
      <c r="G709" s="8"/>
      <c r="H709" s="9"/>
      <c r="I709" s="10"/>
      <c r="J709" s="8"/>
      <c r="K709" s="10"/>
      <c r="L709" s="10"/>
      <c r="M709" s="10"/>
      <c r="N709" s="10"/>
      <c r="O709" s="10"/>
      <c r="P709" s="8"/>
      <c r="Q709" s="9"/>
    </row>
    <row r="710" spans="2:17" x14ac:dyDescent="0.2">
      <c r="B710" s="7"/>
      <c r="C710" s="8"/>
      <c r="D710" s="9"/>
      <c r="E710" s="10"/>
      <c r="F710" s="8"/>
      <c r="G710" s="8"/>
      <c r="H710" s="9"/>
      <c r="I710" s="10"/>
      <c r="J710" s="8"/>
      <c r="K710" s="10"/>
      <c r="L710" s="10"/>
      <c r="M710" s="10"/>
      <c r="N710" s="10"/>
      <c r="O710" s="10"/>
      <c r="P710" s="8"/>
      <c r="Q710" s="9"/>
    </row>
    <row r="711" spans="2:17" x14ac:dyDescent="0.2">
      <c r="B711" s="7"/>
      <c r="C711" s="8"/>
      <c r="D711" s="9"/>
      <c r="E711" s="10"/>
      <c r="F711" s="8"/>
      <c r="G711" s="8"/>
      <c r="H711" s="9"/>
      <c r="I711" s="10"/>
      <c r="J711" s="8"/>
      <c r="K711" s="10"/>
      <c r="L711" s="10"/>
      <c r="M711" s="10"/>
      <c r="N711" s="10"/>
      <c r="O711" s="10"/>
      <c r="P711" s="8"/>
      <c r="Q711" s="9"/>
    </row>
    <row r="712" spans="2:17" x14ac:dyDescent="0.2">
      <c r="B712" s="7"/>
      <c r="C712" s="8"/>
      <c r="D712" s="9"/>
      <c r="E712" s="10"/>
      <c r="F712" s="8"/>
      <c r="G712" s="8"/>
      <c r="H712" s="9"/>
      <c r="I712" s="10"/>
      <c r="J712" s="8"/>
      <c r="K712" s="10"/>
      <c r="L712" s="10"/>
      <c r="M712" s="10"/>
      <c r="N712" s="10"/>
      <c r="O712" s="10"/>
      <c r="P712" s="8"/>
      <c r="Q712" s="9"/>
    </row>
    <row r="713" spans="2:17" x14ac:dyDescent="0.2">
      <c r="B713" s="7"/>
      <c r="C713" s="8"/>
      <c r="D713" s="9"/>
      <c r="E713" s="10"/>
      <c r="F713" s="8"/>
      <c r="G713" s="8"/>
      <c r="H713" s="9"/>
      <c r="I713" s="10"/>
      <c r="J713" s="8"/>
      <c r="K713" s="10"/>
      <c r="L713" s="10"/>
      <c r="M713" s="10"/>
      <c r="N713" s="10"/>
      <c r="O713" s="10"/>
      <c r="P713" s="8"/>
      <c r="Q713" s="9"/>
    </row>
    <row r="714" spans="2:17" x14ac:dyDescent="0.2">
      <c r="B714" s="7"/>
      <c r="C714" s="8"/>
      <c r="D714" s="9"/>
      <c r="E714" s="10"/>
      <c r="F714" s="8"/>
      <c r="G714" s="8"/>
      <c r="H714" s="9"/>
      <c r="I714" s="10"/>
      <c r="J714" s="8"/>
      <c r="K714" s="10"/>
      <c r="L714" s="10"/>
      <c r="M714" s="10"/>
      <c r="N714" s="10"/>
      <c r="O714" s="10"/>
      <c r="P714" s="8"/>
      <c r="Q714" s="9"/>
    </row>
    <row r="715" spans="2:17" x14ac:dyDescent="0.2">
      <c r="B715" s="7"/>
      <c r="C715" s="8"/>
      <c r="D715" s="9"/>
      <c r="E715" s="10"/>
      <c r="F715" s="8"/>
      <c r="G715" s="8"/>
      <c r="H715" s="9"/>
      <c r="I715" s="10"/>
      <c r="J715" s="8"/>
      <c r="K715" s="10"/>
      <c r="L715" s="10"/>
      <c r="M715" s="10"/>
      <c r="N715" s="10"/>
      <c r="O715" s="10"/>
      <c r="P715" s="8"/>
      <c r="Q715" s="9"/>
    </row>
    <row r="716" spans="2:17" x14ac:dyDescent="0.2">
      <c r="B716" s="7"/>
      <c r="C716" s="8"/>
      <c r="D716" s="9"/>
      <c r="E716" s="10"/>
      <c r="F716" s="8"/>
      <c r="G716" s="8"/>
      <c r="H716" s="9"/>
      <c r="I716" s="10"/>
      <c r="J716" s="8"/>
      <c r="K716" s="10"/>
      <c r="L716" s="10"/>
      <c r="M716" s="10"/>
      <c r="N716" s="10"/>
      <c r="O716" s="10"/>
      <c r="P716" s="8"/>
      <c r="Q716" s="9"/>
    </row>
    <row r="717" spans="2:17" x14ac:dyDescent="0.2">
      <c r="B717" s="7"/>
      <c r="C717" s="8"/>
      <c r="D717" s="9"/>
      <c r="E717" s="10"/>
      <c r="F717" s="8"/>
      <c r="G717" s="8"/>
      <c r="H717" s="9"/>
      <c r="I717" s="10"/>
      <c r="J717" s="8"/>
      <c r="K717" s="10"/>
      <c r="L717" s="10"/>
      <c r="M717" s="10"/>
      <c r="N717" s="10"/>
      <c r="O717" s="10"/>
      <c r="P717" s="8"/>
      <c r="Q717" s="9"/>
    </row>
    <row r="718" spans="2:17" x14ac:dyDescent="0.2">
      <c r="B718" s="7"/>
      <c r="C718" s="8"/>
      <c r="D718" s="9"/>
      <c r="E718" s="10"/>
      <c r="F718" s="8"/>
      <c r="G718" s="8"/>
      <c r="H718" s="9"/>
      <c r="I718" s="10"/>
      <c r="J718" s="8"/>
      <c r="K718" s="10"/>
      <c r="L718" s="10"/>
      <c r="M718" s="10"/>
      <c r="N718" s="10"/>
      <c r="O718" s="10"/>
      <c r="P718" s="8"/>
      <c r="Q718" s="9"/>
    </row>
    <row r="719" spans="2:17" x14ac:dyDescent="0.2">
      <c r="B719" s="7"/>
      <c r="C719" s="8"/>
      <c r="D719" s="9"/>
      <c r="E719" s="10"/>
      <c r="F719" s="8"/>
      <c r="G719" s="8"/>
      <c r="H719" s="9"/>
      <c r="I719" s="10"/>
      <c r="J719" s="8"/>
      <c r="K719" s="10"/>
      <c r="L719" s="10"/>
      <c r="M719" s="10"/>
      <c r="N719" s="10"/>
      <c r="O719" s="10"/>
      <c r="P719" s="8"/>
      <c r="Q719" s="9"/>
    </row>
    <row r="720" spans="2:17" x14ac:dyDescent="0.2">
      <c r="B720" s="7"/>
      <c r="C720" s="8"/>
      <c r="D720" s="9"/>
      <c r="E720" s="10"/>
      <c r="F720" s="8"/>
      <c r="G720" s="8"/>
      <c r="H720" s="9"/>
      <c r="I720" s="10"/>
      <c r="J720" s="8"/>
      <c r="K720" s="10"/>
      <c r="L720" s="10"/>
      <c r="M720" s="10"/>
      <c r="N720" s="10"/>
      <c r="O720" s="10"/>
      <c r="P720" s="8"/>
      <c r="Q720" s="9"/>
    </row>
    <row r="721" spans="2:17" x14ac:dyDescent="0.2">
      <c r="B721" s="7"/>
      <c r="C721" s="8"/>
      <c r="D721" s="9"/>
      <c r="E721" s="10"/>
      <c r="F721" s="8"/>
      <c r="G721" s="8"/>
      <c r="H721" s="9"/>
      <c r="I721" s="10"/>
      <c r="J721" s="8"/>
      <c r="K721" s="10"/>
      <c r="L721" s="10"/>
      <c r="M721" s="10"/>
      <c r="N721" s="10"/>
      <c r="O721" s="10"/>
      <c r="P721" s="8"/>
      <c r="Q721" s="9"/>
    </row>
    <row r="722" spans="2:17" x14ac:dyDescent="0.2">
      <c r="B722" s="7"/>
      <c r="C722" s="8"/>
      <c r="D722" s="9"/>
      <c r="E722" s="10"/>
      <c r="F722" s="8"/>
      <c r="G722" s="8"/>
      <c r="H722" s="9"/>
      <c r="I722" s="10"/>
      <c r="J722" s="8"/>
      <c r="K722" s="10"/>
      <c r="L722" s="10"/>
      <c r="M722" s="10"/>
      <c r="N722" s="10"/>
      <c r="O722" s="10"/>
      <c r="P722" s="8"/>
      <c r="Q722" s="9"/>
    </row>
    <row r="723" spans="2:17" x14ac:dyDescent="0.2">
      <c r="B723" s="7"/>
      <c r="C723" s="8"/>
      <c r="D723" s="9"/>
      <c r="E723" s="10"/>
      <c r="F723" s="8"/>
      <c r="G723" s="8"/>
      <c r="H723" s="9"/>
      <c r="I723" s="10"/>
      <c r="J723" s="8"/>
      <c r="K723" s="10"/>
      <c r="L723" s="10"/>
      <c r="M723" s="10"/>
      <c r="N723" s="10"/>
      <c r="O723" s="10"/>
      <c r="P723" s="8"/>
      <c r="Q723" s="9"/>
    </row>
    <row r="724" spans="2:17" x14ac:dyDescent="0.2">
      <c r="B724" s="7"/>
      <c r="C724" s="8"/>
      <c r="D724" s="9"/>
      <c r="E724" s="10"/>
      <c r="F724" s="8"/>
      <c r="G724" s="8"/>
      <c r="H724" s="9"/>
      <c r="I724" s="10"/>
      <c r="J724" s="8"/>
      <c r="K724" s="10"/>
      <c r="L724" s="10"/>
      <c r="M724" s="10"/>
      <c r="N724" s="10"/>
      <c r="O724" s="10"/>
      <c r="P724" s="8"/>
      <c r="Q724" s="9"/>
    </row>
    <row r="725" spans="2:17" x14ac:dyDescent="0.2">
      <c r="B725" s="7"/>
      <c r="C725" s="8"/>
      <c r="D725" s="9"/>
      <c r="E725" s="10"/>
      <c r="F725" s="8"/>
      <c r="G725" s="8"/>
      <c r="H725" s="9"/>
      <c r="I725" s="10"/>
      <c r="J725" s="8"/>
      <c r="K725" s="10"/>
      <c r="L725" s="10"/>
      <c r="M725" s="10"/>
      <c r="N725" s="10"/>
      <c r="O725" s="10"/>
      <c r="P725" s="8"/>
      <c r="Q725" s="9"/>
    </row>
    <row r="726" spans="2:17" x14ac:dyDescent="0.2">
      <c r="B726" s="7"/>
      <c r="C726" s="8"/>
      <c r="D726" s="9"/>
      <c r="E726" s="10"/>
      <c r="F726" s="8"/>
      <c r="G726" s="8"/>
      <c r="H726" s="9"/>
      <c r="I726" s="10"/>
      <c r="J726" s="8"/>
      <c r="K726" s="10"/>
      <c r="L726" s="10"/>
      <c r="M726" s="10"/>
      <c r="N726" s="10"/>
      <c r="O726" s="10"/>
      <c r="P726" s="8"/>
      <c r="Q726" s="9"/>
    </row>
    <row r="727" spans="2:17" x14ac:dyDescent="0.2">
      <c r="B727" s="7"/>
      <c r="C727" s="8"/>
      <c r="D727" s="9"/>
      <c r="E727" s="10"/>
      <c r="F727" s="8"/>
      <c r="G727" s="8"/>
      <c r="H727" s="9"/>
      <c r="I727" s="10"/>
      <c r="J727" s="8"/>
      <c r="K727" s="10"/>
      <c r="L727" s="10"/>
      <c r="M727" s="10"/>
      <c r="N727" s="10"/>
      <c r="O727" s="10"/>
      <c r="P727" s="8"/>
      <c r="Q727" s="9"/>
    </row>
    <row r="728" spans="2:17" x14ac:dyDescent="0.2">
      <c r="B728" s="7"/>
      <c r="C728" s="8"/>
      <c r="D728" s="9"/>
      <c r="E728" s="10"/>
      <c r="F728" s="8"/>
      <c r="G728" s="8"/>
      <c r="H728" s="9"/>
      <c r="I728" s="10"/>
      <c r="J728" s="8"/>
      <c r="K728" s="10"/>
      <c r="L728" s="10"/>
      <c r="M728" s="10"/>
      <c r="N728" s="10"/>
      <c r="O728" s="10"/>
      <c r="P728" s="8"/>
      <c r="Q728" s="9"/>
    </row>
    <row r="729" spans="2:17" x14ac:dyDescent="0.2">
      <c r="B729" s="7"/>
      <c r="C729" s="8"/>
      <c r="D729" s="9"/>
      <c r="E729" s="10"/>
      <c r="F729" s="8"/>
      <c r="G729" s="8"/>
      <c r="H729" s="9"/>
      <c r="I729" s="10"/>
      <c r="J729" s="8"/>
      <c r="K729" s="10"/>
      <c r="L729" s="10"/>
      <c r="M729" s="10"/>
      <c r="N729" s="10"/>
      <c r="O729" s="10"/>
      <c r="P729" s="8"/>
      <c r="Q729" s="9"/>
    </row>
    <row r="730" spans="2:17" x14ac:dyDescent="0.2">
      <c r="B730" s="7"/>
      <c r="C730" s="8"/>
      <c r="D730" s="9"/>
      <c r="E730" s="10"/>
      <c r="F730" s="8"/>
      <c r="G730" s="8"/>
      <c r="H730" s="9"/>
      <c r="I730" s="10"/>
      <c r="J730" s="8"/>
      <c r="K730" s="10"/>
      <c r="L730" s="10"/>
      <c r="M730" s="10"/>
      <c r="N730" s="10"/>
      <c r="O730" s="10"/>
      <c r="P730" s="8"/>
      <c r="Q730" s="9"/>
    </row>
    <row r="731" spans="2:17" x14ac:dyDescent="0.2">
      <c r="B731" s="7"/>
      <c r="C731" s="8"/>
      <c r="D731" s="9"/>
      <c r="E731" s="10"/>
      <c r="F731" s="8"/>
      <c r="G731" s="8"/>
      <c r="H731" s="9"/>
      <c r="I731" s="10"/>
      <c r="J731" s="8"/>
      <c r="K731" s="10"/>
      <c r="L731" s="10"/>
      <c r="M731" s="10"/>
      <c r="N731" s="10"/>
      <c r="O731" s="10"/>
      <c r="P731" s="8"/>
      <c r="Q731" s="9"/>
    </row>
    <row r="732" spans="2:17" x14ac:dyDescent="0.2">
      <c r="B732" s="7"/>
      <c r="C732" s="8"/>
      <c r="D732" s="9"/>
      <c r="E732" s="10"/>
      <c r="F732" s="8"/>
      <c r="G732" s="8"/>
      <c r="H732" s="9"/>
      <c r="I732" s="10"/>
      <c r="J732" s="8"/>
      <c r="K732" s="10"/>
      <c r="L732" s="10"/>
      <c r="M732" s="10"/>
      <c r="N732" s="10"/>
      <c r="O732" s="10"/>
      <c r="P732" s="8"/>
      <c r="Q732" s="9"/>
    </row>
    <row r="733" spans="2:17" x14ac:dyDescent="0.2">
      <c r="B733" s="7"/>
      <c r="C733" s="8"/>
      <c r="D733" s="9"/>
      <c r="E733" s="10"/>
      <c r="F733" s="8"/>
      <c r="G733" s="8"/>
      <c r="H733" s="9"/>
      <c r="I733" s="10"/>
      <c r="J733" s="8"/>
      <c r="K733" s="10"/>
      <c r="L733" s="10"/>
      <c r="M733" s="10"/>
      <c r="N733" s="10"/>
      <c r="O733" s="10"/>
      <c r="P733" s="8"/>
      <c r="Q733" s="9"/>
    </row>
    <row r="734" spans="2:17" x14ac:dyDescent="0.2">
      <c r="B734" s="7"/>
      <c r="C734" s="8"/>
      <c r="D734" s="9"/>
      <c r="E734" s="10"/>
      <c r="F734" s="8"/>
      <c r="G734" s="8"/>
      <c r="H734" s="9"/>
      <c r="I734" s="10"/>
      <c r="J734" s="8"/>
      <c r="K734" s="10"/>
      <c r="L734" s="10"/>
      <c r="M734" s="10"/>
      <c r="N734" s="10"/>
      <c r="O734" s="10"/>
      <c r="P734" s="8"/>
      <c r="Q734" s="9"/>
    </row>
    <row r="735" spans="2:17" x14ac:dyDescent="0.2">
      <c r="B735" s="7"/>
      <c r="C735" s="8"/>
      <c r="D735" s="9"/>
      <c r="E735" s="10"/>
      <c r="F735" s="8"/>
      <c r="G735" s="8"/>
      <c r="H735" s="9"/>
      <c r="I735" s="10"/>
      <c r="J735" s="8"/>
      <c r="K735" s="10"/>
      <c r="L735" s="10"/>
      <c r="M735" s="10"/>
      <c r="N735" s="10"/>
      <c r="O735" s="10"/>
      <c r="P735" s="8"/>
      <c r="Q735" s="9"/>
    </row>
    <row r="736" spans="2:17" x14ac:dyDescent="0.2">
      <c r="B736" s="7"/>
      <c r="C736" s="8"/>
      <c r="D736" s="9"/>
      <c r="E736" s="10"/>
      <c r="F736" s="8"/>
      <c r="G736" s="8"/>
      <c r="H736" s="9"/>
      <c r="I736" s="10"/>
      <c r="J736" s="8"/>
      <c r="K736" s="10"/>
      <c r="L736" s="10"/>
      <c r="M736" s="10"/>
      <c r="N736" s="10"/>
      <c r="O736" s="10"/>
      <c r="P736" s="8"/>
      <c r="Q736" s="9"/>
    </row>
    <row r="737" spans="2:17" x14ac:dyDescent="0.2">
      <c r="B737" s="7"/>
      <c r="C737" s="8"/>
      <c r="D737" s="9"/>
      <c r="E737" s="10"/>
      <c r="F737" s="8"/>
      <c r="G737" s="8"/>
      <c r="H737" s="9"/>
      <c r="I737" s="10"/>
      <c r="J737" s="8"/>
      <c r="K737" s="10"/>
      <c r="L737" s="10"/>
      <c r="M737" s="10"/>
      <c r="N737" s="10"/>
      <c r="O737" s="10"/>
      <c r="P737" s="8"/>
      <c r="Q737" s="9"/>
    </row>
    <row r="738" spans="2:17" x14ac:dyDescent="0.2">
      <c r="B738" s="7"/>
      <c r="C738" s="8"/>
      <c r="D738" s="9"/>
      <c r="E738" s="10"/>
      <c r="F738" s="8"/>
      <c r="G738" s="8"/>
      <c r="H738" s="9"/>
      <c r="I738" s="10"/>
      <c r="J738" s="8"/>
      <c r="K738" s="10"/>
      <c r="L738" s="10"/>
      <c r="M738" s="10"/>
      <c r="N738" s="10"/>
      <c r="O738" s="10"/>
      <c r="P738" s="8"/>
      <c r="Q738" s="9"/>
    </row>
    <row r="739" spans="2:17" x14ac:dyDescent="0.2">
      <c r="B739" s="7"/>
      <c r="C739" s="8"/>
      <c r="D739" s="9"/>
      <c r="E739" s="10"/>
      <c r="F739" s="8"/>
      <c r="G739" s="8"/>
      <c r="H739" s="9"/>
      <c r="I739" s="10"/>
      <c r="J739" s="8"/>
      <c r="K739" s="10"/>
      <c r="L739" s="10"/>
      <c r="M739" s="10"/>
      <c r="N739" s="10"/>
      <c r="O739" s="10"/>
      <c r="P739" s="8"/>
      <c r="Q739" s="9"/>
    </row>
    <row r="740" spans="2:17" x14ac:dyDescent="0.2">
      <c r="B740" s="7"/>
      <c r="C740" s="8"/>
      <c r="D740" s="9"/>
      <c r="E740" s="10"/>
      <c r="F740" s="8"/>
      <c r="G740" s="8"/>
      <c r="H740" s="9"/>
      <c r="I740" s="10"/>
      <c r="J740" s="8"/>
      <c r="K740" s="10"/>
      <c r="L740" s="10"/>
      <c r="M740" s="10"/>
      <c r="N740" s="10"/>
      <c r="O740" s="10"/>
      <c r="P740" s="8"/>
      <c r="Q740" s="9"/>
    </row>
    <row r="741" spans="2:17" x14ac:dyDescent="0.2">
      <c r="B741" s="7"/>
      <c r="C741" s="8"/>
      <c r="D741" s="9"/>
      <c r="E741" s="10"/>
      <c r="F741" s="8"/>
      <c r="G741" s="8"/>
      <c r="H741" s="9"/>
      <c r="I741" s="10"/>
      <c r="J741" s="8"/>
      <c r="K741" s="10"/>
      <c r="L741" s="10"/>
      <c r="M741" s="10"/>
      <c r="N741" s="10"/>
      <c r="O741" s="10"/>
      <c r="P741" s="8"/>
      <c r="Q741" s="9"/>
    </row>
    <row r="742" spans="2:17" x14ac:dyDescent="0.2">
      <c r="B742" s="7"/>
      <c r="C742" s="8"/>
      <c r="D742" s="9"/>
      <c r="E742" s="10"/>
      <c r="F742" s="8"/>
      <c r="G742" s="8"/>
      <c r="H742" s="9"/>
      <c r="I742" s="10"/>
      <c r="J742" s="8"/>
      <c r="K742" s="10"/>
      <c r="L742" s="10"/>
      <c r="M742" s="10"/>
      <c r="N742" s="10"/>
      <c r="O742" s="10"/>
      <c r="P742" s="8"/>
      <c r="Q742" s="9"/>
    </row>
    <row r="743" spans="2:17" x14ac:dyDescent="0.2">
      <c r="B743" s="7"/>
      <c r="C743" s="8"/>
      <c r="D743" s="9"/>
      <c r="E743" s="10"/>
      <c r="F743" s="8"/>
      <c r="G743" s="8"/>
      <c r="H743" s="9"/>
      <c r="I743" s="10"/>
      <c r="J743" s="8"/>
      <c r="K743" s="10"/>
      <c r="L743" s="10"/>
      <c r="M743" s="10"/>
      <c r="N743" s="10"/>
      <c r="O743" s="10"/>
      <c r="P743" s="8"/>
      <c r="Q743" s="9"/>
    </row>
    <row r="744" spans="2:17" x14ac:dyDescent="0.2">
      <c r="B744" s="7"/>
      <c r="C744" s="8"/>
      <c r="D744" s="9"/>
      <c r="E744" s="10"/>
      <c r="F744" s="8"/>
      <c r="G744" s="8"/>
      <c r="H744" s="9"/>
      <c r="I744" s="10"/>
      <c r="J744" s="8"/>
      <c r="K744" s="10"/>
      <c r="L744" s="10"/>
      <c r="M744" s="10"/>
      <c r="N744" s="10"/>
      <c r="O744" s="10"/>
      <c r="P744" s="8"/>
      <c r="Q744" s="9"/>
    </row>
    <row r="745" spans="2:17" x14ac:dyDescent="0.2">
      <c r="B745" s="7"/>
      <c r="C745" s="8"/>
      <c r="D745" s="9"/>
      <c r="E745" s="10"/>
      <c r="F745" s="8"/>
      <c r="G745" s="8"/>
      <c r="H745" s="9"/>
      <c r="I745" s="10"/>
      <c r="J745" s="8"/>
      <c r="K745" s="10"/>
      <c r="L745" s="10"/>
      <c r="M745" s="10"/>
      <c r="N745" s="10"/>
      <c r="O745" s="10"/>
      <c r="P745" s="8"/>
      <c r="Q745" s="9"/>
    </row>
    <row r="746" spans="2:17" x14ac:dyDescent="0.2">
      <c r="B746" s="7"/>
      <c r="C746" s="8"/>
      <c r="D746" s="9"/>
      <c r="E746" s="10"/>
      <c r="F746" s="8"/>
      <c r="G746" s="8"/>
      <c r="H746" s="9"/>
      <c r="I746" s="10"/>
      <c r="J746" s="8"/>
      <c r="K746" s="10"/>
      <c r="L746" s="10"/>
      <c r="M746" s="10"/>
      <c r="N746" s="10"/>
      <c r="O746" s="10"/>
      <c r="P746" s="8"/>
      <c r="Q746" s="9"/>
    </row>
    <row r="747" spans="2:17" x14ac:dyDescent="0.2">
      <c r="B747" s="7"/>
      <c r="C747" s="8"/>
      <c r="D747" s="9"/>
      <c r="E747" s="10"/>
      <c r="F747" s="8"/>
      <c r="G747" s="8"/>
      <c r="H747" s="9"/>
      <c r="I747" s="10"/>
      <c r="J747" s="8"/>
      <c r="K747" s="10"/>
      <c r="L747" s="10"/>
      <c r="M747" s="10"/>
      <c r="N747" s="10"/>
      <c r="O747" s="10"/>
      <c r="P747" s="8"/>
      <c r="Q747" s="9"/>
    </row>
    <row r="748" spans="2:17" x14ac:dyDescent="0.2">
      <c r="B748" s="7"/>
      <c r="C748" s="8"/>
      <c r="D748" s="9"/>
      <c r="E748" s="10"/>
      <c r="F748" s="8"/>
      <c r="G748" s="8"/>
      <c r="H748" s="9"/>
      <c r="I748" s="10"/>
      <c r="J748" s="8"/>
      <c r="K748" s="10"/>
      <c r="L748" s="10"/>
      <c r="M748" s="10"/>
      <c r="N748" s="10"/>
      <c r="O748" s="10"/>
      <c r="P748" s="8"/>
      <c r="Q748" s="9"/>
    </row>
    <row r="749" spans="2:17" x14ac:dyDescent="0.2">
      <c r="B749" s="7"/>
      <c r="C749" s="8"/>
      <c r="D749" s="9"/>
      <c r="E749" s="10"/>
      <c r="F749" s="8"/>
      <c r="G749" s="8"/>
      <c r="H749" s="9"/>
      <c r="I749" s="10"/>
      <c r="J749" s="8"/>
      <c r="K749" s="10"/>
      <c r="L749" s="10"/>
      <c r="M749" s="10"/>
      <c r="N749" s="10"/>
      <c r="O749" s="10"/>
      <c r="P749" s="8"/>
      <c r="Q749" s="9"/>
    </row>
    <row r="750" spans="2:17" x14ac:dyDescent="0.2">
      <c r="B750" s="7"/>
      <c r="C750" s="8"/>
      <c r="D750" s="9"/>
      <c r="E750" s="10"/>
      <c r="F750" s="8"/>
      <c r="G750" s="8"/>
      <c r="H750" s="9"/>
      <c r="I750" s="10"/>
      <c r="J750" s="8"/>
      <c r="K750" s="10"/>
      <c r="L750" s="10"/>
      <c r="M750" s="10"/>
      <c r="N750" s="10"/>
      <c r="O750" s="10"/>
      <c r="P750" s="8"/>
      <c r="Q750" s="9"/>
    </row>
    <row r="751" spans="2:17" x14ac:dyDescent="0.2">
      <c r="B751" s="7"/>
      <c r="C751" s="8"/>
      <c r="D751" s="9"/>
      <c r="E751" s="10"/>
      <c r="F751" s="8"/>
      <c r="G751" s="8"/>
      <c r="H751" s="9"/>
      <c r="I751" s="10"/>
      <c r="J751" s="8"/>
      <c r="K751" s="10"/>
      <c r="L751" s="10"/>
      <c r="M751" s="10"/>
      <c r="N751" s="10"/>
      <c r="O751" s="10"/>
      <c r="P751" s="8"/>
      <c r="Q751" s="9"/>
    </row>
    <row r="752" spans="2:17" x14ac:dyDescent="0.2">
      <c r="B752" s="7"/>
      <c r="C752" s="8"/>
      <c r="D752" s="9"/>
      <c r="E752" s="10"/>
      <c r="F752" s="8"/>
      <c r="G752" s="8"/>
      <c r="H752" s="9"/>
      <c r="I752" s="10"/>
      <c r="J752" s="8"/>
      <c r="K752" s="10"/>
      <c r="L752" s="10"/>
      <c r="M752" s="10"/>
      <c r="N752" s="10"/>
      <c r="O752" s="10"/>
      <c r="P752" s="8"/>
      <c r="Q752" s="9"/>
    </row>
    <row r="753" spans="2:17" x14ac:dyDescent="0.2">
      <c r="B753" s="7"/>
      <c r="C753" s="8"/>
      <c r="D753" s="9"/>
      <c r="E753" s="10"/>
      <c r="F753" s="8"/>
      <c r="G753" s="8"/>
      <c r="H753" s="9"/>
      <c r="I753" s="10"/>
      <c r="J753" s="8"/>
      <c r="K753" s="10"/>
      <c r="L753" s="10"/>
      <c r="M753" s="10"/>
      <c r="N753" s="10"/>
      <c r="O753" s="10"/>
      <c r="P753" s="8"/>
      <c r="Q753" s="9"/>
    </row>
    <row r="754" spans="2:17" x14ac:dyDescent="0.2">
      <c r="B754" s="7"/>
      <c r="C754" s="8"/>
      <c r="D754" s="9"/>
      <c r="E754" s="10"/>
      <c r="F754" s="8"/>
      <c r="G754" s="8"/>
      <c r="H754" s="9"/>
      <c r="I754" s="10"/>
      <c r="J754" s="8"/>
      <c r="K754" s="10"/>
      <c r="L754" s="10"/>
      <c r="M754" s="10"/>
      <c r="N754" s="10"/>
      <c r="O754" s="10"/>
      <c r="P754" s="8"/>
      <c r="Q754" s="9"/>
    </row>
    <row r="755" spans="2:17" x14ac:dyDescent="0.2">
      <c r="B755" s="7"/>
      <c r="C755" s="8"/>
      <c r="D755" s="9"/>
      <c r="E755" s="10"/>
      <c r="F755" s="8"/>
      <c r="G755" s="8"/>
      <c r="H755" s="9"/>
      <c r="I755" s="10"/>
      <c r="J755" s="8"/>
      <c r="K755" s="10"/>
      <c r="L755" s="10"/>
      <c r="M755" s="10"/>
      <c r="N755" s="10"/>
      <c r="O755" s="10"/>
      <c r="P755" s="8"/>
      <c r="Q755" s="9"/>
    </row>
    <row r="756" spans="2:17" x14ac:dyDescent="0.2">
      <c r="B756" s="7"/>
      <c r="C756" s="8"/>
      <c r="D756" s="9"/>
      <c r="E756" s="10"/>
      <c r="F756" s="8"/>
      <c r="G756" s="8"/>
      <c r="H756" s="9"/>
      <c r="I756" s="10"/>
      <c r="J756" s="8"/>
      <c r="K756" s="10"/>
      <c r="L756" s="10"/>
      <c r="M756" s="10"/>
      <c r="N756" s="10"/>
      <c r="O756" s="10"/>
      <c r="P756" s="8"/>
      <c r="Q756" s="9"/>
    </row>
    <row r="757" spans="2:17" x14ac:dyDescent="0.2">
      <c r="B757" s="7"/>
      <c r="C757" s="8"/>
      <c r="D757" s="9"/>
      <c r="E757" s="10"/>
      <c r="F757" s="8"/>
      <c r="G757" s="8"/>
      <c r="H757" s="9"/>
      <c r="I757" s="10"/>
      <c r="J757" s="8"/>
      <c r="K757" s="10"/>
      <c r="L757" s="10"/>
      <c r="M757" s="10"/>
      <c r="N757" s="10"/>
      <c r="O757" s="10"/>
      <c r="P757" s="8"/>
      <c r="Q757" s="9"/>
    </row>
    <row r="758" spans="2:17" x14ac:dyDescent="0.2">
      <c r="B758" s="7"/>
      <c r="C758" s="8"/>
      <c r="D758" s="9"/>
      <c r="E758" s="10"/>
      <c r="F758" s="8"/>
      <c r="G758" s="8"/>
      <c r="H758" s="9"/>
      <c r="I758" s="10"/>
      <c r="J758" s="8"/>
      <c r="K758" s="10"/>
      <c r="L758" s="10"/>
      <c r="M758" s="10"/>
      <c r="N758" s="10"/>
      <c r="O758" s="10"/>
      <c r="P758" s="8"/>
      <c r="Q758" s="9"/>
    </row>
    <row r="759" spans="2:17" x14ac:dyDescent="0.2">
      <c r="B759" s="7"/>
      <c r="C759" s="8"/>
      <c r="D759" s="9"/>
      <c r="E759" s="10"/>
      <c r="F759" s="8"/>
      <c r="G759" s="8"/>
      <c r="H759" s="9"/>
      <c r="I759" s="10"/>
      <c r="J759" s="8"/>
      <c r="K759" s="10"/>
      <c r="L759" s="10"/>
      <c r="M759" s="10"/>
      <c r="N759" s="10"/>
      <c r="O759" s="10"/>
      <c r="P759" s="8"/>
      <c r="Q759" s="9"/>
    </row>
    <row r="760" spans="2:17" x14ac:dyDescent="0.2">
      <c r="B760" s="7"/>
      <c r="C760" s="8"/>
      <c r="D760" s="9"/>
      <c r="E760" s="10"/>
      <c r="F760" s="8"/>
      <c r="G760" s="8"/>
      <c r="H760" s="9"/>
      <c r="I760" s="10"/>
      <c r="J760" s="8"/>
      <c r="K760" s="10"/>
      <c r="L760" s="10"/>
      <c r="M760" s="10"/>
      <c r="N760" s="10"/>
      <c r="O760" s="10"/>
      <c r="P760" s="8"/>
      <c r="Q760" s="9"/>
    </row>
    <row r="761" spans="2:17" x14ac:dyDescent="0.2">
      <c r="B761" s="7"/>
      <c r="C761" s="8"/>
      <c r="D761" s="9"/>
      <c r="E761" s="10"/>
      <c r="F761" s="8"/>
      <c r="G761" s="8"/>
      <c r="H761" s="9"/>
      <c r="I761" s="10"/>
      <c r="J761" s="8"/>
      <c r="K761" s="10"/>
      <c r="L761" s="10"/>
      <c r="M761" s="10"/>
      <c r="N761" s="10"/>
      <c r="O761" s="10"/>
      <c r="P761" s="8"/>
      <c r="Q761" s="9"/>
    </row>
    <row r="762" spans="2:17" x14ac:dyDescent="0.2">
      <c r="B762" s="7"/>
      <c r="C762" s="8"/>
      <c r="D762" s="9"/>
      <c r="E762" s="10"/>
      <c r="F762" s="8"/>
      <c r="G762" s="8"/>
      <c r="H762" s="9"/>
      <c r="I762" s="10"/>
      <c r="J762" s="8"/>
      <c r="K762" s="10"/>
      <c r="L762" s="10"/>
      <c r="M762" s="10"/>
      <c r="N762" s="10"/>
      <c r="O762" s="10"/>
      <c r="P762" s="8"/>
      <c r="Q762" s="9"/>
    </row>
    <row r="763" spans="2:17" x14ac:dyDescent="0.2">
      <c r="B763" s="7"/>
      <c r="C763" s="8"/>
      <c r="D763" s="9"/>
      <c r="E763" s="10"/>
      <c r="F763" s="8"/>
      <c r="G763" s="8"/>
      <c r="H763" s="9"/>
      <c r="I763" s="10"/>
      <c r="J763" s="8"/>
      <c r="K763" s="10"/>
      <c r="L763" s="10"/>
      <c r="M763" s="10"/>
      <c r="N763" s="10"/>
      <c r="O763" s="10"/>
      <c r="P763" s="8"/>
      <c r="Q763" s="9"/>
    </row>
    <row r="764" spans="2:17" x14ac:dyDescent="0.2">
      <c r="B764" s="7"/>
      <c r="C764" s="8"/>
      <c r="D764" s="9"/>
      <c r="E764" s="10"/>
      <c r="F764" s="8"/>
      <c r="G764" s="8"/>
      <c r="H764" s="9"/>
      <c r="I764" s="10"/>
      <c r="J764" s="8"/>
      <c r="K764" s="10"/>
      <c r="L764" s="10"/>
      <c r="M764" s="10"/>
      <c r="N764" s="10"/>
      <c r="O764" s="10"/>
      <c r="P764" s="8"/>
      <c r="Q764" s="9"/>
    </row>
    <row r="765" spans="2:17" x14ac:dyDescent="0.2">
      <c r="B765" s="7"/>
      <c r="C765" s="8"/>
      <c r="D765" s="9"/>
      <c r="E765" s="10"/>
      <c r="F765" s="8"/>
      <c r="G765" s="8"/>
      <c r="H765" s="9"/>
      <c r="I765" s="10"/>
      <c r="J765" s="8"/>
      <c r="K765" s="10"/>
      <c r="L765" s="10"/>
      <c r="M765" s="10"/>
      <c r="N765" s="10"/>
      <c r="O765" s="10"/>
      <c r="P765" s="8"/>
      <c r="Q765" s="9"/>
    </row>
    <row r="766" spans="2:17" x14ac:dyDescent="0.2">
      <c r="B766" s="7"/>
      <c r="C766" s="8"/>
      <c r="D766" s="9"/>
      <c r="E766" s="10"/>
      <c r="F766" s="8"/>
      <c r="G766" s="8"/>
      <c r="H766" s="9"/>
      <c r="I766" s="10"/>
      <c r="J766" s="8"/>
      <c r="K766" s="10"/>
      <c r="L766" s="10"/>
      <c r="M766" s="10"/>
      <c r="N766" s="10"/>
      <c r="O766" s="10"/>
      <c r="P766" s="8"/>
      <c r="Q766" s="9"/>
    </row>
    <row r="767" spans="2:17" x14ac:dyDescent="0.2">
      <c r="B767" s="7"/>
      <c r="C767" s="8"/>
      <c r="D767" s="9"/>
      <c r="E767" s="10"/>
      <c r="F767" s="8"/>
      <c r="G767" s="8"/>
      <c r="H767" s="9"/>
      <c r="I767" s="10"/>
      <c r="J767" s="8"/>
      <c r="K767" s="10"/>
      <c r="L767" s="10"/>
      <c r="M767" s="10"/>
      <c r="N767" s="10"/>
      <c r="O767" s="10"/>
      <c r="P767" s="8"/>
      <c r="Q767" s="9"/>
    </row>
    <row r="768" spans="2:17" x14ac:dyDescent="0.2">
      <c r="B768" s="7"/>
      <c r="C768" s="8"/>
      <c r="D768" s="9"/>
      <c r="E768" s="10"/>
      <c r="F768" s="8"/>
      <c r="G768" s="8"/>
      <c r="H768" s="9"/>
      <c r="I768" s="10"/>
      <c r="J768" s="8"/>
      <c r="K768" s="10"/>
      <c r="L768" s="10"/>
      <c r="M768" s="10"/>
      <c r="N768" s="10"/>
      <c r="O768" s="10"/>
      <c r="P768" s="8"/>
      <c r="Q768" s="9"/>
    </row>
    <row r="769" spans="2:17" x14ac:dyDescent="0.2">
      <c r="B769" s="7"/>
      <c r="C769" s="8"/>
      <c r="D769" s="9"/>
      <c r="E769" s="10"/>
      <c r="F769" s="8"/>
      <c r="G769" s="8"/>
      <c r="H769" s="9"/>
      <c r="I769" s="10"/>
      <c r="J769" s="8"/>
      <c r="K769" s="10"/>
      <c r="L769" s="10"/>
      <c r="M769" s="10"/>
      <c r="N769" s="10"/>
      <c r="O769" s="10"/>
      <c r="P769" s="8"/>
      <c r="Q769" s="9"/>
    </row>
    <row r="770" spans="2:17" x14ac:dyDescent="0.2">
      <c r="B770" s="7"/>
      <c r="C770" s="8"/>
      <c r="D770" s="9"/>
      <c r="E770" s="10"/>
      <c r="F770" s="8"/>
      <c r="G770" s="8"/>
      <c r="H770" s="9"/>
      <c r="I770" s="10"/>
      <c r="J770" s="8"/>
      <c r="K770" s="10"/>
      <c r="L770" s="10"/>
      <c r="M770" s="10"/>
      <c r="N770" s="10"/>
      <c r="O770" s="10"/>
      <c r="P770" s="8"/>
      <c r="Q770" s="9"/>
    </row>
    <row r="771" spans="2:17" x14ac:dyDescent="0.2">
      <c r="B771" s="7"/>
      <c r="C771" s="8"/>
      <c r="D771" s="9"/>
      <c r="E771" s="10"/>
      <c r="F771" s="8"/>
      <c r="G771" s="8"/>
      <c r="H771" s="9"/>
      <c r="I771" s="10"/>
      <c r="J771" s="8"/>
      <c r="K771" s="10"/>
      <c r="L771" s="10"/>
      <c r="M771" s="10"/>
      <c r="N771" s="10"/>
      <c r="O771" s="10"/>
      <c r="P771" s="8"/>
      <c r="Q771" s="9"/>
    </row>
    <row r="772" spans="2:17" x14ac:dyDescent="0.2">
      <c r="B772" s="7"/>
      <c r="C772" s="8"/>
      <c r="D772" s="9"/>
      <c r="E772" s="10"/>
      <c r="F772" s="8"/>
      <c r="G772" s="8"/>
      <c r="H772" s="9"/>
      <c r="I772" s="10"/>
      <c r="J772" s="8"/>
      <c r="K772" s="10"/>
      <c r="L772" s="10"/>
      <c r="M772" s="10"/>
      <c r="N772" s="10"/>
      <c r="O772" s="10"/>
      <c r="P772" s="8"/>
      <c r="Q772" s="9"/>
    </row>
    <row r="773" spans="2:17" x14ac:dyDescent="0.2">
      <c r="B773" s="7"/>
      <c r="C773" s="8"/>
      <c r="D773" s="9"/>
      <c r="E773" s="10"/>
      <c r="F773" s="8"/>
      <c r="G773" s="8"/>
      <c r="H773" s="9"/>
      <c r="I773" s="10"/>
      <c r="J773" s="8"/>
      <c r="K773" s="10"/>
      <c r="L773" s="10"/>
      <c r="M773" s="10"/>
      <c r="N773" s="10"/>
      <c r="O773" s="10"/>
      <c r="P773" s="8"/>
      <c r="Q773" s="9"/>
    </row>
    <row r="774" spans="2:17" x14ac:dyDescent="0.2">
      <c r="B774" s="7"/>
      <c r="C774" s="8"/>
      <c r="D774" s="9"/>
      <c r="E774" s="10"/>
      <c r="F774" s="8"/>
      <c r="G774" s="8"/>
      <c r="H774" s="9"/>
      <c r="I774" s="10"/>
      <c r="J774" s="8"/>
      <c r="K774" s="10"/>
      <c r="L774" s="10"/>
      <c r="M774" s="10"/>
      <c r="N774" s="10"/>
      <c r="O774" s="10"/>
      <c r="P774" s="8"/>
      <c r="Q774" s="9"/>
    </row>
    <row r="775" spans="2:17" x14ac:dyDescent="0.2">
      <c r="B775" s="7"/>
      <c r="C775" s="8"/>
      <c r="D775" s="9"/>
      <c r="E775" s="10"/>
      <c r="F775" s="8"/>
      <c r="G775" s="8"/>
      <c r="H775" s="9"/>
      <c r="I775" s="10"/>
      <c r="J775" s="8"/>
      <c r="K775" s="10"/>
      <c r="L775" s="10"/>
      <c r="M775" s="10"/>
      <c r="N775" s="10"/>
      <c r="O775" s="10"/>
      <c r="P775" s="8"/>
      <c r="Q775" s="9"/>
    </row>
    <row r="776" spans="2:17" x14ac:dyDescent="0.2">
      <c r="B776" s="7"/>
      <c r="C776" s="8"/>
      <c r="D776" s="9"/>
      <c r="E776" s="10"/>
      <c r="F776" s="8"/>
      <c r="G776" s="8"/>
      <c r="H776" s="9"/>
      <c r="I776" s="10"/>
      <c r="J776" s="8"/>
      <c r="K776" s="10"/>
      <c r="L776" s="10"/>
      <c r="M776" s="10"/>
      <c r="N776" s="10"/>
      <c r="O776" s="10"/>
      <c r="P776" s="8"/>
      <c r="Q776" s="9"/>
    </row>
    <row r="777" spans="2:17" x14ac:dyDescent="0.2">
      <c r="B777" s="7"/>
      <c r="C777" s="8"/>
      <c r="D777" s="9"/>
      <c r="E777" s="10"/>
      <c r="F777" s="8"/>
      <c r="G777" s="8"/>
      <c r="H777" s="9"/>
      <c r="I777" s="10"/>
      <c r="J777" s="8"/>
      <c r="K777" s="10"/>
      <c r="L777" s="10"/>
      <c r="M777" s="10"/>
      <c r="N777" s="10"/>
      <c r="O777" s="10"/>
      <c r="P777" s="8"/>
      <c r="Q777" s="9"/>
    </row>
    <row r="778" spans="2:17" x14ac:dyDescent="0.2">
      <c r="B778" s="7"/>
      <c r="C778" s="8"/>
      <c r="D778" s="9"/>
      <c r="E778" s="10"/>
      <c r="F778" s="8"/>
      <c r="G778" s="8"/>
      <c r="H778" s="9"/>
      <c r="I778" s="10"/>
      <c r="J778" s="8"/>
      <c r="K778" s="10"/>
      <c r="L778" s="10"/>
      <c r="M778" s="10"/>
      <c r="N778" s="10"/>
      <c r="O778" s="10"/>
      <c r="P778" s="8"/>
      <c r="Q778" s="9"/>
    </row>
    <row r="779" spans="2:17" x14ac:dyDescent="0.2">
      <c r="B779" s="7"/>
      <c r="C779" s="8"/>
      <c r="D779" s="9"/>
      <c r="E779" s="10"/>
      <c r="F779" s="8"/>
      <c r="G779" s="8"/>
      <c r="H779" s="9"/>
      <c r="I779" s="10"/>
      <c r="J779" s="8"/>
      <c r="K779" s="10"/>
      <c r="L779" s="10"/>
      <c r="M779" s="10"/>
      <c r="N779" s="10"/>
      <c r="O779" s="10"/>
      <c r="P779" s="8"/>
      <c r="Q779" s="9"/>
    </row>
    <row r="780" spans="2:17" x14ac:dyDescent="0.2">
      <c r="B780" s="7"/>
      <c r="C780" s="8"/>
      <c r="D780" s="9"/>
      <c r="E780" s="10"/>
      <c r="F780" s="8"/>
      <c r="G780" s="8"/>
      <c r="H780" s="9"/>
      <c r="I780" s="10"/>
      <c r="J780" s="8"/>
      <c r="K780" s="10"/>
      <c r="L780" s="10"/>
      <c r="M780" s="10"/>
      <c r="N780" s="10"/>
      <c r="O780" s="10"/>
      <c r="P780" s="8"/>
      <c r="Q780" s="9"/>
    </row>
    <row r="781" spans="2:17" x14ac:dyDescent="0.2">
      <c r="B781" s="7"/>
      <c r="C781" s="8"/>
      <c r="D781" s="9"/>
      <c r="E781" s="10"/>
      <c r="F781" s="8"/>
      <c r="G781" s="8"/>
      <c r="H781" s="9"/>
      <c r="I781" s="10"/>
      <c r="J781" s="8"/>
      <c r="K781" s="10"/>
      <c r="L781" s="10"/>
      <c r="M781" s="10"/>
      <c r="N781" s="10"/>
      <c r="O781" s="10"/>
      <c r="P781" s="8"/>
      <c r="Q781" s="9"/>
    </row>
    <row r="782" spans="2:17" x14ac:dyDescent="0.2">
      <c r="B782" s="7"/>
      <c r="C782" s="8"/>
      <c r="D782" s="9"/>
      <c r="E782" s="10"/>
      <c r="F782" s="8"/>
      <c r="G782" s="8"/>
      <c r="H782" s="9"/>
      <c r="I782" s="10"/>
      <c r="J782" s="8"/>
      <c r="K782" s="10"/>
      <c r="L782" s="10"/>
      <c r="M782" s="10"/>
      <c r="N782" s="10"/>
      <c r="O782" s="10"/>
      <c r="P782" s="8"/>
      <c r="Q782" s="9"/>
    </row>
    <row r="783" spans="2:17" x14ac:dyDescent="0.2">
      <c r="B783" s="7"/>
      <c r="C783" s="8"/>
      <c r="D783" s="9"/>
      <c r="E783" s="10"/>
      <c r="F783" s="8"/>
      <c r="G783" s="8"/>
      <c r="H783" s="9"/>
      <c r="I783" s="10"/>
      <c r="J783" s="8"/>
      <c r="K783" s="10"/>
      <c r="L783" s="10"/>
      <c r="M783" s="10"/>
      <c r="N783" s="10"/>
      <c r="O783" s="10"/>
      <c r="P783" s="8"/>
      <c r="Q783" s="9"/>
    </row>
    <row r="784" spans="2:17" x14ac:dyDescent="0.2">
      <c r="B784" s="7"/>
      <c r="C784" s="8"/>
      <c r="D784" s="9"/>
      <c r="E784" s="10"/>
      <c r="F784" s="8"/>
      <c r="G784" s="8"/>
      <c r="H784" s="9"/>
      <c r="I784" s="10"/>
      <c r="J784" s="8"/>
      <c r="K784" s="10"/>
      <c r="L784" s="10"/>
      <c r="M784" s="10"/>
      <c r="N784" s="10"/>
      <c r="O784" s="10"/>
      <c r="P784" s="8"/>
      <c r="Q784" s="9"/>
    </row>
    <row r="785" spans="2:17" x14ac:dyDescent="0.2">
      <c r="B785" s="7"/>
      <c r="C785" s="8"/>
      <c r="D785" s="9"/>
      <c r="E785" s="10"/>
      <c r="F785" s="8"/>
      <c r="G785" s="8"/>
      <c r="H785" s="9"/>
      <c r="I785" s="10"/>
      <c r="J785" s="8"/>
      <c r="K785" s="10"/>
      <c r="L785" s="10"/>
      <c r="M785" s="10"/>
      <c r="N785" s="10"/>
      <c r="O785" s="10"/>
      <c r="P785" s="8"/>
      <c r="Q785" s="9"/>
    </row>
    <row r="786" spans="2:17" x14ac:dyDescent="0.2">
      <c r="B786" s="7"/>
      <c r="C786" s="8"/>
      <c r="D786" s="9"/>
      <c r="E786" s="10"/>
      <c r="F786" s="8"/>
      <c r="G786" s="8"/>
      <c r="H786" s="9"/>
      <c r="I786" s="10"/>
      <c r="J786" s="8"/>
      <c r="K786" s="10"/>
      <c r="L786" s="10"/>
      <c r="M786" s="10"/>
      <c r="N786" s="10"/>
      <c r="O786" s="10"/>
      <c r="P786" s="8"/>
      <c r="Q786" s="9"/>
    </row>
    <row r="787" spans="2:17" x14ac:dyDescent="0.2">
      <c r="B787" s="7"/>
      <c r="C787" s="8"/>
      <c r="D787" s="9"/>
      <c r="E787" s="10"/>
      <c r="F787" s="8"/>
      <c r="G787" s="8"/>
      <c r="H787" s="9"/>
      <c r="I787" s="10"/>
      <c r="J787" s="8"/>
      <c r="K787" s="10"/>
      <c r="L787" s="10"/>
      <c r="M787" s="10"/>
      <c r="N787" s="10"/>
      <c r="O787" s="10"/>
      <c r="P787" s="8"/>
      <c r="Q787" s="9"/>
    </row>
    <row r="788" spans="2:17" x14ac:dyDescent="0.2">
      <c r="B788" s="7"/>
      <c r="C788" s="8"/>
      <c r="D788" s="9"/>
      <c r="E788" s="10"/>
      <c r="F788" s="8"/>
      <c r="G788" s="8"/>
      <c r="H788" s="9"/>
      <c r="I788" s="10"/>
      <c r="J788" s="8"/>
      <c r="K788" s="10"/>
      <c r="L788" s="10"/>
      <c r="M788" s="10"/>
      <c r="N788" s="10"/>
      <c r="O788" s="10"/>
      <c r="P788" s="8"/>
      <c r="Q788" s="9"/>
    </row>
    <row r="789" spans="2:17" x14ac:dyDescent="0.2">
      <c r="B789" s="7"/>
      <c r="C789" s="8"/>
      <c r="D789" s="9"/>
      <c r="E789" s="10"/>
      <c r="F789" s="8"/>
      <c r="G789" s="8"/>
      <c r="H789" s="9"/>
      <c r="I789" s="10"/>
      <c r="J789" s="8"/>
      <c r="K789" s="10"/>
      <c r="L789" s="10"/>
      <c r="M789" s="10"/>
      <c r="N789" s="10"/>
      <c r="O789" s="10"/>
      <c r="P789" s="8"/>
      <c r="Q789" s="9"/>
    </row>
    <row r="790" spans="2:17" x14ac:dyDescent="0.2">
      <c r="B790" s="7"/>
      <c r="C790" s="8"/>
      <c r="D790" s="9"/>
      <c r="E790" s="10"/>
      <c r="F790" s="8"/>
      <c r="G790" s="8"/>
      <c r="H790" s="9"/>
      <c r="I790" s="10"/>
      <c r="J790" s="8"/>
      <c r="K790" s="10"/>
      <c r="L790" s="10"/>
      <c r="M790" s="10"/>
      <c r="N790" s="10"/>
      <c r="O790" s="10"/>
      <c r="P790" s="8"/>
      <c r="Q790" s="9"/>
    </row>
    <row r="791" spans="2:17" x14ac:dyDescent="0.2">
      <c r="B791" s="7"/>
      <c r="C791" s="8"/>
      <c r="D791" s="9"/>
      <c r="E791" s="10"/>
      <c r="F791" s="8"/>
      <c r="G791" s="8"/>
      <c r="H791" s="9"/>
      <c r="I791" s="10"/>
      <c r="J791" s="8"/>
      <c r="K791" s="10"/>
      <c r="L791" s="10"/>
      <c r="M791" s="10"/>
      <c r="N791" s="10"/>
      <c r="O791" s="10"/>
      <c r="P791" s="8"/>
      <c r="Q791" s="9"/>
    </row>
    <row r="792" spans="2:17" x14ac:dyDescent="0.2">
      <c r="B792" s="7"/>
      <c r="C792" s="8"/>
      <c r="D792" s="9"/>
      <c r="E792" s="10"/>
      <c r="F792" s="8"/>
      <c r="G792" s="8"/>
      <c r="H792" s="9"/>
      <c r="I792" s="10"/>
      <c r="J792" s="8"/>
      <c r="K792" s="10"/>
      <c r="L792" s="10"/>
      <c r="M792" s="10"/>
      <c r="N792" s="10"/>
      <c r="O792" s="10"/>
      <c r="P792" s="8"/>
      <c r="Q792" s="9"/>
    </row>
    <row r="793" spans="2:17" x14ac:dyDescent="0.2">
      <c r="B793" s="7"/>
      <c r="C793" s="8"/>
      <c r="D793" s="9"/>
      <c r="E793" s="10"/>
      <c r="F793" s="8"/>
      <c r="G793" s="8"/>
      <c r="H793" s="9"/>
      <c r="I793" s="10"/>
      <c r="J793" s="8"/>
      <c r="K793" s="10"/>
      <c r="L793" s="10"/>
      <c r="M793" s="10"/>
      <c r="N793" s="10"/>
      <c r="O793" s="10"/>
      <c r="P793" s="8"/>
      <c r="Q793" s="9"/>
    </row>
    <row r="794" spans="2:17" x14ac:dyDescent="0.2">
      <c r="B794" s="7"/>
      <c r="C794" s="8"/>
      <c r="D794" s="9"/>
      <c r="E794" s="10"/>
      <c r="F794" s="8"/>
      <c r="G794" s="8"/>
      <c r="H794" s="9"/>
      <c r="I794" s="10"/>
      <c r="J794" s="8"/>
      <c r="K794" s="10"/>
      <c r="L794" s="10"/>
      <c r="M794" s="10"/>
      <c r="N794" s="10"/>
      <c r="O794" s="10"/>
      <c r="P794" s="8"/>
      <c r="Q794" s="9"/>
    </row>
    <row r="795" spans="2:17" x14ac:dyDescent="0.2">
      <c r="B795" s="7"/>
      <c r="C795" s="8"/>
      <c r="D795" s="9"/>
      <c r="E795" s="10"/>
      <c r="F795" s="8"/>
      <c r="G795" s="8"/>
      <c r="H795" s="9"/>
      <c r="I795" s="10"/>
      <c r="J795" s="8"/>
      <c r="K795" s="10"/>
      <c r="L795" s="10"/>
      <c r="M795" s="10"/>
      <c r="N795" s="10"/>
      <c r="O795" s="10"/>
      <c r="P795" s="8"/>
      <c r="Q795" s="9"/>
    </row>
    <row r="796" spans="2:17" x14ac:dyDescent="0.2">
      <c r="B796" s="7"/>
      <c r="C796" s="8"/>
      <c r="D796" s="9"/>
      <c r="E796" s="10"/>
      <c r="F796" s="8"/>
      <c r="G796" s="8"/>
      <c r="H796" s="9"/>
      <c r="I796" s="10"/>
      <c r="J796" s="8"/>
      <c r="K796" s="10"/>
      <c r="L796" s="10"/>
      <c r="M796" s="10"/>
      <c r="N796" s="10"/>
      <c r="O796" s="10"/>
      <c r="P796" s="8"/>
      <c r="Q796" s="9"/>
    </row>
    <row r="797" spans="2:17" x14ac:dyDescent="0.2">
      <c r="B797" s="7"/>
      <c r="C797" s="8"/>
      <c r="D797" s="9"/>
      <c r="E797" s="10"/>
      <c r="F797" s="8"/>
      <c r="G797" s="8"/>
      <c r="H797" s="9"/>
      <c r="I797" s="10"/>
      <c r="J797" s="8"/>
      <c r="K797" s="10"/>
      <c r="L797" s="10"/>
      <c r="M797" s="10"/>
      <c r="N797" s="10"/>
      <c r="O797" s="10"/>
      <c r="P797" s="8"/>
      <c r="Q797" s="9"/>
    </row>
    <row r="798" spans="2:17" x14ac:dyDescent="0.2">
      <c r="B798" s="7"/>
      <c r="C798" s="8"/>
      <c r="D798" s="9"/>
      <c r="E798" s="10"/>
      <c r="F798" s="8"/>
      <c r="G798" s="8"/>
      <c r="H798" s="9"/>
      <c r="I798" s="10"/>
      <c r="J798" s="8"/>
      <c r="K798" s="10"/>
      <c r="L798" s="10"/>
      <c r="M798" s="10"/>
      <c r="N798" s="10"/>
      <c r="O798" s="10"/>
      <c r="P798" s="8"/>
      <c r="Q798" s="9"/>
    </row>
    <row r="799" spans="2:17" x14ac:dyDescent="0.2">
      <c r="B799" s="7"/>
      <c r="C799" s="8"/>
      <c r="D799" s="9"/>
      <c r="E799" s="10"/>
      <c r="F799" s="8"/>
      <c r="G799" s="8"/>
      <c r="H799" s="9"/>
      <c r="I799" s="10"/>
      <c r="J799" s="8"/>
      <c r="K799" s="10"/>
      <c r="L799" s="10"/>
      <c r="M799" s="10"/>
      <c r="N799" s="10"/>
      <c r="O799" s="10"/>
      <c r="P799" s="8"/>
      <c r="Q799" s="9"/>
    </row>
    <row r="800" spans="2:17" x14ac:dyDescent="0.2">
      <c r="B800" s="7"/>
      <c r="C800" s="8"/>
      <c r="D800" s="9"/>
      <c r="E800" s="10"/>
      <c r="F800" s="8"/>
      <c r="G800" s="8"/>
      <c r="H800" s="9"/>
      <c r="I800" s="10"/>
      <c r="J800" s="8"/>
      <c r="K800" s="10"/>
      <c r="L800" s="10"/>
      <c r="M800" s="10"/>
      <c r="N800" s="10"/>
      <c r="O800" s="10"/>
      <c r="P800" s="8"/>
      <c r="Q800" s="9"/>
    </row>
    <row r="801" spans="2:17" x14ac:dyDescent="0.2">
      <c r="B801" s="7"/>
      <c r="C801" s="8"/>
      <c r="D801" s="9"/>
      <c r="E801" s="10"/>
      <c r="F801" s="8"/>
      <c r="G801" s="8"/>
      <c r="H801" s="9"/>
      <c r="I801" s="10"/>
      <c r="J801" s="8"/>
      <c r="K801" s="10"/>
      <c r="L801" s="10"/>
      <c r="M801" s="10"/>
      <c r="N801" s="10"/>
      <c r="O801" s="10"/>
      <c r="P801" s="8"/>
      <c r="Q801" s="9"/>
    </row>
    <row r="802" spans="2:17" x14ac:dyDescent="0.2">
      <c r="B802" s="7"/>
      <c r="C802" s="8"/>
      <c r="D802" s="9"/>
      <c r="E802" s="10"/>
      <c r="F802" s="8"/>
      <c r="G802" s="8"/>
      <c r="H802" s="9"/>
      <c r="I802" s="10"/>
      <c r="J802" s="8"/>
      <c r="K802" s="10"/>
      <c r="L802" s="10"/>
      <c r="M802" s="10"/>
      <c r="N802" s="10"/>
      <c r="O802" s="10"/>
      <c r="P802" s="8"/>
      <c r="Q802" s="9"/>
    </row>
    <row r="803" spans="2:17" x14ac:dyDescent="0.2">
      <c r="B803" s="7"/>
      <c r="C803" s="8"/>
      <c r="D803" s="9"/>
      <c r="E803" s="10"/>
      <c r="F803" s="8"/>
      <c r="G803" s="8"/>
      <c r="H803" s="9"/>
      <c r="I803" s="10"/>
      <c r="J803" s="8"/>
      <c r="K803" s="10"/>
      <c r="L803" s="10"/>
      <c r="M803" s="10"/>
      <c r="N803" s="10"/>
      <c r="O803" s="10"/>
      <c r="P803" s="8"/>
      <c r="Q803" s="9"/>
    </row>
    <row r="804" spans="2:17" x14ac:dyDescent="0.2">
      <c r="B804" s="7"/>
      <c r="C804" s="8"/>
      <c r="D804" s="9"/>
      <c r="E804" s="10"/>
      <c r="F804" s="8"/>
      <c r="G804" s="8"/>
      <c r="H804" s="9"/>
      <c r="I804" s="10"/>
      <c r="J804" s="8"/>
      <c r="K804" s="10"/>
      <c r="L804" s="10"/>
      <c r="M804" s="10"/>
      <c r="N804" s="10"/>
      <c r="O804" s="10"/>
      <c r="P804" s="8"/>
      <c r="Q804" s="9"/>
    </row>
    <row r="805" spans="2:17" x14ac:dyDescent="0.2">
      <c r="B805" s="7"/>
      <c r="C805" s="8"/>
      <c r="D805" s="9"/>
      <c r="E805" s="10"/>
      <c r="F805" s="8"/>
      <c r="G805" s="8"/>
      <c r="H805" s="9"/>
      <c r="I805" s="10"/>
      <c r="J805" s="8"/>
      <c r="K805" s="10"/>
      <c r="L805" s="10"/>
      <c r="M805" s="10"/>
      <c r="N805" s="10"/>
      <c r="O805" s="10"/>
      <c r="P805" s="8"/>
      <c r="Q805" s="9"/>
    </row>
    <row r="806" spans="2:17" x14ac:dyDescent="0.2">
      <c r="B806" s="7"/>
      <c r="C806" s="8"/>
      <c r="D806" s="9"/>
      <c r="E806" s="10"/>
      <c r="F806" s="8"/>
      <c r="G806" s="8"/>
      <c r="H806" s="9"/>
      <c r="I806" s="10"/>
      <c r="J806" s="8"/>
      <c r="K806" s="10"/>
      <c r="L806" s="10"/>
      <c r="M806" s="10"/>
      <c r="N806" s="10"/>
      <c r="O806" s="10"/>
      <c r="P806" s="8"/>
      <c r="Q806" s="9"/>
    </row>
    <row r="807" spans="2:17" x14ac:dyDescent="0.2">
      <c r="B807" s="7"/>
      <c r="C807" s="8"/>
      <c r="D807" s="9"/>
      <c r="E807" s="10"/>
      <c r="F807" s="8"/>
      <c r="G807" s="8"/>
      <c r="H807" s="9"/>
      <c r="I807" s="10"/>
      <c r="J807" s="8"/>
      <c r="K807" s="10"/>
      <c r="L807" s="10"/>
      <c r="M807" s="10"/>
      <c r="N807" s="10"/>
      <c r="O807" s="10"/>
      <c r="P807" s="8"/>
      <c r="Q807" s="9"/>
    </row>
    <row r="808" spans="2:17" x14ac:dyDescent="0.2">
      <c r="B808" s="7"/>
      <c r="C808" s="8"/>
      <c r="D808" s="9"/>
      <c r="E808" s="10"/>
      <c r="F808" s="8"/>
      <c r="G808" s="8"/>
      <c r="H808" s="9"/>
      <c r="I808" s="10"/>
      <c r="J808" s="8"/>
      <c r="K808" s="10"/>
      <c r="L808" s="10"/>
      <c r="M808" s="10"/>
      <c r="N808" s="10"/>
      <c r="O808" s="10"/>
      <c r="P808" s="8"/>
      <c r="Q808" s="9"/>
    </row>
    <row r="809" spans="2:17" x14ac:dyDescent="0.2">
      <c r="B809" s="7"/>
      <c r="C809" s="8"/>
      <c r="D809" s="9"/>
      <c r="E809" s="10"/>
      <c r="F809" s="8"/>
      <c r="G809" s="8"/>
      <c r="H809" s="9"/>
      <c r="I809" s="10"/>
      <c r="J809" s="8"/>
      <c r="K809" s="10"/>
      <c r="L809" s="10"/>
      <c r="M809" s="10"/>
      <c r="N809" s="10"/>
      <c r="O809" s="10"/>
      <c r="P809" s="8"/>
      <c r="Q809" s="9"/>
    </row>
    <row r="810" spans="2:17" x14ac:dyDescent="0.2">
      <c r="B810" s="7"/>
      <c r="C810" s="8"/>
      <c r="D810" s="9"/>
      <c r="E810" s="10"/>
      <c r="F810" s="8"/>
      <c r="G810" s="8"/>
      <c r="H810" s="9"/>
      <c r="I810" s="10"/>
      <c r="J810" s="8"/>
      <c r="K810" s="10"/>
      <c r="L810" s="10"/>
      <c r="M810" s="10"/>
      <c r="N810" s="10"/>
      <c r="O810" s="10"/>
      <c r="P810" s="8"/>
      <c r="Q810" s="9"/>
    </row>
    <row r="811" spans="2:17" x14ac:dyDescent="0.2">
      <c r="B811" s="7"/>
      <c r="C811" s="8"/>
      <c r="D811" s="9"/>
      <c r="E811" s="10"/>
      <c r="F811" s="8"/>
      <c r="G811" s="8"/>
      <c r="H811" s="9"/>
      <c r="I811" s="10"/>
      <c r="J811" s="8"/>
      <c r="K811" s="10"/>
      <c r="L811" s="10"/>
      <c r="M811" s="10"/>
      <c r="N811" s="10"/>
      <c r="O811" s="10"/>
      <c r="P811" s="8"/>
      <c r="Q811" s="9"/>
    </row>
    <row r="812" spans="2:17" x14ac:dyDescent="0.2">
      <c r="B812" s="7"/>
      <c r="C812" s="8"/>
      <c r="D812" s="9"/>
      <c r="E812" s="10"/>
      <c r="F812" s="8"/>
      <c r="G812" s="8"/>
      <c r="H812" s="9"/>
      <c r="I812" s="10"/>
      <c r="J812" s="8"/>
      <c r="K812" s="10"/>
      <c r="L812" s="10"/>
      <c r="M812" s="10"/>
      <c r="N812" s="10"/>
      <c r="O812" s="10"/>
      <c r="P812" s="8"/>
      <c r="Q812" s="9"/>
    </row>
    <row r="813" spans="2:17" x14ac:dyDescent="0.2">
      <c r="B813" s="7"/>
      <c r="C813" s="8"/>
      <c r="D813" s="9"/>
      <c r="E813" s="10"/>
      <c r="F813" s="8"/>
      <c r="G813" s="8"/>
      <c r="H813" s="9"/>
      <c r="I813" s="10"/>
      <c r="J813" s="8"/>
      <c r="K813" s="10"/>
      <c r="L813" s="10"/>
      <c r="M813" s="10"/>
      <c r="N813" s="10"/>
      <c r="O813" s="10"/>
      <c r="P813" s="8"/>
      <c r="Q813" s="9"/>
    </row>
    <row r="814" spans="2:17" x14ac:dyDescent="0.2">
      <c r="B814" s="7"/>
      <c r="C814" s="8"/>
      <c r="D814" s="9"/>
      <c r="E814" s="10"/>
      <c r="F814" s="8"/>
      <c r="G814" s="8"/>
      <c r="H814" s="9"/>
      <c r="I814" s="10"/>
      <c r="J814" s="8"/>
      <c r="K814" s="10"/>
      <c r="L814" s="10"/>
      <c r="M814" s="10"/>
      <c r="N814" s="10"/>
      <c r="O814" s="10"/>
      <c r="P814" s="8"/>
      <c r="Q814" s="9"/>
    </row>
    <row r="815" spans="2:17" x14ac:dyDescent="0.2">
      <c r="B815" s="7"/>
      <c r="C815" s="8"/>
      <c r="D815" s="9"/>
      <c r="E815" s="10"/>
      <c r="F815" s="8"/>
      <c r="G815" s="8"/>
      <c r="H815" s="9"/>
      <c r="I815" s="10"/>
      <c r="J815" s="8"/>
      <c r="K815" s="10"/>
      <c r="L815" s="10"/>
      <c r="M815" s="10"/>
      <c r="N815" s="10"/>
      <c r="O815" s="10"/>
      <c r="P815" s="8"/>
      <c r="Q815" s="9"/>
    </row>
    <row r="816" spans="2:17" x14ac:dyDescent="0.2">
      <c r="B816" s="7"/>
      <c r="C816" s="8"/>
      <c r="D816" s="9"/>
      <c r="E816" s="10"/>
      <c r="F816" s="8"/>
      <c r="G816" s="8"/>
      <c r="H816" s="9"/>
      <c r="I816" s="10"/>
      <c r="J816" s="8"/>
      <c r="K816" s="10"/>
      <c r="L816" s="10"/>
      <c r="M816" s="10"/>
      <c r="N816" s="10"/>
      <c r="O816" s="10"/>
      <c r="P816" s="8"/>
      <c r="Q816" s="9"/>
    </row>
    <row r="817" spans="2:17" x14ac:dyDescent="0.2">
      <c r="B817" s="7"/>
      <c r="C817" s="8"/>
      <c r="D817" s="9"/>
      <c r="E817" s="10"/>
      <c r="F817" s="8"/>
      <c r="G817" s="8"/>
      <c r="H817" s="9"/>
      <c r="I817" s="10"/>
      <c r="J817" s="8"/>
      <c r="K817" s="10"/>
      <c r="L817" s="10"/>
      <c r="M817" s="10"/>
      <c r="N817" s="10"/>
      <c r="O817" s="10"/>
      <c r="P817" s="8"/>
      <c r="Q817" s="9"/>
    </row>
    <row r="818" spans="2:17" x14ac:dyDescent="0.2">
      <c r="B818" s="7"/>
      <c r="C818" s="8"/>
      <c r="D818" s="9"/>
      <c r="E818" s="10"/>
      <c r="F818" s="8"/>
      <c r="G818" s="8"/>
      <c r="H818" s="9"/>
      <c r="I818" s="10"/>
      <c r="J818" s="8"/>
      <c r="K818" s="10"/>
      <c r="L818" s="10"/>
      <c r="M818" s="10"/>
      <c r="N818" s="10"/>
      <c r="O818" s="10"/>
      <c r="P818" s="8"/>
      <c r="Q818" s="9"/>
    </row>
    <row r="819" spans="2:17" x14ac:dyDescent="0.2">
      <c r="B819" s="7"/>
      <c r="C819" s="8"/>
      <c r="D819" s="9"/>
      <c r="E819" s="10"/>
      <c r="F819" s="8"/>
      <c r="G819" s="8"/>
      <c r="H819" s="9"/>
      <c r="I819" s="10"/>
      <c r="J819" s="8"/>
      <c r="K819" s="10"/>
      <c r="L819" s="10"/>
      <c r="M819" s="10"/>
      <c r="N819" s="10"/>
      <c r="O819" s="10"/>
      <c r="P819" s="8"/>
      <c r="Q819" s="9"/>
    </row>
    <row r="820" spans="2:17" x14ac:dyDescent="0.2">
      <c r="B820" s="7"/>
      <c r="C820" s="8"/>
      <c r="D820" s="9"/>
      <c r="E820" s="10"/>
      <c r="F820" s="8"/>
      <c r="G820" s="8"/>
      <c r="H820" s="9"/>
      <c r="I820" s="10"/>
      <c r="J820" s="8"/>
      <c r="K820" s="10"/>
      <c r="L820" s="10"/>
      <c r="M820" s="10"/>
      <c r="N820" s="10"/>
      <c r="O820" s="10"/>
      <c r="P820" s="8"/>
      <c r="Q820" s="9"/>
    </row>
    <row r="821" spans="2:17" x14ac:dyDescent="0.2">
      <c r="B821" s="7"/>
      <c r="C821" s="8"/>
      <c r="D821" s="9"/>
      <c r="E821" s="10"/>
      <c r="F821" s="8"/>
      <c r="G821" s="8"/>
      <c r="H821" s="9"/>
      <c r="I821" s="10"/>
      <c r="J821" s="8"/>
      <c r="K821" s="10"/>
      <c r="L821" s="10"/>
      <c r="M821" s="10"/>
      <c r="N821" s="10"/>
      <c r="O821" s="10"/>
      <c r="P821" s="8"/>
      <c r="Q821" s="9"/>
    </row>
    <row r="822" spans="2:17" x14ac:dyDescent="0.2">
      <c r="B822" s="7"/>
      <c r="C822" s="8"/>
      <c r="D822" s="9"/>
      <c r="E822" s="10"/>
      <c r="F822" s="8"/>
      <c r="G822" s="8"/>
      <c r="H822" s="9"/>
      <c r="I822" s="10"/>
      <c r="J822" s="8"/>
      <c r="K822" s="10"/>
      <c r="L822" s="10"/>
      <c r="M822" s="10"/>
      <c r="N822" s="10"/>
      <c r="O822" s="10"/>
      <c r="P822" s="8"/>
      <c r="Q822" s="9"/>
    </row>
    <row r="823" spans="2:17" x14ac:dyDescent="0.2">
      <c r="B823" s="7"/>
      <c r="C823" s="8"/>
      <c r="D823" s="9"/>
      <c r="E823" s="10"/>
      <c r="F823" s="8"/>
      <c r="G823" s="8"/>
      <c r="H823" s="9"/>
      <c r="I823" s="10"/>
      <c r="J823" s="8"/>
      <c r="K823" s="10"/>
      <c r="L823" s="10"/>
      <c r="M823" s="10"/>
      <c r="N823" s="10"/>
      <c r="O823" s="10"/>
      <c r="P823" s="8"/>
      <c r="Q823" s="9"/>
    </row>
    <row r="824" spans="2:17" x14ac:dyDescent="0.2">
      <c r="B824" s="7"/>
      <c r="C824" s="8"/>
      <c r="D824" s="9"/>
      <c r="E824" s="10"/>
      <c r="F824" s="8"/>
      <c r="G824" s="8"/>
      <c r="H824" s="9"/>
      <c r="I824" s="10"/>
      <c r="J824" s="8"/>
      <c r="K824" s="10"/>
      <c r="L824" s="10"/>
      <c r="M824" s="10"/>
      <c r="N824" s="10"/>
      <c r="O824" s="10"/>
      <c r="P824" s="8"/>
      <c r="Q824" s="9"/>
    </row>
    <row r="825" spans="2:17" x14ac:dyDescent="0.2">
      <c r="B825" s="7"/>
      <c r="C825" s="8"/>
      <c r="D825" s="9"/>
      <c r="E825" s="10"/>
      <c r="F825" s="8"/>
      <c r="G825" s="8"/>
      <c r="H825" s="9"/>
      <c r="I825" s="10"/>
      <c r="J825" s="8"/>
      <c r="K825" s="10"/>
      <c r="L825" s="10"/>
      <c r="M825" s="10"/>
      <c r="N825" s="10"/>
      <c r="O825" s="10"/>
      <c r="P825" s="8"/>
      <c r="Q825" s="9"/>
    </row>
    <row r="826" spans="2:17" x14ac:dyDescent="0.2">
      <c r="B826" s="7"/>
      <c r="C826" s="8"/>
      <c r="D826" s="9"/>
      <c r="E826" s="10"/>
      <c r="F826" s="8"/>
      <c r="G826" s="8"/>
      <c r="H826" s="9"/>
      <c r="I826" s="10"/>
      <c r="J826" s="8"/>
      <c r="K826" s="10"/>
      <c r="L826" s="10"/>
      <c r="M826" s="10"/>
      <c r="N826" s="10"/>
      <c r="O826" s="10"/>
      <c r="P826" s="8"/>
      <c r="Q826" s="9"/>
    </row>
    <row r="827" spans="2:17" x14ac:dyDescent="0.2">
      <c r="B827" s="7"/>
      <c r="C827" s="8"/>
      <c r="D827" s="9"/>
      <c r="E827" s="10"/>
      <c r="F827" s="8"/>
      <c r="G827" s="8"/>
      <c r="H827" s="9"/>
      <c r="I827" s="10"/>
      <c r="J827" s="8"/>
      <c r="K827" s="10"/>
      <c r="L827" s="10"/>
      <c r="M827" s="10"/>
      <c r="N827" s="10"/>
      <c r="O827" s="10"/>
      <c r="P827" s="8"/>
      <c r="Q827" s="9"/>
    </row>
    <row r="828" spans="2:17" x14ac:dyDescent="0.2">
      <c r="B828" s="7"/>
      <c r="C828" s="8"/>
      <c r="D828" s="9"/>
      <c r="E828" s="10"/>
      <c r="F828" s="8"/>
      <c r="G828" s="8"/>
      <c r="H828" s="9"/>
      <c r="I828" s="10"/>
      <c r="J828" s="8"/>
      <c r="K828" s="10"/>
      <c r="L828" s="10"/>
      <c r="M828" s="10"/>
      <c r="N828" s="10"/>
      <c r="O828" s="10"/>
      <c r="P828" s="8"/>
      <c r="Q828" s="9"/>
    </row>
    <row r="829" spans="2:17" x14ac:dyDescent="0.2">
      <c r="B829" s="7"/>
      <c r="C829" s="8"/>
      <c r="D829" s="9"/>
      <c r="E829" s="10"/>
      <c r="F829" s="8"/>
      <c r="G829" s="8"/>
      <c r="H829" s="9"/>
      <c r="I829" s="10"/>
      <c r="J829" s="8"/>
      <c r="K829" s="10"/>
      <c r="L829" s="10"/>
      <c r="M829" s="10"/>
      <c r="N829" s="10"/>
      <c r="O829" s="10"/>
      <c r="P829" s="8"/>
      <c r="Q829" s="9"/>
    </row>
    <row r="830" spans="2:17" x14ac:dyDescent="0.2">
      <c r="B830" s="7"/>
      <c r="C830" s="8"/>
      <c r="D830" s="9"/>
      <c r="E830" s="10"/>
      <c r="F830" s="8"/>
      <c r="G830" s="8"/>
      <c r="H830" s="9"/>
      <c r="I830" s="10"/>
      <c r="J830" s="8"/>
      <c r="K830" s="10"/>
      <c r="L830" s="10"/>
      <c r="M830" s="10"/>
      <c r="N830" s="10"/>
      <c r="O830" s="10"/>
      <c r="P830" s="8"/>
      <c r="Q830" s="9"/>
    </row>
    <row r="831" spans="2:17" x14ac:dyDescent="0.2">
      <c r="B831" s="7"/>
      <c r="C831" s="8"/>
      <c r="D831" s="9"/>
      <c r="E831" s="10"/>
      <c r="F831" s="8"/>
      <c r="G831" s="8"/>
      <c r="H831" s="9"/>
      <c r="I831" s="10"/>
      <c r="J831" s="8"/>
      <c r="K831" s="10"/>
      <c r="L831" s="10"/>
      <c r="M831" s="10"/>
      <c r="N831" s="10"/>
      <c r="O831" s="10"/>
      <c r="P831" s="8"/>
      <c r="Q831" s="9"/>
    </row>
    <row r="832" spans="2:17" x14ac:dyDescent="0.2">
      <c r="B832" s="7"/>
      <c r="C832" s="8"/>
      <c r="D832" s="9"/>
      <c r="E832" s="10"/>
      <c r="F832" s="8"/>
      <c r="G832" s="8"/>
      <c r="H832" s="9"/>
      <c r="I832" s="10"/>
      <c r="J832" s="8"/>
      <c r="K832" s="10"/>
      <c r="L832" s="10"/>
      <c r="M832" s="10"/>
      <c r="N832" s="10"/>
      <c r="O832" s="10"/>
      <c r="P832" s="8"/>
      <c r="Q832" s="9"/>
    </row>
    <row r="833" spans="2:17" x14ac:dyDescent="0.2">
      <c r="B833" s="7"/>
      <c r="C833" s="8"/>
      <c r="D833" s="9"/>
      <c r="E833" s="10"/>
      <c r="F833" s="8"/>
      <c r="G833" s="8"/>
      <c r="H833" s="9"/>
      <c r="I833" s="10"/>
      <c r="J833" s="8"/>
      <c r="K833" s="10"/>
      <c r="L833" s="10"/>
      <c r="M833" s="10"/>
      <c r="N833" s="10"/>
      <c r="O833" s="10"/>
      <c r="P833" s="8"/>
      <c r="Q833" s="9"/>
    </row>
    <row r="834" spans="2:17" x14ac:dyDescent="0.2">
      <c r="B834" s="7"/>
      <c r="C834" s="8"/>
      <c r="D834" s="9"/>
      <c r="E834" s="10"/>
      <c r="F834" s="8"/>
      <c r="G834" s="8"/>
      <c r="H834" s="9"/>
      <c r="I834" s="10"/>
      <c r="J834" s="8"/>
      <c r="K834" s="10"/>
      <c r="L834" s="10"/>
      <c r="M834" s="10"/>
      <c r="N834" s="10"/>
      <c r="O834" s="10"/>
      <c r="P834" s="8"/>
      <c r="Q834" s="9"/>
    </row>
    <row r="835" spans="2:17" x14ac:dyDescent="0.2">
      <c r="B835" s="7"/>
      <c r="C835" s="8"/>
      <c r="D835" s="9"/>
      <c r="E835" s="10"/>
      <c r="F835" s="8"/>
      <c r="G835" s="8"/>
      <c r="H835" s="9"/>
      <c r="I835" s="10"/>
      <c r="J835" s="8"/>
      <c r="K835" s="10"/>
      <c r="L835" s="10"/>
      <c r="M835" s="10"/>
      <c r="N835" s="10"/>
      <c r="O835" s="10"/>
      <c r="P835" s="8"/>
      <c r="Q835" s="9"/>
    </row>
    <row r="836" spans="2:17" x14ac:dyDescent="0.2">
      <c r="B836" s="7"/>
      <c r="C836" s="8"/>
      <c r="D836" s="9"/>
      <c r="E836" s="10"/>
      <c r="F836" s="8"/>
      <c r="G836" s="8"/>
      <c r="H836" s="9"/>
      <c r="I836" s="10"/>
      <c r="J836" s="8"/>
      <c r="K836" s="10"/>
      <c r="L836" s="10"/>
      <c r="M836" s="10"/>
      <c r="N836" s="10"/>
      <c r="O836" s="10"/>
      <c r="P836" s="8"/>
      <c r="Q836" s="9"/>
    </row>
    <row r="837" spans="2:17" x14ac:dyDescent="0.2">
      <c r="B837" s="7"/>
      <c r="C837" s="8"/>
      <c r="D837" s="9"/>
      <c r="E837" s="10"/>
      <c r="F837" s="8"/>
      <c r="G837" s="8"/>
      <c r="H837" s="9"/>
      <c r="I837" s="10"/>
      <c r="J837" s="8"/>
      <c r="K837" s="10"/>
      <c r="L837" s="10"/>
      <c r="M837" s="10"/>
      <c r="N837" s="10"/>
      <c r="O837" s="10"/>
      <c r="P837" s="8"/>
      <c r="Q837" s="9"/>
    </row>
    <row r="838" spans="2:17" x14ac:dyDescent="0.2">
      <c r="B838" s="7"/>
      <c r="C838" s="8"/>
      <c r="D838" s="9"/>
      <c r="E838" s="10"/>
      <c r="F838" s="8"/>
      <c r="G838" s="8"/>
      <c r="H838" s="9"/>
      <c r="I838" s="10"/>
      <c r="J838" s="8"/>
      <c r="K838" s="10"/>
      <c r="L838" s="10"/>
      <c r="M838" s="10"/>
      <c r="N838" s="10"/>
      <c r="O838" s="10"/>
      <c r="P838" s="8"/>
      <c r="Q838" s="9"/>
    </row>
    <row r="839" spans="2:17" x14ac:dyDescent="0.2">
      <c r="B839" s="7"/>
      <c r="C839" s="8"/>
      <c r="D839" s="9"/>
      <c r="E839" s="10"/>
      <c r="F839" s="8"/>
      <c r="G839" s="8"/>
      <c r="H839" s="9"/>
      <c r="I839" s="10"/>
      <c r="J839" s="8"/>
      <c r="K839" s="10"/>
      <c r="L839" s="10"/>
      <c r="M839" s="10"/>
      <c r="N839" s="10"/>
      <c r="O839" s="10"/>
      <c r="P839" s="8"/>
      <c r="Q839" s="9"/>
    </row>
    <row r="840" spans="2:17" x14ac:dyDescent="0.2">
      <c r="B840" s="7"/>
      <c r="C840" s="8"/>
      <c r="D840" s="9"/>
      <c r="E840" s="10"/>
      <c r="F840" s="8"/>
      <c r="G840" s="8"/>
      <c r="H840" s="9"/>
      <c r="I840" s="10"/>
      <c r="J840" s="8"/>
      <c r="K840" s="10"/>
      <c r="L840" s="10"/>
      <c r="M840" s="10"/>
      <c r="N840" s="10"/>
      <c r="O840" s="10"/>
      <c r="P840" s="8"/>
      <c r="Q840" s="9"/>
    </row>
    <row r="841" spans="2:17" x14ac:dyDescent="0.2">
      <c r="B841" s="7"/>
      <c r="C841" s="8"/>
      <c r="D841" s="9"/>
      <c r="E841" s="10"/>
      <c r="F841" s="8"/>
      <c r="G841" s="8"/>
      <c r="H841" s="9"/>
      <c r="I841" s="10"/>
      <c r="J841" s="8"/>
      <c r="K841" s="10"/>
      <c r="L841" s="10"/>
      <c r="M841" s="10"/>
      <c r="N841" s="10"/>
      <c r="O841" s="10"/>
      <c r="P841" s="8"/>
      <c r="Q841" s="9"/>
    </row>
    <row r="842" spans="2:17" x14ac:dyDescent="0.2">
      <c r="B842" s="7"/>
      <c r="C842" s="8"/>
      <c r="D842" s="9"/>
      <c r="E842" s="10"/>
      <c r="F842" s="8"/>
      <c r="G842" s="8"/>
      <c r="H842" s="9"/>
      <c r="I842" s="10"/>
      <c r="J842" s="8"/>
      <c r="K842" s="10"/>
      <c r="L842" s="10"/>
      <c r="M842" s="10"/>
      <c r="N842" s="10"/>
      <c r="O842" s="10"/>
      <c r="P842" s="8"/>
      <c r="Q842" s="9"/>
    </row>
    <row r="843" spans="2:17" x14ac:dyDescent="0.2">
      <c r="B843" s="7"/>
      <c r="C843" s="8"/>
      <c r="D843" s="9"/>
      <c r="E843" s="10"/>
      <c r="F843" s="8"/>
      <c r="G843" s="8"/>
      <c r="H843" s="9"/>
      <c r="I843" s="10"/>
      <c r="J843" s="8"/>
      <c r="K843" s="10"/>
      <c r="L843" s="10"/>
      <c r="M843" s="10"/>
      <c r="N843" s="10"/>
      <c r="O843" s="10"/>
      <c r="P843" s="8"/>
      <c r="Q843" s="9"/>
    </row>
    <row r="844" spans="2:17" x14ac:dyDescent="0.2">
      <c r="B844" s="7"/>
      <c r="C844" s="8"/>
      <c r="D844" s="9"/>
      <c r="E844" s="10"/>
      <c r="F844" s="8"/>
      <c r="G844" s="8"/>
      <c r="H844" s="9"/>
      <c r="I844" s="10"/>
      <c r="J844" s="8"/>
      <c r="K844" s="10"/>
      <c r="L844" s="10"/>
      <c r="M844" s="10"/>
      <c r="N844" s="10"/>
      <c r="O844" s="10"/>
      <c r="P844" s="8"/>
      <c r="Q844" s="9"/>
    </row>
    <row r="845" spans="2:17" x14ac:dyDescent="0.2">
      <c r="B845" s="7"/>
      <c r="C845" s="8"/>
      <c r="D845" s="9"/>
      <c r="E845" s="10"/>
      <c r="F845" s="8"/>
      <c r="G845" s="8"/>
      <c r="H845" s="9"/>
      <c r="I845" s="10"/>
      <c r="J845" s="8"/>
      <c r="K845" s="10"/>
      <c r="L845" s="10"/>
      <c r="M845" s="10"/>
      <c r="N845" s="10"/>
      <c r="O845" s="10"/>
      <c r="P845" s="8"/>
      <c r="Q845" s="9"/>
    </row>
    <row r="846" spans="2:17" x14ac:dyDescent="0.2">
      <c r="B846" s="7"/>
      <c r="C846" s="8"/>
      <c r="D846" s="9"/>
      <c r="E846" s="10"/>
      <c r="F846" s="8"/>
      <c r="G846" s="8"/>
      <c r="H846" s="9"/>
      <c r="I846" s="10"/>
      <c r="J846" s="8"/>
      <c r="K846" s="10"/>
      <c r="L846" s="10"/>
      <c r="M846" s="10"/>
      <c r="N846" s="10"/>
      <c r="O846" s="10"/>
      <c r="P846" s="8"/>
      <c r="Q846" s="9"/>
    </row>
    <row r="847" spans="2:17" x14ac:dyDescent="0.2">
      <c r="B847" s="7"/>
      <c r="C847" s="8"/>
      <c r="D847" s="9"/>
      <c r="E847" s="10"/>
      <c r="F847" s="8"/>
      <c r="G847" s="8"/>
      <c r="H847" s="9"/>
      <c r="I847" s="10"/>
      <c r="J847" s="8"/>
      <c r="K847" s="10"/>
      <c r="L847" s="10"/>
      <c r="M847" s="10"/>
      <c r="N847" s="10"/>
      <c r="O847" s="10"/>
      <c r="P847" s="8"/>
      <c r="Q847" s="9"/>
    </row>
    <row r="848" spans="2:17" x14ac:dyDescent="0.2">
      <c r="B848" s="7"/>
      <c r="C848" s="8"/>
      <c r="D848" s="9"/>
      <c r="E848" s="10"/>
      <c r="F848" s="8"/>
      <c r="G848" s="8"/>
      <c r="H848" s="9"/>
      <c r="I848" s="10"/>
      <c r="J848" s="8"/>
      <c r="K848" s="10"/>
      <c r="L848" s="10"/>
      <c r="M848" s="10"/>
      <c r="N848" s="10"/>
      <c r="O848" s="10"/>
      <c r="P848" s="8"/>
      <c r="Q848" s="9"/>
    </row>
    <row r="849" spans="2:17" x14ac:dyDescent="0.2">
      <c r="B849" s="7"/>
      <c r="C849" s="8"/>
      <c r="D849" s="9"/>
      <c r="E849" s="10"/>
      <c r="F849" s="8"/>
      <c r="G849" s="8"/>
      <c r="H849" s="9"/>
      <c r="I849" s="10"/>
      <c r="J849" s="8"/>
      <c r="K849" s="10"/>
      <c r="L849" s="10"/>
      <c r="M849" s="10"/>
      <c r="N849" s="10"/>
      <c r="O849" s="10"/>
      <c r="P849" s="8"/>
      <c r="Q849" s="9"/>
    </row>
    <row r="850" spans="2:17" x14ac:dyDescent="0.2">
      <c r="B850" s="7"/>
      <c r="C850" s="8"/>
      <c r="D850" s="9"/>
      <c r="E850" s="10"/>
      <c r="F850" s="8"/>
      <c r="G850" s="8"/>
      <c r="H850" s="9"/>
      <c r="I850" s="10"/>
      <c r="J850" s="8"/>
      <c r="K850" s="10"/>
      <c r="L850" s="10"/>
      <c r="M850" s="10"/>
      <c r="N850" s="10"/>
      <c r="O850" s="10"/>
      <c r="P850" s="8"/>
      <c r="Q850" s="9"/>
    </row>
    <row r="851" spans="2:17" x14ac:dyDescent="0.2">
      <c r="B851" s="7"/>
      <c r="C851" s="8"/>
      <c r="D851" s="9"/>
      <c r="E851" s="10"/>
      <c r="F851" s="8"/>
      <c r="G851" s="8"/>
      <c r="H851" s="9"/>
      <c r="I851" s="10"/>
      <c r="J851" s="8"/>
      <c r="K851" s="10"/>
      <c r="L851" s="10"/>
      <c r="M851" s="10"/>
      <c r="N851" s="10"/>
      <c r="O851" s="10"/>
      <c r="P851" s="8"/>
      <c r="Q851" s="9"/>
    </row>
    <row r="852" spans="2:17" x14ac:dyDescent="0.2">
      <c r="B852" s="7"/>
      <c r="C852" s="8"/>
      <c r="D852" s="9"/>
      <c r="E852" s="10"/>
      <c r="F852" s="8"/>
      <c r="G852" s="8"/>
      <c r="H852" s="9"/>
      <c r="I852" s="10"/>
      <c r="J852" s="8"/>
      <c r="K852" s="10"/>
      <c r="L852" s="10"/>
      <c r="M852" s="10"/>
      <c r="N852" s="10"/>
      <c r="O852" s="10"/>
      <c r="P852" s="8"/>
      <c r="Q852" s="9"/>
    </row>
    <row r="853" spans="2:17" x14ac:dyDescent="0.2">
      <c r="B853" s="7"/>
      <c r="C853" s="8"/>
      <c r="D853" s="9"/>
      <c r="E853" s="10"/>
      <c r="F853" s="8"/>
      <c r="G853" s="8"/>
      <c r="H853" s="9"/>
      <c r="I853" s="10"/>
      <c r="J853" s="8"/>
      <c r="K853" s="10"/>
      <c r="L853" s="10"/>
      <c r="M853" s="10"/>
      <c r="N853" s="10"/>
      <c r="O853" s="10"/>
      <c r="P853" s="8"/>
      <c r="Q853" s="9"/>
    </row>
    <row r="854" spans="2:17" x14ac:dyDescent="0.2">
      <c r="B854" s="7"/>
      <c r="C854" s="8"/>
      <c r="D854" s="9"/>
      <c r="E854" s="10"/>
      <c r="F854" s="8"/>
      <c r="G854" s="8"/>
      <c r="H854" s="9"/>
      <c r="I854" s="10"/>
      <c r="J854" s="8"/>
      <c r="K854" s="10"/>
      <c r="L854" s="10"/>
      <c r="M854" s="10"/>
      <c r="N854" s="10"/>
      <c r="O854" s="10"/>
      <c r="P854" s="8"/>
      <c r="Q854" s="9"/>
    </row>
    <row r="855" spans="2:17" x14ac:dyDescent="0.2">
      <c r="B855" s="7"/>
      <c r="C855" s="8"/>
      <c r="D855" s="9"/>
      <c r="E855" s="10"/>
      <c r="F855" s="8"/>
      <c r="G855" s="8"/>
      <c r="H855" s="9"/>
      <c r="I855" s="10"/>
      <c r="J855" s="8"/>
      <c r="K855" s="10"/>
      <c r="L855" s="10"/>
      <c r="M855" s="10"/>
      <c r="N855" s="10"/>
      <c r="O855" s="10"/>
      <c r="P855" s="8"/>
      <c r="Q855" s="9"/>
    </row>
    <row r="856" spans="2:17" x14ac:dyDescent="0.2">
      <c r="B856" s="7"/>
      <c r="C856" s="8"/>
      <c r="D856" s="9"/>
      <c r="E856" s="10"/>
      <c r="F856" s="8"/>
      <c r="G856" s="8"/>
      <c r="H856" s="9"/>
      <c r="I856" s="10"/>
      <c r="J856" s="8"/>
      <c r="K856" s="10"/>
      <c r="L856" s="10"/>
      <c r="M856" s="10"/>
      <c r="N856" s="10"/>
      <c r="O856" s="10"/>
      <c r="P856" s="8"/>
      <c r="Q856" s="9"/>
    </row>
    <row r="857" spans="2:17" x14ac:dyDescent="0.2">
      <c r="B857" s="7"/>
      <c r="C857" s="8"/>
      <c r="D857" s="9"/>
      <c r="E857" s="10"/>
      <c r="F857" s="8"/>
      <c r="G857" s="8"/>
      <c r="H857" s="9"/>
      <c r="I857" s="10"/>
      <c r="J857" s="8"/>
      <c r="K857" s="10"/>
      <c r="L857" s="10"/>
      <c r="M857" s="10"/>
      <c r="N857" s="10"/>
      <c r="O857" s="10"/>
      <c r="P857" s="8"/>
      <c r="Q857" s="9"/>
    </row>
    <row r="858" spans="2:17" x14ac:dyDescent="0.2">
      <c r="B858" s="7"/>
      <c r="C858" s="8"/>
      <c r="D858" s="9"/>
      <c r="E858" s="10"/>
      <c r="F858" s="8"/>
      <c r="G858" s="8"/>
      <c r="H858" s="9"/>
      <c r="I858" s="10"/>
      <c r="J858" s="8"/>
      <c r="K858" s="10"/>
      <c r="L858" s="10"/>
      <c r="M858" s="10"/>
      <c r="N858" s="10"/>
      <c r="O858" s="10"/>
      <c r="P858" s="8"/>
      <c r="Q858" s="9"/>
    </row>
    <row r="859" spans="2:17" x14ac:dyDescent="0.2">
      <c r="B859" s="7"/>
      <c r="C859" s="8"/>
      <c r="D859" s="9"/>
      <c r="E859" s="10"/>
      <c r="F859" s="8"/>
      <c r="G859" s="8"/>
      <c r="H859" s="9"/>
      <c r="I859" s="10"/>
      <c r="J859" s="8"/>
      <c r="K859" s="10"/>
      <c r="L859" s="10"/>
      <c r="M859" s="10"/>
      <c r="N859" s="10"/>
      <c r="O859" s="10"/>
      <c r="P859" s="8"/>
      <c r="Q859" s="9"/>
    </row>
    <row r="860" spans="2:17" x14ac:dyDescent="0.2">
      <c r="B860" s="7"/>
      <c r="C860" s="8"/>
      <c r="D860" s="9"/>
      <c r="E860" s="10"/>
      <c r="F860" s="8"/>
      <c r="G860" s="8"/>
      <c r="H860" s="9"/>
      <c r="I860" s="10"/>
      <c r="J860" s="8"/>
      <c r="K860" s="10"/>
      <c r="L860" s="10"/>
      <c r="M860" s="10"/>
      <c r="N860" s="10"/>
      <c r="O860" s="10"/>
      <c r="P860" s="8"/>
      <c r="Q860" s="9"/>
    </row>
    <row r="861" spans="2:17" x14ac:dyDescent="0.2">
      <c r="B861" s="7"/>
      <c r="C861" s="8"/>
      <c r="D861" s="9"/>
      <c r="E861" s="10"/>
      <c r="F861" s="8"/>
      <c r="G861" s="8"/>
      <c r="H861" s="9"/>
      <c r="I861" s="10"/>
      <c r="J861" s="8"/>
      <c r="K861" s="10"/>
      <c r="L861" s="10"/>
      <c r="M861" s="10"/>
      <c r="N861" s="10"/>
      <c r="O861" s="10"/>
      <c r="P861" s="8"/>
      <c r="Q861" s="9"/>
    </row>
    <row r="862" spans="2:17" x14ac:dyDescent="0.2">
      <c r="B862" s="7"/>
      <c r="C862" s="8"/>
      <c r="D862" s="9"/>
      <c r="E862" s="10"/>
      <c r="F862" s="8"/>
      <c r="G862" s="8"/>
      <c r="H862" s="9"/>
      <c r="I862" s="10"/>
      <c r="J862" s="8"/>
      <c r="K862" s="10"/>
      <c r="L862" s="10"/>
      <c r="M862" s="10"/>
      <c r="N862" s="10"/>
      <c r="O862" s="10"/>
      <c r="P862" s="8"/>
      <c r="Q862" s="9"/>
    </row>
    <row r="863" spans="2:17" x14ac:dyDescent="0.2">
      <c r="B863" s="7"/>
      <c r="C863" s="8"/>
      <c r="D863" s="9"/>
      <c r="E863" s="10"/>
      <c r="F863" s="8"/>
      <c r="G863" s="8"/>
      <c r="H863" s="9"/>
      <c r="I863" s="10"/>
      <c r="J863" s="8"/>
      <c r="K863" s="10"/>
      <c r="L863" s="10"/>
      <c r="M863" s="10"/>
      <c r="N863" s="10"/>
      <c r="O863" s="10"/>
      <c r="P863" s="8"/>
      <c r="Q863" s="9"/>
    </row>
    <row r="864" spans="2:17" x14ac:dyDescent="0.2">
      <c r="B864" s="7"/>
      <c r="C864" s="8"/>
      <c r="D864" s="9"/>
      <c r="E864" s="10"/>
      <c r="F864" s="8"/>
      <c r="G864" s="8"/>
      <c r="H864" s="9"/>
      <c r="I864" s="10"/>
      <c r="J864" s="8"/>
      <c r="K864" s="10"/>
      <c r="L864" s="10"/>
      <c r="M864" s="10"/>
      <c r="N864" s="10"/>
      <c r="O864" s="10"/>
      <c r="P864" s="8"/>
      <c r="Q864" s="9"/>
    </row>
    <row r="865" spans="2:17" x14ac:dyDescent="0.2">
      <c r="B865" s="7"/>
      <c r="C865" s="8"/>
      <c r="D865" s="9"/>
      <c r="E865" s="10"/>
      <c r="F865" s="8"/>
      <c r="G865" s="8"/>
      <c r="H865" s="9"/>
      <c r="I865" s="10"/>
      <c r="J865" s="8"/>
      <c r="K865" s="10"/>
      <c r="L865" s="10"/>
      <c r="M865" s="10"/>
      <c r="N865" s="10"/>
      <c r="O865" s="10"/>
      <c r="P865" s="8"/>
      <c r="Q865" s="9"/>
    </row>
    <row r="866" spans="2:17" x14ac:dyDescent="0.2">
      <c r="B866" s="7"/>
      <c r="C866" s="8"/>
      <c r="D866" s="9"/>
      <c r="E866" s="10"/>
      <c r="F866" s="8"/>
      <c r="G866" s="8"/>
      <c r="H866" s="9"/>
      <c r="I866" s="10"/>
      <c r="J866" s="8"/>
      <c r="K866" s="10"/>
      <c r="L866" s="10"/>
      <c r="M866" s="10"/>
      <c r="N866" s="10"/>
      <c r="O866" s="10"/>
      <c r="P866" s="8"/>
      <c r="Q866" s="9"/>
    </row>
    <row r="867" spans="2:17" x14ac:dyDescent="0.2">
      <c r="B867" s="7"/>
      <c r="C867" s="8"/>
      <c r="D867" s="9"/>
      <c r="E867" s="10"/>
      <c r="F867" s="8"/>
      <c r="G867" s="8"/>
      <c r="H867" s="9"/>
      <c r="I867" s="10"/>
      <c r="J867" s="8"/>
      <c r="K867" s="10"/>
      <c r="L867" s="10"/>
      <c r="M867" s="10"/>
      <c r="N867" s="10"/>
      <c r="O867" s="10"/>
      <c r="P867" s="8"/>
      <c r="Q867" s="9"/>
    </row>
    <row r="868" spans="2:17" x14ac:dyDescent="0.2">
      <c r="B868" s="7"/>
      <c r="C868" s="8"/>
      <c r="D868" s="9"/>
      <c r="E868" s="10"/>
      <c r="F868" s="8"/>
      <c r="G868" s="8"/>
      <c r="H868" s="9"/>
      <c r="I868" s="10"/>
      <c r="J868" s="8"/>
      <c r="K868" s="10"/>
      <c r="L868" s="10"/>
      <c r="M868" s="10"/>
      <c r="N868" s="10"/>
      <c r="O868" s="10"/>
      <c r="P868" s="8"/>
      <c r="Q868" s="9"/>
    </row>
    <row r="869" spans="2:17" x14ac:dyDescent="0.2">
      <c r="B869" s="7"/>
      <c r="C869" s="8"/>
      <c r="D869" s="9"/>
      <c r="E869" s="10"/>
      <c r="F869" s="8"/>
      <c r="G869" s="8"/>
      <c r="H869" s="9"/>
      <c r="I869" s="10"/>
      <c r="J869" s="8"/>
      <c r="K869" s="10"/>
      <c r="L869" s="10"/>
      <c r="M869" s="10"/>
      <c r="N869" s="10"/>
      <c r="O869" s="10"/>
      <c r="P869" s="8"/>
      <c r="Q869" s="9"/>
    </row>
    <row r="870" spans="2:17" x14ac:dyDescent="0.2">
      <c r="B870" s="7"/>
      <c r="C870" s="8"/>
      <c r="D870" s="9"/>
      <c r="E870" s="10"/>
      <c r="F870" s="8"/>
      <c r="G870" s="8"/>
      <c r="H870" s="9"/>
      <c r="I870" s="10"/>
      <c r="J870" s="8"/>
      <c r="K870" s="10"/>
      <c r="L870" s="10"/>
      <c r="M870" s="10"/>
      <c r="N870" s="10"/>
      <c r="O870" s="10"/>
      <c r="P870" s="8"/>
      <c r="Q870" s="9"/>
    </row>
    <row r="871" spans="2:17" x14ac:dyDescent="0.2">
      <c r="B871" s="7"/>
      <c r="C871" s="8"/>
      <c r="D871" s="9"/>
      <c r="E871" s="10"/>
      <c r="F871" s="8"/>
      <c r="G871" s="8"/>
      <c r="H871" s="9"/>
      <c r="I871" s="10"/>
      <c r="J871" s="8"/>
      <c r="K871" s="10"/>
      <c r="L871" s="10"/>
      <c r="M871" s="10"/>
      <c r="N871" s="10"/>
      <c r="O871" s="10"/>
      <c r="P871" s="8"/>
      <c r="Q871" s="9"/>
    </row>
    <row r="872" spans="2:17" x14ac:dyDescent="0.2">
      <c r="B872" s="7"/>
      <c r="C872" s="8"/>
      <c r="D872" s="9"/>
      <c r="E872" s="10"/>
      <c r="F872" s="8"/>
      <c r="G872" s="8"/>
      <c r="H872" s="9"/>
      <c r="I872" s="10"/>
      <c r="J872" s="8"/>
      <c r="K872" s="10"/>
      <c r="L872" s="10"/>
      <c r="M872" s="10"/>
      <c r="N872" s="10"/>
      <c r="O872" s="10"/>
      <c r="P872" s="8"/>
      <c r="Q872" s="9"/>
    </row>
    <row r="873" spans="2:17" x14ac:dyDescent="0.2">
      <c r="B873" s="7"/>
      <c r="C873" s="8"/>
      <c r="D873" s="9"/>
      <c r="E873" s="10"/>
      <c r="F873" s="8"/>
      <c r="G873" s="8"/>
      <c r="H873" s="9"/>
      <c r="I873" s="10"/>
      <c r="J873" s="8"/>
      <c r="K873" s="10"/>
      <c r="L873" s="10"/>
      <c r="M873" s="10"/>
      <c r="N873" s="10"/>
      <c r="O873" s="10"/>
      <c r="P873" s="8"/>
      <c r="Q873" s="9"/>
    </row>
    <row r="874" spans="2:17" x14ac:dyDescent="0.2">
      <c r="B874" s="7"/>
      <c r="C874" s="8"/>
      <c r="D874" s="9"/>
      <c r="E874" s="10"/>
      <c r="F874" s="8"/>
      <c r="G874" s="8"/>
      <c r="H874" s="9"/>
      <c r="I874" s="10"/>
      <c r="J874" s="8"/>
      <c r="K874" s="10"/>
      <c r="L874" s="10"/>
      <c r="M874" s="10"/>
      <c r="N874" s="10"/>
      <c r="O874" s="10"/>
      <c r="P874" s="8"/>
      <c r="Q874" s="9"/>
    </row>
    <row r="875" spans="2:17" x14ac:dyDescent="0.2">
      <c r="B875" s="7"/>
      <c r="C875" s="8"/>
      <c r="D875" s="9"/>
      <c r="E875" s="10"/>
      <c r="F875" s="8"/>
      <c r="G875" s="8"/>
      <c r="H875" s="9"/>
      <c r="I875" s="10"/>
      <c r="J875" s="8"/>
      <c r="K875" s="10"/>
      <c r="L875" s="10"/>
      <c r="M875" s="10"/>
      <c r="N875" s="10"/>
      <c r="O875" s="10"/>
      <c r="P875" s="8"/>
      <c r="Q875" s="9"/>
    </row>
    <row r="876" spans="2:17" x14ac:dyDescent="0.2">
      <c r="B876" s="7"/>
      <c r="C876" s="8"/>
      <c r="D876" s="9"/>
      <c r="E876" s="10"/>
      <c r="F876" s="8"/>
      <c r="G876" s="8"/>
      <c r="H876" s="9"/>
      <c r="I876" s="10"/>
      <c r="J876" s="8"/>
      <c r="K876" s="10"/>
      <c r="L876" s="10"/>
      <c r="M876" s="10"/>
      <c r="N876" s="10"/>
      <c r="O876" s="10"/>
      <c r="P876" s="8"/>
      <c r="Q876" s="9"/>
    </row>
    <row r="877" spans="2:17" x14ac:dyDescent="0.2">
      <c r="B877" s="7"/>
      <c r="C877" s="8"/>
      <c r="D877" s="9"/>
      <c r="E877" s="10"/>
      <c r="F877" s="8"/>
      <c r="G877" s="8"/>
      <c r="H877" s="9"/>
      <c r="I877" s="10"/>
      <c r="J877" s="8"/>
      <c r="K877" s="10"/>
      <c r="L877" s="10"/>
      <c r="M877" s="10"/>
      <c r="N877" s="10"/>
      <c r="O877" s="10"/>
      <c r="P877" s="8"/>
      <c r="Q877" s="9"/>
    </row>
    <row r="878" spans="2:17" x14ac:dyDescent="0.2">
      <c r="B878" s="7"/>
      <c r="C878" s="8"/>
      <c r="D878" s="9"/>
      <c r="E878" s="10"/>
      <c r="F878" s="8"/>
      <c r="G878" s="8"/>
      <c r="H878" s="9"/>
      <c r="I878" s="10"/>
      <c r="J878" s="8"/>
      <c r="K878" s="10"/>
      <c r="L878" s="10"/>
      <c r="M878" s="10"/>
      <c r="N878" s="10"/>
      <c r="O878" s="10"/>
      <c r="P878" s="8"/>
      <c r="Q878" s="9"/>
    </row>
    <row r="879" spans="2:17" x14ac:dyDescent="0.2">
      <c r="B879" s="7"/>
      <c r="C879" s="8"/>
      <c r="D879" s="9"/>
      <c r="E879" s="10"/>
      <c r="F879" s="8"/>
      <c r="G879" s="8"/>
      <c r="H879" s="9"/>
      <c r="I879" s="10"/>
      <c r="J879" s="8"/>
      <c r="K879" s="10"/>
      <c r="L879" s="10"/>
      <c r="M879" s="10"/>
      <c r="N879" s="10"/>
      <c r="O879" s="10"/>
      <c r="P879" s="8"/>
      <c r="Q879" s="9"/>
    </row>
    <row r="880" spans="2:17" x14ac:dyDescent="0.2">
      <c r="B880" s="7"/>
      <c r="C880" s="8"/>
      <c r="D880" s="9"/>
      <c r="E880" s="10"/>
      <c r="F880" s="8"/>
      <c r="G880" s="8"/>
      <c r="H880" s="9"/>
      <c r="I880" s="10"/>
      <c r="J880" s="8"/>
      <c r="K880" s="10"/>
      <c r="L880" s="10"/>
      <c r="M880" s="10"/>
      <c r="N880" s="10"/>
      <c r="O880" s="10"/>
      <c r="P880" s="8"/>
      <c r="Q880" s="9"/>
    </row>
    <row r="881" spans="2:17" x14ac:dyDescent="0.2">
      <c r="B881" s="7"/>
      <c r="C881" s="8"/>
      <c r="D881" s="9"/>
      <c r="E881" s="10"/>
      <c r="F881" s="8"/>
      <c r="G881" s="8"/>
      <c r="H881" s="9"/>
      <c r="I881" s="10"/>
      <c r="J881" s="8"/>
      <c r="K881" s="10"/>
      <c r="L881" s="10"/>
      <c r="M881" s="10"/>
      <c r="N881" s="10"/>
      <c r="O881" s="10"/>
      <c r="P881" s="8"/>
      <c r="Q881" s="9"/>
    </row>
    <row r="882" spans="2:17" x14ac:dyDescent="0.2">
      <c r="B882" s="7"/>
      <c r="C882" s="8"/>
      <c r="D882" s="9"/>
      <c r="E882" s="10"/>
      <c r="F882" s="8"/>
      <c r="G882" s="8"/>
      <c r="H882" s="9"/>
      <c r="I882" s="10"/>
      <c r="J882" s="8"/>
      <c r="K882" s="10"/>
      <c r="L882" s="10"/>
      <c r="M882" s="10"/>
      <c r="N882" s="10"/>
      <c r="O882" s="10"/>
      <c r="P882" s="8"/>
      <c r="Q882" s="9"/>
    </row>
    <row r="883" spans="2:17" x14ac:dyDescent="0.2">
      <c r="B883" s="7"/>
      <c r="C883" s="8"/>
      <c r="D883" s="9"/>
      <c r="E883" s="10"/>
      <c r="F883" s="8"/>
      <c r="G883" s="8"/>
      <c r="H883" s="9"/>
      <c r="I883" s="10"/>
      <c r="J883" s="8"/>
      <c r="K883" s="10"/>
      <c r="L883" s="10"/>
      <c r="M883" s="10"/>
      <c r="N883" s="10"/>
      <c r="O883" s="10"/>
      <c r="P883" s="8"/>
      <c r="Q883" s="9"/>
    </row>
    <row r="884" spans="2:17" x14ac:dyDescent="0.2">
      <c r="B884" s="7"/>
      <c r="C884" s="8"/>
      <c r="D884" s="9"/>
      <c r="E884" s="10"/>
      <c r="F884" s="8"/>
      <c r="G884" s="8"/>
      <c r="H884" s="9"/>
      <c r="I884" s="10"/>
      <c r="J884" s="8"/>
      <c r="K884" s="10"/>
      <c r="L884" s="10"/>
      <c r="M884" s="10"/>
      <c r="N884" s="10"/>
      <c r="O884" s="10"/>
      <c r="P884" s="8"/>
      <c r="Q884" s="9"/>
    </row>
    <row r="885" spans="2:17" x14ac:dyDescent="0.2">
      <c r="B885" s="7"/>
      <c r="C885" s="8"/>
      <c r="D885" s="9"/>
      <c r="E885" s="10"/>
      <c r="F885" s="8"/>
      <c r="G885" s="8"/>
      <c r="H885" s="9"/>
      <c r="I885" s="10"/>
      <c r="J885" s="8"/>
      <c r="K885" s="10"/>
      <c r="L885" s="10"/>
      <c r="M885" s="10"/>
      <c r="N885" s="10"/>
      <c r="O885" s="10"/>
      <c r="P885" s="8"/>
      <c r="Q885" s="9"/>
    </row>
    <row r="886" spans="2:17" x14ac:dyDescent="0.2">
      <c r="B886" s="7"/>
      <c r="C886" s="8"/>
      <c r="D886" s="9"/>
      <c r="E886" s="10"/>
      <c r="F886" s="8"/>
      <c r="G886" s="8"/>
      <c r="H886" s="9"/>
      <c r="I886" s="10"/>
      <c r="J886" s="8"/>
      <c r="K886" s="10"/>
      <c r="L886" s="10"/>
      <c r="M886" s="10"/>
      <c r="N886" s="10"/>
      <c r="O886" s="10"/>
      <c r="P886" s="8"/>
      <c r="Q886" s="9"/>
    </row>
    <row r="887" spans="2:17" x14ac:dyDescent="0.2">
      <c r="B887" s="7"/>
      <c r="C887" s="8"/>
      <c r="D887" s="9"/>
      <c r="E887" s="10"/>
      <c r="F887" s="8"/>
      <c r="G887" s="8"/>
      <c r="H887" s="9"/>
      <c r="I887" s="10"/>
      <c r="J887" s="8"/>
      <c r="K887" s="10"/>
      <c r="L887" s="10"/>
      <c r="M887" s="10"/>
      <c r="N887" s="10"/>
      <c r="O887" s="10"/>
      <c r="P887" s="8"/>
      <c r="Q887" s="9"/>
    </row>
    <row r="888" spans="2:17" x14ac:dyDescent="0.2">
      <c r="B888" s="7"/>
      <c r="C888" s="8"/>
      <c r="D888" s="9"/>
      <c r="E888" s="10"/>
      <c r="F888" s="8"/>
      <c r="G888" s="8"/>
      <c r="H888" s="9"/>
      <c r="I888" s="10"/>
      <c r="J888" s="8"/>
      <c r="K888" s="10"/>
      <c r="L888" s="10"/>
      <c r="M888" s="10"/>
      <c r="N888" s="10"/>
      <c r="O888" s="10"/>
      <c r="P888" s="8"/>
      <c r="Q888" s="9"/>
    </row>
    <row r="889" spans="2:17" x14ac:dyDescent="0.2">
      <c r="B889" s="7"/>
      <c r="C889" s="8"/>
      <c r="D889" s="9"/>
      <c r="E889" s="10"/>
      <c r="F889" s="8"/>
      <c r="G889" s="8"/>
      <c r="H889" s="9"/>
      <c r="I889" s="10"/>
      <c r="J889" s="8"/>
      <c r="K889" s="10"/>
      <c r="L889" s="10"/>
      <c r="M889" s="10"/>
      <c r="N889" s="10"/>
      <c r="O889" s="10"/>
      <c r="P889" s="8"/>
      <c r="Q889" s="9"/>
    </row>
    <row r="890" spans="2:17" x14ac:dyDescent="0.2">
      <c r="B890" s="7"/>
      <c r="C890" s="8"/>
      <c r="D890" s="9"/>
      <c r="E890" s="10"/>
      <c r="F890" s="8"/>
      <c r="G890" s="8"/>
      <c r="H890" s="9"/>
      <c r="I890" s="10"/>
      <c r="J890" s="8"/>
      <c r="K890" s="10"/>
      <c r="L890" s="10"/>
      <c r="M890" s="10"/>
      <c r="N890" s="10"/>
      <c r="O890" s="10"/>
      <c r="P890" s="8"/>
      <c r="Q890" s="9"/>
    </row>
    <row r="891" spans="2:17" x14ac:dyDescent="0.2">
      <c r="B891" s="7"/>
      <c r="C891" s="8"/>
      <c r="D891" s="9"/>
      <c r="E891" s="10"/>
      <c r="F891" s="8"/>
      <c r="G891" s="8"/>
      <c r="H891" s="9"/>
      <c r="I891" s="10"/>
      <c r="J891" s="8"/>
      <c r="K891" s="10"/>
      <c r="L891" s="10"/>
      <c r="M891" s="10"/>
      <c r="N891" s="10"/>
      <c r="O891" s="10"/>
      <c r="P891" s="8"/>
      <c r="Q891" s="9"/>
    </row>
    <row r="892" spans="2:17" x14ac:dyDescent="0.2">
      <c r="B892" s="7"/>
      <c r="C892" s="8"/>
      <c r="D892" s="9"/>
      <c r="E892" s="10"/>
      <c r="F892" s="8"/>
      <c r="G892" s="8"/>
      <c r="H892" s="9"/>
      <c r="I892" s="10"/>
      <c r="J892" s="8"/>
      <c r="K892" s="10"/>
      <c r="L892" s="10"/>
      <c r="M892" s="10"/>
      <c r="N892" s="10"/>
      <c r="O892" s="10"/>
      <c r="P892" s="8"/>
      <c r="Q892" s="9"/>
    </row>
    <row r="893" spans="2:17" x14ac:dyDescent="0.2">
      <c r="B893" s="7"/>
      <c r="C893" s="8"/>
      <c r="D893" s="9"/>
      <c r="E893" s="10"/>
      <c r="F893" s="8"/>
      <c r="G893" s="8"/>
      <c r="H893" s="9"/>
      <c r="I893" s="10"/>
      <c r="J893" s="8"/>
      <c r="K893" s="10"/>
      <c r="L893" s="10"/>
      <c r="M893" s="10"/>
      <c r="N893" s="10"/>
      <c r="O893" s="10"/>
      <c r="P893" s="8"/>
      <c r="Q893" s="9"/>
    </row>
    <row r="894" spans="2:17" x14ac:dyDescent="0.2">
      <c r="B894" s="7"/>
      <c r="C894" s="8"/>
      <c r="D894" s="9"/>
      <c r="E894" s="10"/>
      <c r="F894" s="8"/>
      <c r="G894" s="8"/>
      <c r="H894" s="9"/>
      <c r="I894" s="10"/>
      <c r="J894" s="8"/>
      <c r="K894" s="10"/>
      <c r="L894" s="10"/>
      <c r="M894" s="10"/>
      <c r="N894" s="10"/>
      <c r="O894" s="10"/>
      <c r="P894" s="8"/>
      <c r="Q894" s="9"/>
    </row>
    <row r="895" spans="2:17" x14ac:dyDescent="0.2">
      <c r="B895" s="7"/>
      <c r="C895" s="8"/>
      <c r="D895" s="9"/>
      <c r="E895" s="10"/>
      <c r="F895" s="8"/>
      <c r="G895" s="8"/>
      <c r="H895" s="9"/>
      <c r="I895" s="10"/>
      <c r="J895" s="8"/>
      <c r="K895" s="10"/>
      <c r="L895" s="10"/>
      <c r="M895" s="10"/>
      <c r="N895" s="10"/>
      <c r="O895" s="10"/>
      <c r="P895" s="8"/>
      <c r="Q895" s="9"/>
    </row>
    <row r="896" spans="2:17" x14ac:dyDescent="0.2">
      <c r="B896" s="7"/>
      <c r="C896" s="8"/>
      <c r="D896" s="9"/>
      <c r="E896" s="10"/>
      <c r="F896" s="8"/>
      <c r="G896" s="8"/>
      <c r="H896" s="9"/>
      <c r="I896" s="10"/>
      <c r="J896" s="8"/>
      <c r="K896" s="10"/>
      <c r="L896" s="10"/>
      <c r="M896" s="10"/>
      <c r="N896" s="10"/>
      <c r="O896" s="10"/>
      <c r="P896" s="8"/>
      <c r="Q896" s="9"/>
    </row>
    <row r="897" spans="2:17" x14ac:dyDescent="0.2">
      <c r="B897" s="7"/>
      <c r="C897" s="8"/>
      <c r="D897" s="9"/>
      <c r="E897" s="10"/>
      <c r="F897" s="8"/>
      <c r="G897" s="8"/>
      <c r="H897" s="9"/>
      <c r="I897" s="10"/>
      <c r="J897" s="8"/>
      <c r="K897" s="10"/>
      <c r="L897" s="10"/>
      <c r="M897" s="10"/>
      <c r="N897" s="10"/>
      <c r="O897" s="10"/>
      <c r="P897" s="8"/>
      <c r="Q897" s="9"/>
    </row>
    <row r="898" spans="2:17" x14ac:dyDescent="0.2">
      <c r="B898" s="7"/>
      <c r="C898" s="8"/>
      <c r="D898" s="9"/>
      <c r="E898" s="10"/>
      <c r="F898" s="8"/>
      <c r="G898" s="8"/>
      <c r="H898" s="9"/>
      <c r="I898" s="10"/>
      <c r="J898" s="8"/>
      <c r="K898" s="10"/>
      <c r="L898" s="10"/>
      <c r="M898" s="10"/>
      <c r="N898" s="10"/>
      <c r="O898" s="10"/>
      <c r="P898" s="8"/>
      <c r="Q898" s="9"/>
    </row>
    <row r="899" spans="2:17" x14ac:dyDescent="0.2">
      <c r="B899" s="7"/>
      <c r="C899" s="8"/>
      <c r="D899" s="9"/>
      <c r="E899" s="10"/>
      <c r="F899" s="8"/>
      <c r="G899" s="8"/>
      <c r="H899" s="9"/>
      <c r="I899" s="10"/>
      <c r="J899" s="8"/>
      <c r="K899" s="10"/>
      <c r="L899" s="10"/>
      <c r="M899" s="10"/>
      <c r="N899" s="10"/>
      <c r="O899" s="10"/>
      <c r="P899" s="8"/>
      <c r="Q899" s="9"/>
    </row>
    <row r="900" spans="2:17" x14ac:dyDescent="0.2">
      <c r="B900" s="7"/>
      <c r="C900" s="8"/>
      <c r="D900" s="9"/>
      <c r="E900" s="10"/>
      <c r="F900" s="8"/>
      <c r="G900" s="8"/>
      <c r="H900" s="9"/>
      <c r="I900" s="10"/>
      <c r="J900" s="8"/>
      <c r="K900" s="10"/>
      <c r="L900" s="10"/>
      <c r="M900" s="10"/>
      <c r="N900" s="10"/>
      <c r="O900" s="10"/>
      <c r="P900" s="8"/>
      <c r="Q900" s="9"/>
    </row>
    <row r="901" spans="2:17" x14ac:dyDescent="0.2">
      <c r="B901" s="7"/>
      <c r="C901" s="8"/>
      <c r="D901" s="9"/>
      <c r="E901" s="10"/>
      <c r="F901" s="8"/>
      <c r="G901" s="8"/>
      <c r="H901" s="9"/>
      <c r="I901" s="10"/>
      <c r="J901" s="8"/>
      <c r="K901" s="10"/>
      <c r="L901" s="10"/>
      <c r="M901" s="10"/>
      <c r="N901" s="10"/>
      <c r="O901" s="10"/>
      <c r="P901" s="8"/>
      <c r="Q901" s="9"/>
    </row>
    <row r="902" spans="2:17" x14ac:dyDescent="0.2">
      <c r="B902" s="7"/>
      <c r="C902" s="8"/>
      <c r="D902" s="9"/>
      <c r="E902" s="10"/>
      <c r="F902" s="8"/>
      <c r="G902" s="8"/>
      <c r="H902" s="9"/>
      <c r="I902" s="10"/>
      <c r="J902" s="8"/>
      <c r="K902" s="10"/>
      <c r="L902" s="10"/>
      <c r="M902" s="10"/>
      <c r="N902" s="10"/>
      <c r="O902" s="10"/>
      <c r="P902" s="8"/>
      <c r="Q902" s="9"/>
    </row>
    <row r="903" spans="2:17" x14ac:dyDescent="0.2">
      <c r="B903" s="7"/>
      <c r="C903" s="8"/>
      <c r="D903" s="9"/>
      <c r="E903" s="10"/>
      <c r="F903" s="8"/>
      <c r="G903" s="8"/>
      <c r="H903" s="9"/>
      <c r="I903" s="10"/>
      <c r="J903" s="8"/>
      <c r="K903" s="10"/>
      <c r="L903" s="10"/>
      <c r="M903" s="10"/>
      <c r="N903" s="10"/>
      <c r="O903" s="10"/>
      <c r="P903" s="8"/>
      <c r="Q903" s="9"/>
    </row>
    <row r="904" spans="2:17" x14ac:dyDescent="0.2">
      <c r="B904" s="7"/>
      <c r="C904" s="8"/>
      <c r="D904" s="9"/>
      <c r="E904" s="10"/>
      <c r="F904" s="8"/>
      <c r="G904" s="8"/>
      <c r="H904" s="9"/>
      <c r="I904" s="10"/>
      <c r="J904" s="8"/>
      <c r="K904" s="10"/>
      <c r="L904" s="10"/>
      <c r="M904" s="10"/>
      <c r="N904" s="10"/>
      <c r="O904" s="10"/>
      <c r="P904" s="8"/>
      <c r="Q904" s="9"/>
    </row>
    <row r="905" spans="2:17" x14ac:dyDescent="0.2">
      <c r="B905" s="7"/>
      <c r="C905" s="8"/>
      <c r="D905" s="9"/>
      <c r="E905" s="10"/>
      <c r="F905" s="8"/>
      <c r="G905" s="8"/>
      <c r="H905" s="9"/>
      <c r="I905" s="10"/>
      <c r="J905" s="8"/>
      <c r="K905" s="10"/>
      <c r="L905" s="10"/>
      <c r="M905" s="10"/>
      <c r="N905" s="10"/>
      <c r="O905" s="10"/>
      <c r="P905" s="8"/>
      <c r="Q905" s="9"/>
    </row>
    <row r="906" spans="2:17" x14ac:dyDescent="0.2">
      <c r="B906" s="7"/>
      <c r="C906" s="8"/>
      <c r="D906" s="9"/>
      <c r="E906" s="10"/>
      <c r="F906" s="8"/>
      <c r="G906" s="8"/>
      <c r="H906" s="9"/>
      <c r="I906" s="10"/>
      <c r="J906" s="8"/>
      <c r="K906" s="10"/>
      <c r="L906" s="10"/>
      <c r="M906" s="10"/>
      <c r="N906" s="10"/>
      <c r="O906" s="10"/>
      <c r="P906" s="8"/>
      <c r="Q906" s="9"/>
    </row>
    <row r="907" spans="2:17" x14ac:dyDescent="0.2">
      <c r="B907" s="7"/>
      <c r="C907" s="8"/>
      <c r="D907" s="9"/>
      <c r="E907" s="10"/>
      <c r="F907" s="8"/>
      <c r="G907" s="8"/>
      <c r="H907" s="9"/>
      <c r="I907" s="10"/>
      <c r="J907" s="8"/>
      <c r="K907" s="10"/>
      <c r="L907" s="10"/>
      <c r="M907" s="10"/>
      <c r="N907" s="10"/>
      <c r="O907" s="10"/>
      <c r="P907" s="8"/>
      <c r="Q907" s="9"/>
    </row>
    <row r="908" spans="2:17" x14ac:dyDescent="0.2">
      <c r="B908" s="7"/>
      <c r="C908" s="8"/>
      <c r="D908" s="9"/>
      <c r="E908" s="10"/>
      <c r="F908" s="8"/>
      <c r="G908" s="8"/>
      <c r="H908" s="9"/>
      <c r="I908" s="10"/>
      <c r="J908" s="8"/>
      <c r="K908" s="10"/>
      <c r="L908" s="10"/>
      <c r="M908" s="10"/>
      <c r="N908" s="10"/>
      <c r="O908" s="10"/>
      <c r="P908" s="8"/>
      <c r="Q908" s="9"/>
    </row>
    <row r="909" spans="2:17" x14ac:dyDescent="0.2">
      <c r="B909" s="7"/>
      <c r="C909" s="8"/>
      <c r="D909" s="9"/>
      <c r="E909" s="10"/>
      <c r="F909" s="8"/>
      <c r="G909" s="8"/>
      <c r="H909" s="9"/>
      <c r="I909" s="10"/>
      <c r="J909" s="8"/>
      <c r="K909" s="10"/>
      <c r="L909" s="10"/>
      <c r="M909" s="10"/>
      <c r="N909" s="10"/>
      <c r="O909" s="10"/>
      <c r="P909" s="8"/>
      <c r="Q909" s="9"/>
    </row>
    <row r="910" spans="2:17" x14ac:dyDescent="0.2">
      <c r="B910" s="7"/>
      <c r="C910" s="8"/>
      <c r="D910" s="9"/>
      <c r="E910" s="10"/>
      <c r="F910" s="8"/>
      <c r="G910" s="8"/>
      <c r="H910" s="9"/>
      <c r="I910" s="10"/>
      <c r="J910" s="8"/>
      <c r="K910" s="10"/>
      <c r="L910" s="10"/>
      <c r="M910" s="10"/>
      <c r="N910" s="10"/>
      <c r="O910" s="10"/>
      <c r="P910" s="8"/>
      <c r="Q910" s="9"/>
    </row>
    <row r="911" spans="2:17" x14ac:dyDescent="0.2">
      <c r="B911" s="7"/>
      <c r="C911" s="8"/>
      <c r="D911" s="9"/>
      <c r="E911" s="10"/>
      <c r="F911" s="8"/>
      <c r="G911" s="8"/>
      <c r="H911" s="9"/>
      <c r="I911" s="10"/>
      <c r="J911" s="8"/>
      <c r="K911" s="10"/>
      <c r="L911" s="10"/>
      <c r="M911" s="10"/>
      <c r="N911" s="10"/>
      <c r="O911" s="10"/>
      <c r="P911" s="8"/>
      <c r="Q911" s="9"/>
    </row>
    <row r="912" spans="2:17" x14ac:dyDescent="0.2">
      <c r="B912" s="7"/>
      <c r="C912" s="8"/>
      <c r="D912" s="9"/>
      <c r="E912" s="10"/>
      <c r="F912" s="8"/>
      <c r="G912" s="8"/>
      <c r="H912" s="9"/>
      <c r="I912" s="10"/>
      <c r="J912" s="8"/>
      <c r="K912" s="10"/>
      <c r="L912" s="10"/>
      <c r="M912" s="10"/>
      <c r="N912" s="10"/>
      <c r="O912" s="10"/>
      <c r="P912" s="8"/>
      <c r="Q912" s="9"/>
    </row>
    <row r="913" spans="2:17" x14ac:dyDescent="0.2">
      <c r="B913" s="7"/>
      <c r="C913" s="8"/>
      <c r="D913" s="9"/>
      <c r="E913" s="10"/>
      <c r="F913" s="8"/>
      <c r="G913" s="8"/>
      <c r="H913" s="9"/>
      <c r="I913" s="10"/>
      <c r="J913" s="8"/>
      <c r="K913" s="10"/>
      <c r="L913" s="10"/>
      <c r="M913" s="10"/>
      <c r="N913" s="10"/>
      <c r="O913" s="10"/>
      <c r="P913" s="8"/>
      <c r="Q913" s="9"/>
    </row>
    <row r="914" spans="2:17" x14ac:dyDescent="0.2">
      <c r="B914" s="7"/>
      <c r="C914" s="8"/>
      <c r="D914" s="9"/>
      <c r="E914" s="10"/>
      <c r="F914" s="8"/>
      <c r="G914" s="8"/>
      <c r="H914" s="9"/>
      <c r="I914" s="10"/>
      <c r="J914" s="8"/>
      <c r="K914" s="10"/>
      <c r="L914" s="10"/>
      <c r="M914" s="10"/>
      <c r="N914" s="10"/>
      <c r="O914" s="10"/>
      <c r="P914" s="8"/>
      <c r="Q914" s="9"/>
    </row>
    <row r="915" spans="2:17" x14ac:dyDescent="0.2">
      <c r="B915" s="7"/>
      <c r="C915" s="8"/>
      <c r="D915" s="9"/>
      <c r="E915" s="10"/>
      <c r="F915" s="8"/>
      <c r="G915" s="8"/>
      <c r="H915" s="9"/>
      <c r="I915" s="10"/>
      <c r="J915" s="8"/>
      <c r="K915" s="10"/>
      <c r="L915" s="10"/>
      <c r="M915" s="10"/>
      <c r="N915" s="10"/>
      <c r="O915" s="10"/>
      <c r="P915" s="8"/>
      <c r="Q915" s="9"/>
    </row>
    <row r="916" spans="2:17" x14ac:dyDescent="0.2">
      <c r="B916" s="7"/>
      <c r="C916" s="8"/>
      <c r="D916" s="9"/>
      <c r="E916" s="10"/>
      <c r="F916" s="8"/>
      <c r="G916" s="8"/>
      <c r="H916" s="9"/>
      <c r="I916" s="10"/>
      <c r="J916" s="8"/>
      <c r="K916" s="10"/>
      <c r="L916" s="10"/>
      <c r="M916" s="10"/>
      <c r="N916" s="10"/>
      <c r="O916" s="10"/>
      <c r="P916" s="8"/>
      <c r="Q916" s="9"/>
    </row>
    <row r="917" spans="2:17" x14ac:dyDescent="0.2">
      <c r="B917" s="7"/>
      <c r="C917" s="8"/>
      <c r="D917" s="9"/>
      <c r="E917" s="10"/>
      <c r="F917" s="8"/>
      <c r="G917" s="8"/>
      <c r="H917" s="9"/>
      <c r="I917" s="10"/>
      <c r="J917" s="8"/>
      <c r="K917" s="10"/>
      <c r="L917" s="10"/>
      <c r="M917" s="10"/>
      <c r="N917" s="10"/>
      <c r="O917" s="10"/>
      <c r="P917" s="8"/>
      <c r="Q917" s="9"/>
    </row>
    <row r="918" spans="2:17" x14ac:dyDescent="0.2">
      <c r="B918" s="7"/>
      <c r="C918" s="8"/>
      <c r="D918" s="9"/>
      <c r="E918" s="10"/>
      <c r="F918" s="8"/>
      <c r="G918" s="8"/>
      <c r="H918" s="9"/>
      <c r="I918" s="10"/>
      <c r="J918" s="8"/>
      <c r="K918" s="10"/>
      <c r="L918" s="10"/>
      <c r="M918" s="10"/>
      <c r="N918" s="10"/>
      <c r="O918" s="10"/>
      <c r="P918" s="8"/>
      <c r="Q918" s="9"/>
    </row>
    <row r="919" spans="2:17" x14ac:dyDescent="0.2">
      <c r="B919" s="7"/>
      <c r="C919" s="8"/>
      <c r="D919" s="9"/>
      <c r="E919" s="10"/>
      <c r="F919" s="8"/>
      <c r="G919" s="8"/>
      <c r="H919" s="9"/>
      <c r="I919" s="10"/>
      <c r="J919" s="8"/>
      <c r="K919" s="10"/>
      <c r="L919" s="10"/>
      <c r="M919" s="10"/>
      <c r="N919" s="10"/>
      <c r="O919" s="10"/>
      <c r="P919" s="8"/>
      <c r="Q919" s="9"/>
    </row>
    <row r="920" spans="2:17" x14ac:dyDescent="0.2">
      <c r="B920" s="7"/>
      <c r="C920" s="8"/>
      <c r="D920" s="9"/>
      <c r="E920" s="10"/>
      <c r="F920" s="8"/>
      <c r="G920" s="8"/>
      <c r="H920" s="9"/>
      <c r="I920" s="10"/>
      <c r="J920" s="8"/>
      <c r="K920" s="10"/>
      <c r="L920" s="10"/>
      <c r="M920" s="10"/>
      <c r="N920" s="10"/>
      <c r="O920" s="10"/>
      <c r="P920" s="8"/>
      <c r="Q920" s="9"/>
    </row>
    <row r="921" spans="2:17" x14ac:dyDescent="0.2">
      <c r="B921" s="7"/>
      <c r="C921" s="8"/>
      <c r="D921" s="9"/>
      <c r="E921" s="10"/>
      <c r="F921" s="8"/>
      <c r="G921" s="8"/>
      <c r="H921" s="9"/>
      <c r="I921" s="10"/>
      <c r="J921" s="8"/>
      <c r="K921" s="10"/>
      <c r="L921" s="10"/>
      <c r="M921" s="10"/>
      <c r="N921" s="10"/>
      <c r="O921" s="10"/>
      <c r="P921" s="8"/>
      <c r="Q921" s="9"/>
    </row>
    <row r="922" spans="2:17" x14ac:dyDescent="0.2">
      <c r="B922" s="7"/>
      <c r="C922" s="8"/>
      <c r="D922" s="9"/>
      <c r="E922" s="10"/>
      <c r="F922" s="8"/>
      <c r="G922" s="8"/>
      <c r="H922" s="9"/>
      <c r="I922" s="10"/>
      <c r="J922" s="8"/>
      <c r="K922" s="10"/>
      <c r="L922" s="10"/>
      <c r="M922" s="10"/>
      <c r="N922" s="10"/>
      <c r="O922" s="10"/>
      <c r="P922" s="8"/>
      <c r="Q922" s="9"/>
    </row>
    <row r="923" spans="2:17" x14ac:dyDescent="0.2">
      <c r="B923" s="7"/>
      <c r="C923" s="8"/>
      <c r="D923" s="9"/>
      <c r="E923" s="10"/>
      <c r="F923" s="8"/>
      <c r="G923" s="8"/>
      <c r="H923" s="9"/>
      <c r="I923" s="10"/>
      <c r="J923" s="8"/>
      <c r="K923" s="10"/>
      <c r="L923" s="10"/>
      <c r="M923" s="10"/>
      <c r="N923" s="10"/>
      <c r="O923" s="10"/>
      <c r="P923" s="8"/>
      <c r="Q923" s="9"/>
    </row>
    <row r="924" spans="2:17" x14ac:dyDescent="0.2">
      <c r="B924" s="7"/>
      <c r="C924" s="8"/>
      <c r="D924" s="9"/>
      <c r="E924" s="10"/>
      <c r="F924" s="8"/>
      <c r="G924" s="8"/>
      <c r="H924" s="9"/>
      <c r="I924" s="10"/>
      <c r="J924" s="8"/>
      <c r="K924" s="10"/>
      <c r="L924" s="10"/>
      <c r="M924" s="10"/>
      <c r="N924" s="10"/>
      <c r="O924" s="10"/>
      <c r="P924" s="8"/>
      <c r="Q924" s="9"/>
    </row>
    <row r="925" spans="2:17" x14ac:dyDescent="0.2">
      <c r="B925" s="7"/>
      <c r="C925" s="8"/>
      <c r="D925" s="9"/>
      <c r="E925" s="10"/>
      <c r="F925" s="8"/>
      <c r="G925" s="8"/>
      <c r="H925" s="9"/>
      <c r="I925" s="10"/>
      <c r="J925" s="8"/>
      <c r="K925" s="10"/>
      <c r="L925" s="10"/>
      <c r="M925" s="10"/>
      <c r="N925" s="10"/>
      <c r="O925" s="10"/>
      <c r="P925" s="8"/>
      <c r="Q925" s="9"/>
    </row>
    <row r="926" spans="2:17" x14ac:dyDescent="0.2">
      <c r="B926" s="7"/>
      <c r="C926" s="8"/>
      <c r="D926" s="9"/>
      <c r="E926" s="10"/>
      <c r="F926" s="8"/>
      <c r="G926" s="8"/>
      <c r="H926" s="9"/>
      <c r="I926" s="10"/>
      <c r="J926" s="8"/>
      <c r="K926" s="10"/>
      <c r="L926" s="10"/>
      <c r="M926" s="10"/>
      <c r="N926" s="10"/>
      <c r="O926" s="10"/>
      <c r="P926" s="8"/>
      <c r="Q926" s="9"/>
    </row>
    <row r="927" spans="2:17" x14ac:dyDescent="0.2">
      <c r="B927" s="7"/>
      <c r="C927" s="8"/>
      <c r="D927" s="9"/>
      <c r="E927" s="10"/>
      <c r="F927" s="8"/>
      <c r="G927" s="8"/>
      <c r="H927" s="9"/>
      <c r="I927" s="10"/>
      <c r="J927" s="8"/>
      <c r="K927" s="10"/>
      <c r="L927" s="10"/>
      <c r="M927" s="10"/>
      <c r="N927" s="10"/>
      <c r="O927" s="10"/>
      <c r="P927" s="8"/>
      <c r="Q927" s="9"/>
    </row>
    <row r="928" spans="2:17" x14ac:dyDescent="0.2">
      <c r="B928" s="7"/>
      <c r="C928" s="8"/>
      <c r="D928" s="9"/>
      <c r="E928" s="10"/>
      <c r="F928" s="8"/>
      <c r="G928" s="8"/>
      <c r="H928" s="9"/>
      <c r="I928" s="10"/>
      <c r="J928" s="8"/>
      <c r="K928" s="10"/>
      <c r="L928" s="10"/>
      <c r="M928" s="10"/>
      <c r="N928" s="10"/>
      <c r="O928" s="10"/>
      <c r="P928" s="8"/>
      <c r="Q928" s="9"/>
    </row>
    <row r="929" spans="2:17" x14ac:dyDescent="0.2">
      <c r="B929" s="7"/>
      <c r="C929" s="8"/>
      <c r="D929" s="9"/>
      <c r="E929" s="10"/>
      <c r="F929" s="8"/>
      <c r="G929" s="8"/>
      <c r="H929" s="9"/>
      <c r="I929" s="10"/>
      <c r="J929" s="8"/>
      <c r="K929" s="10"/>
      <c r="L929" s="10"/>
      <c r="M929" s="10"/>
      <c r="N929" s="10"/>
      <c r="O929" s="10"/>
      <c r="P929" s="8"/>
      <c r="Q929" s="9"/>
    </row>
    <row r="930" spans="2:17" x14ac:dyDescent="0.2">
      <c r="B930" s="7"/>
      <c r="C930" s="8"/>
      <c r="D930" s="9"/>
      <c r="E930" s="10"/>
      <c r="F930" s="8"/>
      <c r="G930" s="8"/>
      <c r="H930" s="9"/>
      <c r="I930" s="10"/>
      <c r="J930" s="8"/>
      <c r="K930" s="10"/>
      <c r="L930" s="10"/>
      <c r="M930" s="10"/>
      <c r="N930" s="10"/>
      <c r="O930" s="10"/>
      <c r="P930" s="8"/>
      <c r="Q930" s="9"/>
    </row>
    <row r="931" spans="2:17" x14ac:dyDescent="0.2">
      <c r="B931" s="7"/>
      <c r="C931" s="8"/>
      <c r="D931" s="9"/>
      <c r="E931" s="10"/>
      <c r="F931" s="8"/>
      <c r="G931" s="8"/>
      <c r="H931" s="9"/>
      <c r="I931" s="10"/>
      <c r="J931" s="8"/>
      <c r="K931" s="10"/>
      <c r="L931" s="10"/>
      <c r="M931" s="10"/>
      <c r="N931" s="10"/>
      <c r="O931" s="10"/>
      <c r="P931" s="8"/>
      <c r="Q931" s="9"/>
    </row>
    <row r="932" spans="2:17" x14ac:dyDescent="0.2">
      <c r="B932" s="7"/>
      <c r="C932" s="8"/>
      <c r="D932" s="9"/>
      <c r="E932" s="10"/>
      <c r="F932" s="8"/>
      <c r="G932" s="8"/>
      <c r="H932" s="9"/>
      <c r="I932" s="10"/>
      <c r="J932" s="8"/>
      <c r="K932" s="10"/>
      <c r="L932" s="10"/>
      <c r="M932" s="10"/>
      <c r="N932" s="10"/>
      <c r="O932" s="10"/>
      <c r="P932" s="8"/>
      <c r="Q932" s="9"/>
    </row>
    <row r="933" spans="2:17" x14ac:dyDescent="0.2">
      <c r="B933" s="7"/>
      <c r="C933" s="8"/>
      <c r="D933" s="9"/>
      <c r="E933" s="10"/>
      <c r="F933" s="8"/>
      <c r="G933" s="8"/>
      <c r="H933" s="9"/>
      <c r="I933" s="10"/>
      <c r="J933" s="8"/>
      <c r="K933" s="10"/>
      <c r="L933" s="10"/>
      <c r="M933" s="10"/>
      <c r="N933" s="10"/>
      <c r="O933" s="10"/>
      <c r="P933" s="8"/>
      <c r="Q933" s="9"/>
    </row>
    <row r="934" spans="2:17" x14ac:dyDescent="0.2">
      <c r="B934" s="7"/>
      <c r="C934" s="8"/>
      <c r="D934" s="9"/>
      <c r="E934" s="10"/>
      <c r="F934" s="8"/>
      <c r="G934" s="8"/>
      <c r="H934" s="9"/>
      <c r="I934" s="10"/>
      <c r="J934" s="8"/>
      <c r="K934" s="10"/>
      <c r="L934" s="10"/>
      <c r="M934" s="10"/>
      <c r="N934" s="10"/>
      <c r="O934" s="10"/>
      <c r="P934" s="8"/>
      <c r="Q934" s="9"/>
    </row>
    <row r="935" spans="2:17" x14ac:dyDescent="0.2">
      <c r="B935" s="7"/>
      <c r="C935" s="8"/>
      <c r="D935" s="9"/>
      <c r="E935" s="10"/>
      <c r="F935" s="8"/>
      <c r="G935" s="8"/>
      <c r="H935" s="9"/>
      <c r="I935" s="10"/>
      <c r="J935" s="8"/>
      <c r="K935" s="10"/>
      <c r="L935" s="10"/>
      <c r="M935" s="10"/>
      <c r="N935" s="10"/>
      <c r="O935" s="10"/>
      <c r="P935" s="8"/>
      <c r="Q935" s="9"/>
    </row>
    <row r="936" spans="2:17" x14ac:dyDescent="0.2">
      <c r="B936" s="7"/>
      <c r="C936" s="8"/>
      <c r="D936" s="9"/>
      <c r="E936" s="10"/>
      <c r="F936" s="8"/>
      <c r="G936" s="8"/>
      <c r="H936" s="9"/>
      <c r="I936" s="10"/>
      <c r="J936" s="8"/>
      <c r="K936" s="10"/>
      <c r="L936" s="10"/>
      <c r="M936" s="10"/>
      <c r="N936" s="10"/>
      <c r="O936" s="10"/>
      <c r="P936" s="8"/>
      <c r="Q936" s="9"/>
    </row>
    <row r="937" spans="2:17" x14ac:dyDescent="0.2">
      <c r="B937" s="7"/>
      <c r="C937" s="8"/>
      <c r="D937" s="9"/>
      <c r="E937" s="10"/>
      <c r="F937" s="8"/>
      <c r="G937" s="8"/>
      <c r="H937" s="9"/>
      <c r="I937" s="10"/>
      <c r="J937" s="8"/>
      <c r="K937" s="10"/>
      <c r="L937" s="10"/>
      <c r="M937" s="10"/>
      <c r="N937" s="10"/>
      <c r="O937" s="10"/>
      <c r="P937" s="8"/>
      <c r="Q937" s="9"/>
    </row>
    <row r="938" spans="2:17" x14ac:dyDescent="0.2">
      <c r="B938" s="7"/>
      <c r="C938" s="8"/>
      <c r="D938" s="9"/>
      <c r="E938" s="10"/>
      <c r="F938" s="8"/>
      <c r="G938" s="8"/>
      <c r="H938" s="9"/>
      <c r="I938" s="10"/>
      <c r="J938" s="8"/>
      <c r="K938" s="10"/>
      <c r="L938" s="10"/>
      <c r="M938" s="10"/>
      <c r="N938" s="10"/>
      <c r="O938" s="10"/>
      <c r="P938" s="8"/>
      <c r="Q938" s="9"/>
    </row>
    <row r="939" spans="2:17" x14ac:dyDescent="0.2">
      <c r="B939" s="7"/>
      <c r="C939" s="8"/>
      <c r="D939" s="9"/>
      <c r="E939" s="10"/>
      <c r="F939" s="8"/>
      <c r="G939" s="8"/>
      <c r="H939" s="9"/>
      <c r="I939" s="10"/>
      <c r="J939" s="8"/>
      <c r="K939" s="10"/>
      <c r="L939" s="10"/>
      <c r="M939" s="10"/>
      <c r="N939" s="10"/>
      <c r="O939" s="10"/>
      <c r="P939" s="8"/>
      <c r="Q939" s="9"/>
    </row>
    <row r="940" spans="2:17" x14ac:dyDescent="0.2">
      <c r="B940" s="7"/>
      <c r="C940" s="8"/>
      <c r="D940" s="9"/>
      <c r="E940" s="10"/>
      <c r="F940" s="8"/>
      <c r="G940" s="8"/>
      <c r="H940" s="9"/>
      <c r="I940" s="10"/>
      <c r="J940" s="8"/>
      <c r="K940" s="10"/>
      <c r="L940" s="10"/>
      <c r="M940" s="10"/>
      <c r="N940" s="10"/>
      <c r="O940" s="10"/>
      <c r="P940" s="8"/>
      <c r="Q940" s="9"/>
    </row>
    <row r="941" spans="2:17" x14ac:dyDescent="0.2">
      <c r="B941" s="7"/>
      <c r="C941" s="8"/>
      <c r="D941" s="9"/>
      <c r="E941" s="10"/>
      <c r="F941" s="8"/>
      <c r="G941" s="8"/>
      <c r="H941" s="9"/>
      <c r="I941" s="10"/>
      <c r="J941" s="8"/>
      <c r="K941" s="10"/>
      <c r="L941" s="10"/>
      <c r="M941" s="10"/>
      <c r="N941" s="10"/>
      <c r="O941" s="10"/>
      <c r="P941" s="8"/>
      <c r="Q941" s="9"/>
    </row>
    <row r="942" spans="2:17" x14ac:dyDescent="0.2">
      <c r="B942" s="7"/>
      <c r="C942" s="8"/>
      <c r="D942" s="9"/>
      <c r="E942" s="10"/>
      <c r="F942" s="8"/>
      <c r="G942" s="8"/>
      <c r="H942" s="9"/>
      <c r="I942" s="10"/>
      <c r="J942" s="8"/>
      <c r="K942" s="10"/>
      <c r="L942" s="10"/>
      <c r="M942" s="10"/>
      <c r="N942" s="10"/>
      <c r="O942" s="10"/>
      <c r="P942" s="8"/>
      <c r="Q942" s="9"/>
    </row>
    <row r="943" spans="2:17" x14ac:dyDescent="0.2">
      <c r="B943" s="7"/>
      <c r="C943" s="8"/>
      <c r="D943" s="9"/>
      <c r="E943" s="10"/>
      <c r="F943" s="8"/>
      <c r="G943" s="8"/>
      <c r="H943" s="9"/>
      <c r="I943" s="10"/>
      <c r="J943" s="8"/>
      <c r="K943" s="10"/>
      <c r="L943" s="10"/>
      <c r="M943" s="10"/>
      <c r="N943" s="10"/>
      <c r="O943" s="10"/>
      <c r="P943" s="8"/>
      <c r="Q943" s="9"/>
    </row>
    <row r="944" spans="2:17" x14ac:dyDescent="0.2">
      <c r="B944" s="7"/>
      <c r="C944" s="8"/>
      <c r="D944" s="9"/>
      <c r="E944" s="10"/>
      <c r="F944" s="8"/>
      <c r="G944" s="8"/>
      <c r="H944" s="9"/>
      <c r="I944" s="10"/>
      <c r="J944" s="8"/>
      <c r="K944" s="10"/>
      <c r="L944" s="10"/>
      <c r="M944" s="10"/>
      <c r="N944" s="10"/>
      <c r="O944" s="10"/>
      <c r="P944" s="8"/>
      <c r="Q944" s="9"/>
    </row>
    <row r="945" spans="2:17" x14ac:dyDescent="0.2">
      <c r="B945" s="7"/>
      <c r="C945" s="8"/>
      <c r="D945" s="9"/>
      <c r="E945" s="10"/>
      <c r="F945" s="8"/>
      <c r="G945" s="8"/>
      <c r="H945" s="9"/>
      <c r="I945" s="10"/>
      <c r="J945" s="8"/>
      <c r="K945" s="10"/>
      <c r="L945" s="10"/>
      <c r="M945" s="10"/>
      <c r="N945" s="10"/>
      <c r="O945" s="10"/>
      <c r="P945" s="8"/>
      <c r="Q945" s="9"/>
    </row>
    <row r="946" spans="2:17" x14ac:dyDescent="0.2">
      <c r="B946" s="7"/>
      <c r="C946" s="8"/>
      <c r="D946" s="9"/>
      <c r="E946" s="10"/>
      <c r="F946" s="8"/>
      <c r="G946" s="8"/>
      <c r="H946" s="9"/>
      <c r="I946" s="10"/>
      <c r="J946" s="8"/>
      <c r="K946" s="10"/>
      <c r="L946" s="10"/>
      <c r="M946" s="10"/>
      <c r="N946" s="10"/>
      <c r="O946" s="10"/>
      <c r="P946" s="8"/>
      <c r="Q946" s="9"/>
    </row>
    <row r="947" spans="2:17" x14ac:dyDescent="0.2">
      <c r="B947" s="7"/>
      <c r="C947" s="8"/>
      <c r="D947" s="9"/>
      <c r="E947" s="10"/>
      <c r="F947" s="8"/>
      <c r="G947" s="8"/>
      <c r="H947" s="9"/>
      <c r="I947" s="10"/>
      <c r="J947" s="8"/>
      <c r="K947" s="10"/>
      <c r="L947" s="10"/>
      <c r="M947" s="10"/>
      <c r="N947" s="10"/>
      <c r="O947" s="10"/>
      <c r="P947" s="8"/>
      <c r="Q947" s="9"/>
    </row>
    <row r="948" spans="2:17" x14ac:dyDescent="0.2">
      <c r="B948" s="7"/>
      <c r="C948" s="8"/>
      <c r="D948" s="9"/>
      <c r="E948" s="10"/>
      <c r="F948" s="8"/>
      <c r="G948" s="8"/>
      <c r="H948" s="9"/>
      <c r="I948" s="10"/>
      <c r="J948" s="8"/>
      <c r="K948" s="10"/>
      <c r="L948" s="10"/>
      <c r="M948" s="10"/>
      <c r="N948" s="10"/>
      <c r="O948" s="10"/>
      <c r="P948" s="8"/>
      <c r="Q948" s="9"/>
    </row>
    <row r="949" spans="2:17" x14ac:dyDescent="0.2">
      <c r="B949" s="7"/>
      <c r="C949" s="8"/>
      <c r="D949" s="9"/>
      <c r="E949" s="10"/>
      <c r="F949" s="8"/>
      <c r="G949" s="8"/>
      <c r="H949" s="9"/>
      <c r="I949" s="10"/>
      <c r="J949" s="8"/>
      <c r="K949" s="10"/>
      <c r="L949" s="10"/>
      <c r="M949" s="10"/>
      <c r="N949" s="10"/>
      <c r="O949" s="10"/>
      <c r="P949" s="8"/>
      <c r="Q949" s="9"/>
    </row>
    <row r="950" spans="2:17" x14ac:dyDescent="0.2">
      <c r="B950" s="7"/>
      <c r="C950" s="8"/>
      <c r="D950" s="9"/>
      <c r="E950" s="10"/>
      <c r="F950" s="8"/>
      <c r="G950" s="8"/>
      <c r="H950" s="9"/>
      <c r="I950" s="10"/>
      <c r="J950" s="8"/>
      <c r="K950" s="10"/>
      <c r="L950" s="10"/>
      <c r="M950" s="10"/>
      <c r="N950" s="10"/>
      <c r="O950" s="10"/>
      <c r="P950" s="8"/>
      <c r="Q950" s="9"/>
    </row>
    <row r="951" spans="2:17" x14ac:dyDescent="0.2">
      <c r="B951" s="7"/>
      <c r="C951" s="8"/>
      <c r="D951" s="9"/>
      <c r="E951" s="10"/>
      <c r="F951" s="8"/>
      <c r="G951" s="8"/>
      <c r="H951" s="9"/>
      <c r="I951" s="10"/>
      <c r="J951" s="8"/>
      <c r="K951" s="10"/>
      <c r="L951" s="10"/>
      <c r="M951" s="10"/>
      <c r="N951" s="10"/>
      <c r="O951" s="10"/>
      <c r="P951" s="8"/>
      <c r="Q951" s="9"/>
    </row>
    <row r="952" spans="2:17" x14ac:dyDescent="0.2">
      <c r="B952" s="7"/>
      <c r="C952" s="8"/>
      <c r="D952" s="9"/>
      <c r="E952" s="10"/>
      <c r="F952" s="8"/>
      <c r="G952" s="8"/>
      <c r="H952" s="9"/>
      <c r="I952" s="10"/>
      <c r="J952" s="8"/>
      <c r="K952" s="10"/>
      <c r="L952" s="10"/>
      <c r="M952" s="10"/>
      <c r="N952" s="10"/>
      <c r="O952" s="10"/>
      <c r="P952" s="8"/>
      <c r="Q952" s="9"/>
    </row>
    <row r="953" spans="2:17" x14ac:dyDescent="0.2">
      <c r="B953" s="7"/>
      <c r="C953" s="8"/>
      <c r="D953" s="9"/>
      <c r="E953" s="10"/>
      <c r="F953" s="8"/>
      <c r="G953" s="8"/>
      <c r="H953" s="9"/>
      <c r="I953" s="10"/>
      <c r="J953" s="8"/>
      <c r="K953" s="10"/>
      <c r="L953" s="10"/>
      <c r="M953" s="10"/>
      <c r="N953" s="10"/>
      <c r="O953" s="10"/>
      <c r="P953" s="8"/>
      <c r="Q953" s="9"/>
    </row>
    <row r="954" spans="2:17" x14ac:dyDescent="0.2">
      <c r="B954" s="7"/>
      <c r="C954" s="8"/>
      <c r="D954" s="9"/>
      <c r="E954" s="10"/>
      <c r="F954" s="8"/>
      <c r="G954" s="8"/>
      <c r="H954" s="9"/>
      <c r="I954" s="10"/>
      <c r="J954" s="8"/>
      <c r="K954" s="10"/>
      <c r="L954" s="10"/>
      <c r="M954" s="10"/>
      <c r="N954" s="10"/>
      <c r="O954" s="10"/>
      <c r="P954" s="8"/>
      <c r="Q954" s="9"/>
    </row>
    <row r="955" spans="2:17" x14ac:dyDescent="0.2">
      <c r="B955" s="7"/>
      <c r="C955" s="8"/>
      <c r="D955" s="9"/>
      <c r="E955" s="10"/>
      <c r="F955" s="8"/>
      <c r="G955" s="8"/>
      <c r="H955" s="9"/>
      <c r="I955" s="10"/>
      <c r="J955" s="8"/>
      <c r="K955" s="10"/>
      <c r="L955" s="10"/>
      <c r="M955" s="10"/>
      <c r="N955" s="10"/>
      <c r="O955" s="10"/>
      <c r="P955" s="8"/>
      <c r="Q955" s="9"/>
    </row>
    <row r="956" spans="2:17" x14ac:dyDescent="0.2">
      <c r="B956" s="7"/>
      <c r="C956" s="8"/>
      <c r="D956" s="9"/>
      <c r="E956" s="10"/>
      <c r="F956" s="8"/>
      <c r="G956" s="8"/>
      <c r="H956" s="9"/>
      <c r="I956" s="10"/>
      <c r="J956" s="8"/>
      <c r="K956" s="10"/>
      <c r="L956" s="10"/>
      <c r="M956" s="10"/>
      <c r="N956" s="10"/>
      <c r="O956" s="10"/>
      <c r="P956" s="8"/>
      <c r="Q956" s="9"/>
    </row>
    <row r="957" spans="2:17" x14ac:dyDescent="0.2">
      <c r="B957" s="7"/>
      <c r="C957" s="8"/>
      <c r="D957" s="9"/>
      <c r="E957" s="10"/>
      <c r="F957" s="8"/>
      <c r="G957" s="8"/>
      <c r="H957" s="9"/>
      <c r="I957" s="10"/>
      <c r="J957" s="8"/>
      <c r="K957" s="10"/>
      <c r="L957" s="10"/>
      <c r="M957" s="10"/>
      <c r="N957" s="10"/>
      <c r="O957" s="10"/>
      <c r="P957" s="8"/>
      <c r="Q957" s="9"/>
    </row>
    <row r="958" spans="2:17" x14ac:dyDescent="0.2">
      <c r="B958" s="7"/>
      <c r="C958" s="8"/>
      <c r="D958" s="9"/>
      <c r="E958" s="10"/>
      <c r="F958" s="8"/>
      <c r="G958" s="8"/>
      <c r="H958" s="9"/>
      <c r="I958" s="10"/>
      <c r="J958" s="8"/>
      <c r="K958" s="10"/>
      <c r="L958" s="10"/>
      <c r="M958" s="10"/>
      <c r="N958" s="10"/>
      <c r="O958" s="10"/>
      <c r="P958" s="8"/>
      <c r="Q958" s="9"/>
    </row>
    <row r="959" spans="2:17" x14ac:dyDescent="0.2">
      <c r="B959" s="7"/>
      <c r="C959" s="8"/>
      <c r="D959" s="9"/>
      <c r="E959" s="10"/>
      <c r="F959" s="8"/>
      <c r="G959" s="8"/>
      <c r="H959" s="9"/>
      <c r="I959" s="10"/>
      <c r="J959" s="8"/>
      <c r="K959" s="10"/>
      <c r="L959" s="10"/>
      <c r="M959" s="10"/>
      <c r="N959" s="10"/>
      <c r="O959" s="10"/>
      <c r="P959" s="8"/>
      <c r="Q959" s="9"/>
    </row>
    <row r="960" spans="2:17" x14ac:dyDescent="0.2">
      <c r="B960" s="7"/>
      <c r="C960" s="8"/>
      <c r="D960" s="9"/>
      <c r="E960" s="10"/>
      <c r="F960" s="8"/>
      <c r="G960" s="8"/>
      <c r="H960" s="9"/>
      <c r="I960" s="10"/>
      <c r="J960" s="8"/>
      <c r="K960" s="10"/>
      <c r="L960" s="10"/>
      <c r="M960" s="10"/>
      <c r="N960" s="10"/>
      <c r="O960" s="10"/>
      <c r="P960" s="8"/>
      <c r="Q960" s="9"/>
    </row>
    <row r="961" spans="2:17" x14ac:dyDescent="0.2">
      <c r="B961" s="7"/>
      <c r="C961" s="8"/>
      <c r="D961" s="9"/>
      <c r="E961" s="10"/>
      <c r="F961" s="8"/>
      <c r="G961" s="8"/>
      <c r="H961" s="9"/>
      <c r="I961" s="10"/>
      <c r="J961" s="8"/>
      <c r="K961" s="10"/>
      <c r="L961" s="10"/>
      <c r="M961" s="10"/>
      <c r="N961" s="10"/>
      <c r="O961" s="10"/>
      <c r="P961" s="8"/>
      <c r="Q961" s="9"/>
    </row>
    <row r="962" spans="2:17" x14ac:dyDescent="0.2">
      <c r="B962" s="7"/>
      <c r="C962" s="8"/>
      <c r="D962" s="9"/>
      <c r="E962" s="10"/>
      <c r="F962" s="8"/>
      <c r="G962" s="8"/>
      <c r="H962" s="9"/>
      <c r="I962" s="10"/>
      <c r="J962" s="8"/>
      <c r="K962" s="10"/>
      <c r="L962" s="10"/>
      <c r="M962" s="10"/>
      <c r="N962" s="10"/>
      <c r="O962" s="10"/>
      <c r="P962" s="8"/>
      <c r="Q962" s="9"/>
    </row>
    <row r="963" spans="2:17" x14ac:dyDescent="0.2">
      <c r="B963" s="7"/>
      <c r="C963" s="8"/>
      <c r="D963" s="9"/>
      <c r="E963" s="10"/>
      <c r="F963" s="8"/>
      <c r="G963" s="8"/>
      <c r="H963" s="9"/>
      <c r="I963" s="10"/>
      <c r="J963" s="8"/>
      <c r="K963" s="10"/>
      <c r="L963" s="10"/>
      <c r="M963" s="10"/>
      <c r="N963" s="10"/>
      <c r="O963" s="10"/>
      <c r="P963" s="8"/>
      <c r="Q963" s="9"/>
    </row>
    <row r="964" spans="2:17" x14ac:dyDescent="0.2">
      <c r="B964" s="7"/>
      <c r="C964" s="8"/>
      <c r="D964" s="9"/>
      <c r="E964" s="10"/>
      <c r="F964" s="8"/>
      <c r="G964" s="8"/>
      <c r="H964" s="9"/>
      <c r="I964" s="10"/>
      <c r="J964" s="8"/>
      <c r="K964" s="10"/>
      <c r="L964" s="10"/>
      <c r="M964" s="10"/>
      <c r="N964" s="10"/>
      <c r="O964" s="10"/>
      <c r="P964" s="8"/>
      <c r="Q964" s="9"/>
    </row>
    <row r="965" spans="2:17" x14ac:dyDescent="0.2">
      <c r="B965" s="7"/>
      <c r="C965" s="8"/>
      <c r="D965" s="9"/>
      <c r="E965" s="10"/>
      <c r="F965" s="8"/>
      <c r="G965" s="8"/>
      <c r="H965" s="9"/>
      <c r="I965" s="10"/>
      <c r="J965" s="8"/>
      <c r="K965" s="10"/>
      <c r="L965" s="10"/>
      <c r="M965" s="10"/>
      <c r="N965" s="10"/>
      <c r="O965" s="10"/>
      <c r="P965" s="8"/>
      <c r="Q965" s="9"/>
    </row>
    <row r="966" spans="2:17" x14ac:dyDescent="0.2">
      <c r="B966" s="7"/>
      <c r="C966" s="8"/>
      <c r="D966" s="9"/>
      <c r="E966" s="10"/>
      <c r="F966" s="8"/>
      <c r="G966" s="8"/>
      <c r="H966" s="9"/>
      <c r="I966" s="10"/>
      <c r="J966" s="8"/>
      <c r="K966" s="10"/>
      <c r="L966" s="10"/>
      <c r="M966" s="10"/>
      <c r="N966" s="10"/>
      <c r="O966" s="10"/>
      <c r="P966" s="8"/>
      <c r="Q966" s="9"/>
    </row>
    <row r="967" spans="2:17" x14ac:dyDescent="0.2">
      <c r="B967" s="7"/>
      <c r="C967" s="8"/>
      <c r="D967" s="9"/>
      <c r="E967" s="10"/>
      <c r="F967" s="8"/>
      <c r="G967" s="8"/>
      <c r="H967" s="9"/>
      <c r="I967" s="10"/>
      <c r="J967" s="8"/>
      <c r="K967" s="10"/>
      <c r="L967" s="10"/>
      <c r="M967" s="10"/>
      <c r="N967" s="10"/>
      <c r="O967" s="10"/>
      <c r="P967" s="8"/>
      <c r="Q967" s="9"/>
    </row>
    <row r="968" spans="2:17" x14ac:dyDescent="0.2">
      <c r="B968" s="7"/>
      <c r="C968" s="8"/>
      <c r="D968" s="9"/>
      <c r="E968" s="10"/>
      <c r="F968" s="8"/>
      <c r="G968" s="8"/>
      <c r="H968" s="9"/>
      <c r="I968" s="10"/>
      <c r="J968" s="8"/>
      <c r="K968" s="10"/>
      <c r="L968" s="10"/>
      <c r="M968" s="10"/>
      <c r="N968" s="10"/>
      <c r="O968" s="10"/>
      <c r="P968" s="8"/>
      <c r="Q968" s="9"/>
    </row>
    <row r="969" spans="2:17" x14ac:dyDescent="0.2">
      <c r="B969" s="7"/>
      <c r="C969" s="8"/>
      <c r="D969" s="9"/>
      <c r="E969" s="10"/>
      <c r="F969" s="8"/>
      <c r="G969" s="8"/>
      <c r="H969" s="9"/>
      <c r="I969" s="10"/>
      <c r="J969" s="8"/>
      <c r="K969" s="10"/>
      <c r="L969" s="10"/>
      <c r="M969" s="10"/>
      <c r="N969" s="10"/>
      <c r="O969" s="10"/>
      <c r="P969" s="8"/>
      <c r="Q969" s="9"/>
    </row>
    <row r="970" spans="2:17" x14ac:dyDescent="0.2">
      <c r="B970" s="7"/>
      <c r="C970" s="8"/>
      <c r="D970" s="9"/>
      <c r="E970" s="10"/>
      <c r="F970" s="8"/>
      <c r="G970" s="8"/>
      <c r="H970" s="9"/>
      <c r="I970" s="10"/>
      <c r="J970" s="8"/>
      <c r="K970" s="10"/>
      <c r="L970" s="10"/>
      <c r="M970" s="10"/>
      <c r="N970" s="10"/>
      <c r="O970" s="10"/>
      <c r="P970" s="8"/>
      <c r="Q970" s="9"/>
    </row>
    <row r="971" spans="2:17" x14ac:dyDescent="0.2">
      <c r="B971" s="7"/>
      <c r="C971" s="8"/>
      <c r="D971" s="9"/>
      <c r="E971" s="10"/>
      <c r="F971" s="8"/>
      <c r="G971" s="8"/>
      <c r="H971" s="9"/>
      <c r="I971" s="10"/>
      <c r="J971" s="8"/>
      <c r="K971" s="10"/>
      <c r="L971" s="10"/>
      <c r="M971" s="10"/>
      <c r="N971" s="10"/>
      <c r="O971" s="10"/>
      <c r="P971" s="8"/>
      <c r="Q971" s="9"/>
    </row>
    <row r="972" spans="2:17" x14ac:dyDescent="0.2">
      <c r="B972" s="7"/>
      <c r="C972" s="8"/>
      <c r="D972" s="9"/>
      <c r="E972" s="10"/>
      <c r="F972" s="8"/>
      <c r="G972" s="8"/>
      <c r="H972" s="9"/>
      <c r="I972" s="10"/>
      <c r="J972" s="8"/>
      <c r="K972" s="10"/>
      <c r="L972" s="10"/>
      <c r="M972" s="10"/>
      <c r="N972" s="10"/>
      <c r="O972" s="10"/>
      <c r="P972" s="8"/>
      <c r="Q972" s="9"/>
    </row>
    <row r="973" spans="2:17" x14ac:dyDescent="0.2">
      <c r="B973" s="7"/>
      <c r="C973" s="8"/>
      <c r="D973" s="9"/>
      <c r="E973" s="10"/>
      <c r="F973" s="8"/>
      <c r="G973" s="8"/>
      <c r="H973" s="9"/>
      <c r="I973" s="10"/>
      <c r="J973" s="8"/>
      <c r="K973" s="10"/>
      <c r="L973" s="10"/>
      <c r="M973" s="10"/>
      <c r="N973" s="10"/>
      <c r="O973" s="10"/>
      <c r="P973" s="8"/>
      <c r="Q973" s="9"/>
    </row>
    <row r="974" spans="2:17" x14ac:dyDescent="0.2">
      <c r="B974" s="7"/>
      <c r="C974" s="8"/>
      <c r="D974" s="9"/>
      <c r="E974" s="10"/>
      <c r="F974" s="8"/>
      <c r="G974" s="8"/>
      <c r="H974" s="9"/>
      <c r="I974" s="10"/>
      <c r="J974" s="8"/>
      <c r="K974" s="10"/>
      <c r="L974" s="10"/>
      <c r="M974" s="10"/>
      <c r="N974" s="10"/>
      <c r="O974" s="10"/>
      <c r="P974" s="8"/>
      <c r="Q974" s="9"/>
    </row>
    <row r="975" spans="2:17" x14ac:dyDescent="0.2">
      <c r="B975" s="7"/>
      <c r="C975" s="8"/>
      <c r="D975" s="9"/>
      <c r="E975" s="10"/>
      <c r="F975" s="8"/>
      <c r="G975" s="8"/>
      <c r="H975" s="9"/>
      <c r="I975" s="10"/>
      <c r="J975" s="8"/>
      <c r="K975" s="10"/>
      <c r="L975" s="10"/>
      <c r="M975" s="10"/>
      <c r="N975" s="10"/>
      <c r="O975" s="10"/>
      <c r="P975" s="8"/>
      <c r="Q975" s="9"/>
    </row>
    <row r="976" spans="2:17" x14ac:dyDescent="0.2">
      <c r="B976" s="7"/>
      <c r="C976" s="8"/>
      <c r="D976" s="9"/>
      <c r="E976" s="10"/>
      <c r="F976" s="8"/>
      <c r="G976" s="8"/>
      <c r="H976" s="9"/>
      <c r="I976" s="10"/>
      <c r="J976" s="8"/>
      <c r="K976" s="10"/>
      <c r="L976" s="10"/>
      <c r="M976" s="10"/>
      <c r="N976" s="10"/>
      <c r="O976" s="10"/>
      <c r="P976" s="8"/>
      <c r="Q976" s="9"/>
    </row>
    <row r="977" spans="2:17" x14ac:dyDescent="0.2">
      <c r="B977" s="7"/>
      <c r="C977" s="8"/>
      <c r="D977" s="9"/>
      <c r="E977" s="10"/>
      <c r="F977" s="8"/>
      <c r="G977" s="8"/>
      <c r="H977" s="9"/>
      <c r="I977" s="10"/>
      <c r="J977" s="8"/>
      <c r="K977" s="10"/>
      <c r="L977" s="10"/>
      <c r="M977" s="10"/>
      <c r="N977" s="10"/>
      <c r="O977" s="10"/>
      <c r="P977" s="8"/>
      <c r="Q977" s="9"/>
    </row>
    <row r="978" spans="2:17" x14ac:dyDescent="0.2">
      <c r="B978" s="7"/>
      <c r="C978" s="8"/>
      <c r="D978" s="9"/>
      <c r="E978" s="10"/>
      <c r="F978" s="8"/>
      <c r="G978" s="8"/>
      <c r="H978" s="9"/>
      <c r="I978" s="10"/>
      <c r="J978" s="8"/>
      <c r="K978" s="10"/>
      <c r="L978" s="10"/>
      <c r="M978" s="10"/>
      <c r="N978" s="10"/>
      <c r="O978" s="10"/>
      <c r="P978" s="8"/>
      <c r="Q978" s="9"/>
    </row>
    <row r="979" spans="2:17" x14ac:dyDescent="0.2">
      <c r="B979" s="7"/>
      <c r="C979" s="8"/>
      <c r="D979" s="9"/>
      <c r="E979" s="10"/>
      <c r="F979" s="8"/>
      <c r="G979" s="8"/>
      <c r="H979" s="9"/>
      <c r="I979" s="10"/>
      <c r="J979" s="8"/>
      <c r="K979" s="10"/>
      <c r="L979" s="10"/>
      <c r="M979" s="10"/>
      <c r="N979" s="10"/>
      <c r="O979" s="10"/>
      <c r="P979" s="8"/>
      <c r="Q979" s="9"/>
    </row>
    <row r="980" spans="2:17" x14ac:dyDescent="0.2">
      <c r="B980" s="7"/>
      <c r="C980" s="8"/>
      <c r="D980" s="9"/>
      <c r="E980" s="10"/>
      <c r="F980" s="8"/>
      <c r="G980" s="8"/>
      <c r="H980" s="9"/>
      <c r="I980" s="10"/>
      <c r="J980" s="8"/>
      <c r="K980" s="10"/>
      <c r="L980" s="10"/>
      <c r="M980" s="10"/>
      <c r="N980" s="10"/>
      <c r="O980" s="10"/>
      <c r="P980" s="8"/>
      <c r="Q980" s="9"/>
    </row>
    <row r="981" spans="2:17" x14ac:dyDescent="0.2">
      <c r="B981" s="7"/>
      <c r="C981" s="8"/>
      <c r="D981" s="9"/>
      <c r="E981" s="10"/>
      <c r="F981" s="8"/>
      <c r="G981" s="8"/>
      <c r="H981" s="9"/>
      <c r="I981" s="10"/>
      <c r="J981" s="8"/>
      <c r="K981" s="10"/>
      <c r="L981" s="10"/>
      <c r="M981" s="10"/>
      <c r="N981" s="10"/>
      <c r="O981" s="10"/>
      <c r="P981" s="8"/>
      <c r="Q981" s="9"/>
    </row>
    <row r="982" spans="2:17" x14ac:dyDescent="0.2">
      <c r="B982" s="7"/>
      <c r="C982" s="8"/>
      <c r="D982" s="9"/>
      <c r="E982" s="10"/>
      <c r="F982" s="8"/>
      <c r="G982" s="8"/>
      <c r="H982" s="9"/>
      <c r="I982" s="10"/>
      <c r="J982" s="8"/>
      <c r="K982" s="10"/>
      <c r="L982" s="10"/>
      <c r="M982" s="10"/>
      <c r="N982" s="10"/>
      <c r="O982" s="10"/>
      <c r="P982" s="8"/>
      <c r="Q982" s="9"/>
    </row>
    <row r="983" spans="2:17" x14ac:dyDescent="0.2">
      <c r="B983" s="7"/>
      <c r="C983" s="8"/>
      <c r="D983" s="9"/>
      <c r="E983" s="10"/>
      <c r="F983" s="8"/>
      <c r="G983" s="8"/>
      <c r="H983" s="9"/>
      <c r="I983" s="10"/>
      <c r="J983" s="8"/>
      <c r="K983" s="10"/>
      <c r="L983" s="10"/>
      <c r="M983" s="10"/>
      <c r="N983" s="10"/>
      <c r="O983" s="10"/>
      <c r="P983" s="8"/>
      <c r="Q983" s="9"/>
    </row>
    <row r="984" spans="2:17" x14ac:dyDescent="0.2">
      <c r="B984" s="7"/>
      <c r="C984" s="8"/>
      <c r="D984" s="9"/>
      <c r="E984" s="10"/>
      <c r="F984" s="8"/>
      <c r="G984" s="8"/>
      <c r="H984" s="9"/>
      <c r="I984" s="10"/>
      <c r="J984" s="8"/>
      <c r="K984" s="10"/>
      <c r="L984" s="10"/>
      <c r="M984" s="10"/>
      <c r="N984" s="10"/>
      <c r="O984" s="10"/>
      <c r="P984" s="8"/>
      <c r="Q984" s="9"/>
    </row>
    <row r="985" spans="2:17" x14ac:dyDescent="0.2">
      <c r="B985" s="7"/>
      <c r="C985" s="8"/>
      <c r="D985" s="9"/>
      <c r="E985" s="10"/>
      <c r="F985" s="8"/>
      <c r="G985" s="8"/>
      <c r="H985" s="9"/>
      <c r="I985" s="10"/>
      <c r="J985" s="8"/>
      <c r="K985" s="10"/>
      <c r="L985" s="10"/>
      <c r="M985" s="10"/>
      <c r="N985" s="10"/>
      <c r="O985" s="10"/>
      <c r="P985" s="8"/>
      <c r="Q985" s="9"/>
    </row>
    <row r="986" spans="2:17" x14ac:dyDescent="0.2">
      <c r="B986" s="7"/>
      <c r="C986" s="8"/>
      <c r="D986" s="9"/>
      <c r="E986" s="10"/>
      <c r="F986" s="8"/>
      <c r="G986" s="8"/>
      <c r="H986" s="9"/>
      <c r="I986" s="10"/>
      <c r="J986" s="8"/>
      <c r="K986" s="10"/>
      <c r="L986" s="10"/>
      <c r="M986" s="10"/>
      <c r="N986" s="10"/>
      <c r="O986" s="10"/>
      <c r="P986" s="8"/>
      <c r="Q986" s="9"/>
    </row>
    <row r="987" spans="2:17" x14ac:dyDescent="0.2">
      <c r="B987" s="7"/>
      <c r="C987" s="8"/>
      <c r="D987" s="9"/>
      <c r="E987" s="10"/>
      <c r="F987" s="8"/>
      <c r="G987" s="8"/>
      <c r="H987" s="9"/>
      <c r="I987" s="10"/>
      <c r="J987" s="8"/>
      <c r="K987" s="10"/>
      <c r="L987" s="10"/>
      <c r="M987" s="10"/>
      <c r="N987" s="10"/>
      <c r="O987" s="10"/>
      <c r="P987" s="8"/>
      <c r="Q987" s="9"/>
    </row>
    <row r="988" spans="2:17" x14ac:dyDescent="0.2">
      <c r="B988" s="7"/>
      <c r="C988" s="8"/>
      <c r="D988" s="9"/>
      <c r="E988" s="10"/>
      <c r="F988" s="8"/>
      <c r="G988" s="8"/>
      <c r="H988" s="9"/>
      <c r="I988" s="10"/>
      <c r="J988" s="8"/>
      <c r="K988" s="10"/>
      <c r="L988" s="10"/>
      <c r="M988" s="10"/>
      <c r="N988" s="10"/>
      <c r="O988" s="10"/>
      <c r="P988" s="8"/>
      <c r="Q988" s="9"/>
    </row>
    <row r="989" spans="2:17" x14ac:dyDescent="0.2">
      <c r="B989" s="7"/>
      <c r="C989" s="8"/>
      <c r="D989" s="9"/>
      <c r="E989" s="10"/>
      <c r="F989" s="8"/>
      <c r="G989" s="8"/>
      <c r="H989" s="9"/>
      <c r="I989" s="10"/>
      <c r="J989" s="8"/>
      <c r="K989" s="10"/>
      <c r="L989" s="10"/>
      <c r="M989" s="10"/>
      <c r="N989" s="10"/>
      <c r="O989" s="10"/>
      <c r="P989" s="8"/>
      <c r="Q989" s="9"/>
    </row>
    <row r="990" spans="2:17" x14ac:dyDescent="0.2">
      <c r="B990" s="7"/>
      <c r="C990" s="8"/>
      <c r="D990" s="9"/>
      <c r="E990" s="10"/>
      <c r="F990" s="8"/>
      <c r="G990" s="8"/>
      <c r="H990" s="9"/>
      <c r="I990" s="10"/>
      <c r="J990" s="8"/>
      <c r="K990" s="10"/>
      <c r="L990" s="10"/>
      <c r="M990" s="10"/>
      <c r="N990" s="10"/>
      <c r="O990" s="10"/>
      <c r="P990" s="8"/>
      <c r="Q990" s="9"/>
    </row>
    <row r="991" spans="2:17" x14ac:dyDescent="0.2">
      <c r="B991" s="7"/>
      <c r="C991" s="8"/>
      <c r="D991" s="9"/>
      <c r="E991" s="10"/>
      <c r="F991" s="8"/>
      <c r="G991" s="8"/>
      <c r="H991" s="9"/>
      <c r="I991" s="10"/>
      <c r="J991" s="8"/>
      <c r="K991" s="10"/>
      <c r="L991" s="10"/>
      <c r="M991" s="10"/>
      <c r="N991" s="10"/>
      <c r="O991" s="10"/>
      <c r="P991" s="8"/>
      <c r="Q991" s="9"/>
    </row>
    <row r="992" spans="2:17" x14ac:dyDescent="0.2">
      <c r="B992" s="7"/>
      <c r="C992" s="8"/>
      <c r="D992" s="9"/>
      <c r="E992" s="10"/>
      <c r="F992" s="8"/>
      <c r="G992" s="8"/>
      <c r="H992" s="9"/>
      <c r="I992" s="10"/>
      <c r="J992" s="8"/>
      <c r="K992" s="10"/>
      <c r="L992" s="10"/>
      <c r="M992" s="10"/>
      <c r="N992" s="10"/>
      <c r="O992" s="10"/>
      <c r="P992" s="8"/>
      <c r="Q992" s="9"/>
    </row>
    <row r="993" spans="2:17" x14ac:dyDescent="0.2">
      <c r="B993" s="7"/>
      <c r="C993" s="8"/>
      <c r="D993" s="9"/>
      <c r="E993" s="10"/>
      <c r="F993" s="8"/>
      <c r="G993" s="8"/>
      <c r="H993" s="9"/>
      <c r="I993" s="10"/>
      <c r="J993" s="8"/>
      <c r="K993" s="10"/>
      <c r="L993" s="10"/>
      <c r="M993" s="10"/>
      <c r="N993" s="10"/>
      <c r="O993" s="10"/>
      <c r="P993" s="8"/>
      <c r="Q993" s="9"/>
    </row>
    <row r="994" spans="2:17" x14ac:dyDescent="0.2">
      <c r="B994" s="7"/>
      <c r="C994" s="8"/>
      <c r="D994" s="9"/>
      <c r="E994" s="10"/>
      <c r="F994" s="8"/>
      <c r="G994" s="8"/>
      <c r="H994" s="9"/>
      <c r="I994" s="10"/>
      <c r="J994" s="8"/>
      <c r="K994" s="10"/>
      <c r="L994" s="10"/>
      <c r="M994" s="10"/>
      <c r="N994" s="10"/>
      <c r="O994" s="10"/>
      <c r="P994" s="8"/>
      <c r="Q994" s="9"/>
    </row>
    <row r="995" spans="2:17" x14ac:dyDescent="0.2">
      <c r="B995" s="7"/>
      <c r="C995" s="8"/>
      <c r="D995" s="9"/>
      <c r="E995" s="10"/>
      <c r="F995" s="8"/>
      <c r="G995" s="8"/>
      <c r="H995" s="9"/>
      <c r="I995" s="10"/>
      <c r="J995" s="8"/>
      <c r="K995" s="10"/>
      <c r="L995" s="10"/>
      <c r="M995" s="10"/>
      <c r="N995" s="10"/>
      <c r="O995" s="10"/>
      <c r="P995" s="8"/>
      <c r="Q995" s="9"/>
    </row>
    <row r="996" spans="2:17" x14ac:dyDescent="0.2">
      <c r="B996" s="7"/>
      <c r="C996" s="8"/>
      <c r="D996" s="9"/>
      <c r="E996" s="10"/>
      <c r="F996" s="8"/>
      <c r="G996" s="8"/>
      <c r="H996" s="9"/>
      <c r="I996" s="10"/>
      <c r="J996" s="8"/>
      <c r="K996" s="10"/>
      <c r="L996" s="10"/>
      <c r="M996" s="10"/>
      <c r="N996" s="10"/>
      <c r="O996" s="10"/>
      <c r="P996" s="8"/>
      <c r="Q996" s="9"/>
    </row>
    <row r="997" spans="2:17" x14ac:dyDescent="0.2">
      <c r="B997" s="7"/>
      <c r="C997" s="8"/>
      <c r="D997" s="9"/>
      <c r="E997" s="10"/>
      <c r="F997" s="8"/>
      <c r="G997" s="8"/>
      <c r="H997" s="9"/>
      <c r="I997" s="10"/>
      <c r="J997" s="8"/>
      <c r="K997" s="10"/>
      <c r="L997" s="10"/>
      <c r="M997" s="10"/>
      <c r="N997" s="10"/>
      <c r="O997" s="10"/>
      <c r="P997" s="8"/>
      <c r="Q997" s="9"/>
    </row>
    <row r="998" spans="2:17" x14ac:dyDescent="0.2">
      <c r="B998" s="7"/>
      <c r="C998" s="8"/>
      <c r="D998" s="9"/>
      <c r="E998" s="10"/>
      <c r="F998" s="8"/>
      <c r="G998" s="8"/>
      <c r="H998" s="9"/>
      <c r="I998" s="10"/>
      <c r="J998" s="8"/>
      <c r="K998" s="10"/>
      <c r="L998" s="10"/>
      <c r="M998" s="10"/>
      <c r="N998" s="10"/>
      <c r="O998" s="10"/>
      <c r="P998" s="8"/>
      <c r="Q998" s="9"/>
    </row>
    <row r="999" spans="2:17" x14ac:dyDescent="0.2">
      <c r="B999" s="7"/>
      <c r="C999" s="8"/>
      <c r="D999" s="9"/>
      <c r="E999" s="10"/>
      <c r="F999" s="8"/>
      <c r="G999" s="8"/>
      <c r="H999" s="9"/>
      <c r="I999" s="10"/>
      <c r="J999" s="8"/>
      <c r="K999" s="10"/>
      <c r="L999" s="10"/>
      <c r="M999" s="10"/>
      <c r="N999" s="10"/>
      <c r="O999" s="10"/>
      <c r="P999" s="8"/>
      <c r="Q999" s="9"/>
    </row>
    <row r="1000" spans="2:17" x14ac:dyDescent="0.2">
      <c r="B1000" s="7"/>
      <c r="C1000" s="8"/>
      <c r="D1000" s="9"/>
      <c r="E1000" s="10"/>
      <c r="F1000" s="8"/>
      <c r="G1000" s="8"/>
      <c r="H1000" s="9"/>
      <c r="I1000" s="10"/>
      <c r="J1000" s="8"/>
      <c r="K1000" s="10"/>
      <c r="L1000" s="10"/>
      <c r="M1000" s="10"/>
      <c r="N1000" s="10"/>
      <c r="O1000" s="10"/>
      <c r="P1000" s="8"/>
      <c r="Q1000" s="9"/>
    </row>
    <row r="1001" spans="2:17" x14ac:dyDescent="0.2">
      <c r="B1001" s="7"/>
      <c r="C1001" s="8"/>
      <c r="D1001" s="9"/>
      <c r="E1001" s="10"/>
      <c r="F1001" s="8"/>
      <c r="G1001" s="8"/>
      <c r="H1001" s="9"/>
      <c r="I1001" s="10"/>
      <c r="J1001" s="8"/>
      <c r="K1001" s="10"/>
      <c r="L1001" s="10"/>
      <c r="M1001" s="10"/>
      <c r="N1001" s="10"/>
      <c r="O1001" s="10"/>
      <c r="P1001" s="8"/>
      <c r="Q1001" s="9"/>
    </row>
    <row r="1002" spans="2:17" x14ac:dyDescent="0.2">
      <c r="B1002" s="7"/>
      <c r="C1002" s="8"/>
      <c r="D1002" s="9"/>
      <c r="E1002" s="10"/>
      <c r="F1002" s="8"/>
      <c r="G1002" s="8"/>
      <c r="H1002" s="9"/>
      <c r="I1002" s="10"/>
      <c r="J1002" s="8"/>
      <c r="K1002" s="10"/>
      <c r="L1002" s="10"/>
      <c r="M1002" s="10"/>
      <c r="N1002" s="10"/>
      <c r="O1002" s="10"/>
      <c r="P1002" s="8"/>
      <c r="Q1002" s="9"/>
    </row>
    <row r="1003" spans="2:17" x14ac:dyDescent="0.2">
      <c r="B1003" s="7"/>
      <c r="C1003" s="8"/>
      <c r="D1003" s="9"/>
      <c r="E1003" s="10"/>
      <c r="F1003" s="8"/>
      <c r="G1003" s="8"/>
      <c r="H1003" s="9"/>
      <c r="I1003" s="10"/>
      <c r="J1003" s="8"/>
      <c r="K1003" s="10"/>
      <c r="L1003" s="10"/>
      <c r="M1003" s="10"/>
      <c r="N1003" s="10"/>
      <c r="O1003" s="10"/>
      <c r="P1003" s="8"/>
      <c r="Q1003" s="9"/>
    </row>
    <row r="1004" spans="2:17" x14ac:dyDescent="0.2">
      <c r="B1004" s="7"/>
      <c r="C1004" s="8"/>
      <c r="D1004" s="9"/>
      <c r="E1004" s="10"/>
      <c r="F1004" s="8"/>
      <c r="G1004" s="8"/>
      <c r="H1004" s="9"/>
      <c r="I1004" s="10"/>
      <c r="J1004" s="8"/>
      <c r="K1004" s="10"/>
      <c r="L1004" s="10"/>
      <c r="M1004" s="10"/>
      <c r="N1004" s="10"/>
      <c r="O1004" s="10"/>
      <c r="P1004" s="8"/>
      <c r="Q1004" s="9"/>
    </row>
    <row r="1005" spans="2:17" x14ac:dyDescent="0.2">
      <c r="B1005" s="7"/>
      <c r="C1005" s="8"/>
      <c r="D1005" s="9"/>
      <c r="E1005" s="10"/>
      <c r="F1005" s="8"/>
      <c r="G1005" s="8"/>
      <c r="H1005" s="9"/>
      <c r="I1005" s="10"/>
      <c r="J1005" s="8"/>
      <c r="K1005" s="10"/>
      <c r="L1005" s="10"/>
      <c r="M1005" s="10"/>
      <c r="N1005" s="10"/>
      <c r="O1005" s="10"/>
      <c r="P1005" s="8"/>
      <c r="Q1005" s="9"/>
    </row>
    <row r="1006" spans="2:17" x14ac:dyDescent="0.2">
      <c r="B1006" s="7"/>
      <c r="C1006" s="8"/>
      <c r="D1006" s="9"/>
      <c r="E1006" s="10"/>
      <c r="F1006" s="8"/>
      <c r="G1006" s="8"/>
      <c r="H1006" s="9"/>
      <c r="I1006" s="10"/>
      <c r="J1006" s="8"/>
      <c r="K1006" s="10"/>
      <c r="L1006" s="10"/>
      <c r="M1006" s="10"/>
      <c r="N1006" s="10"/>
      <c r="O1006" s="10"/>
      <c r="P1006" s="8"/>
      <c r="Q1006" s="9"/>
    </row>
    <row r="1007" spans="2:17" x14ac:dyDescent="0.2">
      <c r="B1007" s="7"/>
      <c r="C1007" s="8"/>
      <c r="D1007" s="9"/>
      <c r="E1007" s="10"/>
      <c r="F1007" s="8"/>
      <c r="G1007" s="8"/>
      <c r="H1007" s="9"/>
      <c r="I1007" s="10"/>
      <c r="J1007" s="8"/>
      <c r="K1007" s="10"/>
      <c r="L1007" s="10"/>
      <c r="M1007" s="10"/>
      <c r="N1007" s="10"/>
      <c r="O1007" s="10"/>
      <c r="P1007" s="8"/>
      <c r="Q1007" s="9"/>
    </row>
    <row r="1008" spans="2:17" x14ac:dyDescent="0.2">
      <c r="B1008" s="7"/>
      <c r="C1008" s="8"/>
      <c r="D1008" s="9"/>
      <c r="E1008" s="10"/>
      <c r="F1008" s="8"/>
      <c r="G1008" s="8"/>
      <c r="H1008" s="9"/>
      <c r="I1008" s="10"/>
      <c r="J1008" s="8"/>
      <c r="K1008" s="10"/>
      <c r="L1008" s="10"/>
      <c r="M1008" s="10"/>
      <c r="N1008" s="10"/>
      <c r="O1008" s="10"/>
      <c r="P1008" s="8"/>
      <c r="Q1008" s="9"/>
    </row>
    <row r="1009" spans="2:17" x14ac:dyDescent="0.2">
      <c r="B1009" s="7"/>
      <c r="C1009" s="8"/>
      <c r="D1009" s="9"/>
      <c r="E1009" s="10"/>
      <c r="F1009" s="8"/>
      <c r="G1009" s="8"/>
      <c r="H1009" s="9"/>
      <c r="I1009" s="10"/>
      <c r="J1009" s="8"/>
      <c r="K1009" s="10"/>
      <c r="L1009" s="10"/>
      <c r="M1009" s="10"/>
      <c r="N1009" s="10"/>
      <c r="O1009" s="10"/>
      <c r="P1009" s="8"/>
      <c r="Q1009" s="9"/>
    </row>
    <row r="1010" spans="2:17" x14ac:dyDescent="0.2">
      <c r="B1010" s="7"/>
      <c r="C1010" s="8"/>
      <c r="D1010" s="9"/>
      <c r="E1010" s="10"/>
      <c r="F1010" s="8"/>
      <c r="G1010" s="8"/>
      <c r="H1010" s="9"/>
      <c r="I1010" s="10"/>
      <c r="J1010" s="8"/>
      <c r="K1010" s="10"/>
      <c r="L1010" s="10"/>
      <c r="M1010" s="10"/>
      <c r="N1010" s="10"/>
      <c r="O1010" s="10"/>
      <c r="P1010" s="8"/>
      <c r="Q1010" s="9"/>
    </row>
    <row r="1011" spans="2:17" x14ac:dyDescent="0.2">
      <c r="B1011" s="7"/>
      <c r="C1011" s="8"/>
      <c r="D1011" s="9"/>
      <c r="E1011" s="10"/>
      <c r="F1011" s="8"/>
      <c r="G1011" s="8"/>
      <c r="H1011" s="9"/>
      <c r="I1011" s="10"/>
      <c r="J1011" s="8"/>
      <c r="K1011" s="10"/>
      <c r="L1011" s="10"/>
      <c r="M1011" s="10"/>
      <c r="N1011" s="10"/>
      <c r="O1011" s="10"/>
      <c r="P1011" s="8"/>
      <c r="Q1011" s="9"/>
    </row>
    <row r="1012" spans="2:17" x14ac:dyDescent="0.2">
      <c r="B1012" s="7"/>
      <c r="C1012" s="8"/>
      <c r="D1012" s="9"/>
      <c r="E1012" s="10"/>
      <c r="F1012" s="8"/>
      <c r="G1012" s="8"/>
      <c r="H1012" s="9"/>
      <c r="I1012" s="10"/>
      <c r="J1012" s="8"/>
      <c r="K1012" s="10"/>
      <c r="L1012" s="10"/>
      <c r="M1012" s="10"/>
      <c r="N1012" s="10"/>
      <c r="O1012" s="10"/>
      <c r="P1012" s="8"/>
      <c r="Q1012" s="9"/>
    </row>
    <row r="1013" spans="2:17" x14ac:dyDescent="0.2">
      <c r="B1013" s="7"/>
      <c r="C1013" s="8"/>
      <c r="D1013" s="9"/>
      <c r="E1013" s="10"/>
      <c r="F1013" s="8"/>
      <c r="G1013" s="8"/>
      <c r="H1013" s="9"/>
      <c r="I1013" s="10"/>
      <c r="J1013" s="8"/>
      <c r="K1013" s="10"/>
      <c r="L1013" s="10"/>
      <c r="M1013" s="10"/>
      <c r="N1013" s="10"/>
      <c r="O1013" s="10"/>
      <c r="P1013" s="8"/>
      <c r="Q1013" s="9"/>
    </row>
    <row r="1014" spans="2:17" x14ac:dyDescent="0.2">
      <c r="B1014" s="7"/>
      <c r="C1014" s="8"/>
      <c r="D1014" s="9"/>
      <c r="E1014" s="10"/>
      <c r="F1014" s="8"/>
      <c r="G1014" s="8"/>
      <c r="H1014" s="9"/>
      <c r="I1014" s="10"/>
      <c r="J1014" s="8"/>
      <c r="K1014" s="10"/>
      <c r="L1014" s="10"/>
      <c r="M1014" s="10"/>
      <c r="N1014" s="10"/>
      <c r="O1014" s="10"/>
      <c r="P1014" s="8"/>
      <c r="Q1014" s="9"/>
    </row>
    <row r="1015" spans="2:17" x14ac:dyDescent="0.2">
      <c r="B1015" s="7"/>
      <c r="C1015" s="8"/>
      <c r="D1015" s="9"/>
      <c r="E1015" s="10"/>
      <c r="F1015" s="8"/>
      <c r="G1015" s="8"/>
      <c r="H1015" s="9"/>
      <c r="I1015" s="10"/>
      <c r="J1015" s="8"/>
      <c r="K1015" s="10"/>
      <c r="L1015" s="10"/>
      <c r="M1015" s="10"/>
      <c r="N1015" s="10"/>
      <c r="O1015" s="10"/>
      <c r="P1015" s="8"/>
      <c r="Q1015" s="9"/>
    </row>
    <row r="1016" spans="2:17" x14ac:dyDescent="0.2">
      <c r="B1016" s="7"/>
      <c r="C1016" s="8"/>
      <c r="D1016" s="9"/>
      <c r="E1016" s="10"/>
      <c r="F1016" s="8"/>
      <c r="G1016" s="8"/>
      <c r="H1016" s="9"/>
      <c r="I1016" s="10"/>
      <c r="J1016" s="8"/>
      <c r="K1016" s="10"/>
      <c r="L1016" s="10"/>
      <c r="M1016" s="10"/>
      <c r="N1016" s="10"/>
      <c r="O1016" s="10"/>
      <c r="P1016" s="8"/>
      <c r="Q1016" s="9"/>
    </row>
    <row r="1017" spans="2:17" x14ac:dyDescent="0.2">
      <c r="B1017" s="7"/>
      <c r="C1017" s="8"/>
      <c r="D1017" s="9"/>
      <c r="E1017" s="10"/>
      <c r="F1017" s="8"/>
      <c r="G1017" s="8"/>
      <c r="H1017" s="9"/>
      <c r="I1017" s="10"/>
      <c r="J1017" s="8"/>
      <c r="K1017" s="10"/>
      <c r="L1017" s="10"/>
      <c r="M1017" s="10"/>
      <c r="N1017" s="10"/>
      <c r="O1017" s="10"/>
      <c r="P1017" s="8"/>
      <c r="Q1017" s="9"/>
    </row>
    <row r="1018" spans="2:17" x14ac:dyDescent="0.2">
      <c r="B1018" s="7"/>
      <c r="C1018" s="8"/>
      <c r="D1018" s="9"/>
      <c r="E1018" s="10"/>
      <c r="F1018" s="8"/>
      <c r="G1018" s="8"/>
      <c r="H1018" s="9"/>
      <c r="I1018" s="10"/>
      <c r="J1018" s="8"/>
      <c r="K1018" s="10"/>
      <c r="L1018" s="10"/>
      <c r="M1018" s="10"/>
      <c r="N1018" s="10"/>
      <c r="O1018" s="10"/>
      <c r="P1018" s="8"/>
      <c r="Q1018" s="9"/>
    </row>
    <row r="1019" spans="2:17" x14ac:dyDescent="0.2">
      <c r="B1019" s="7"/>
      <c r="C1019" s="8"/>
      <c r="D1019" s="9"/>
      <c r="E1019" s="10"/>
      <c r="F1019" s="8"/>
      <c r="G1019" s="8"/>
      <c r="H1019" s="9"/>
      <c r="I1019" s="10"/>
      <c r="J1019" s="8"/>
      <c r="K1019" s="10"/>
      <c r="L1019" s="10"/>
      <c r="M1019" s="10"/>
      <c r="N1019" s="10"/>
      <c r="O1019" s="10"/>
      <c r="P1019" s="8"/>
      <c r="Q1019" s="9"/>
    </row>
    <row r="1020" spans="2:17" x14ac:dyDescent="0.2">
      <c r="B1020" s="7"/>
      <c r="C1020" s="8"/>
      <c r="D1020" s="9"/>
      <c r="E1020" s="10"/>
      <c r="F1020" s="8"/>
      <c r="G1020" s="8"/>
      <c r="H1020" s="9"/>
      <c r="I1020" s="10"/>
      <c r="J1020" s="8"/>
      <c r="K1020" s="10"/>
      <c r="L1020" s="10"/>
      <c r="M1020" s="10"/>
      <c r="N1020" s="10"/>
      <c r="O1020" s="10"/>
      <c r="P1020" s="8"/>
      <c r="Q1020" s="9"/>
    </row>
    <row r="1021" spans="2:17" x14ac:dyDescent="0.2">
      <c r="B1021" s="7"/>
      <c r="C1021" s="8"/>
      <c r="D1021" s="9"/>
      <c r="E1021" s="10"/>
      <c r="F1021" s="8"/>
      <c r="G1021" s="8"/>
      <c r="H1021" s="9"/>
      <c r="I1021" s="10"/>
      <c r="J1021" s="8"/>
      <c r="K1021" s="10"/>
      <c r="L1021" s="10"/>
      <c r="M1021" s="10"/>
      <c r="N1021" s="10"/>
      <c r="O1021" s="10"/>
      <c r="P1021" s="8"/>
      <c r="Q1021" s="9"/>
    </row>
    <row r="1022" spans="2:17" x14ac:dyDescent="0.2">
      <c r="B1022" s="7"/>
      <c r="C1022" s="8"/>
      <c r="D1022" s="9"/>
      <c r="E1022" s="10"/>
      <c r="F1022" s="8"/>
      <c r="G1022" s="8"/>
      <c r="H1022" s="9"/>
      <c r="I1022" s="10"/>
      <c r="J1022" s="8"/>
      <c r="K1022" s="10"/>
      <c r="L1022" s="10"/>
      <c r="M1022" s="10"/>
      <c r="N1022" s="10"/>
      <c r="O1022" s="10"/>
      <c r="P1022" s="8"/>
      <c r="Q1022" s="9"/>
    </row>
    <row r="1023" spans="2:17" x14ac:dyDescent="0.2">
      <c r="B1023" s="7"/>
      <c r="C1023" s="8"/>
      <c r="D1023" s="9"/>
      <c r="E1023" s="10"/>
      <c r="F1023" s="8"/>
      <c r="G1023" s="8"/>
      <c r="H1023" s="9"/>
      <c r="I1023" s="10"/>
      <c r="J1023" s="8"/>
      <c r="K1023" s="10"/>
      <c r="L1023" s="10"/>
      <c r="M1023" s="10"/>
      <c r="N1023" s="10"/>
      <c r="O1023" s="10"/>
      <c r="P1023" s="8"/>
      <c r="Q1023" s="9"/>
    </row>
    <row r="1024" spans="2:17" x14ac:dyDescent="0.2">
      <c r="B1024" s="7"/>
      <c r="C1024" s="8"/>
      <c r="D1024" s="9"/>
      <c r="E1024" s="10"/>
      <c r="F1024" s="8"/>
      <c r="G1024" s="8"/>
      <c r="H1024" s="9"/>
      <c r="I1024" s="10"/>
      <c r="J1024" s="8"/>
      <c r="K1024" s="10"/>
      <c r="L1024" s="10"/>
      <c r="M1024" s="10"/>
      <c r="N1024" s="10"/>
      <c r="O1024" s="10"/>
      <c r="P1024" s="8"/>
      <c r="Q1024" s="9"/>
    </row>
    <row r="1025" spans="2:17" x14ac:dyDescent="0.2">
      <c r="B1025" s="7"/>
      <c r="C1025" s="8"/>
      <c r="D1025" s="9"/>
      <c r="E1025" s="10"/>
      <c r="F1025" s="8"/>
      <c r="G1025" s="8"/>
      <c r="H1025" s="9"/>
      <c r="I1025" s="10"/>
      <c r="J1025" s="8"/>
      <c r="K1025" s="10"/>
      <c r="L1025" s="10"/>
      <c r="M1025" s="10"/>
      <c r="N1025" s="10"/>
      <c r="O1025" s="10"/>
      <c r="P1025" s="8"/>
      <c r="Q1025" s="9"/>
    </row>
    <row r="1026" spans="2:17" x14ac:dyDescent="0.2">
      <c r="B1026" s="7"/>
      <c r="C1026" s="8"/>
      <c r="D1026" s="9"/>
      <c r="E1026" s="10"/>
      <c r="F1026" s="8"/>
      <c r="G1026" s="8"/>
      <c r="H1026" s="9"/>
      <c r="I1026" s="10"/>
      <c r="J1026" s="8"/>
      <c r="K1026" s="10"/>
      <c r="L1026" s="10"/>
      <c r="M1026" s="10"/>
      <c r="N1026" s="10"/>
      <c r="O1026" s="10"/>
      <c r="P1026" s="8"/>
      <c r="Q1026" s="9"/>
    </row>
    <row r="1027" spans="2:17" x14ac:dyDescent="0.2">
      <c r="B1027" s="7"/>
      <c r="C1027" s="8"/>
      <c r="D1027" s="9"/>
      <c r="E1027" s="10"/>
      <c r="F1027" s="8"/>
      <c r="G1027" s="8"/>
      <c r="H1027" s="9"/>
      <c r="I1027" s="10"/>
      <c r="J1027" s="8"/>
      <c r="K1027" s="10"/>
      <c r="L1027" s="10"/>
      <c r="M1027" s="10"/>
      <c r="N1027" s="10"/>
      <c r="O1027" s="10"/>
      <c r="P1027" s="8"/>
      <c r="Q1027" s="9"/>
    </row>
    <row r="1028" spans="2:17" x14ac:dyDescent="0.2">
      <c r="B1028" s="7"/>
      <c r="C1028" s="8"/>
      <c r="D1028" s="9"/>
      <c r="E1028" s="10"/>
      <c r="F1028" s="8"/>
      <c r="G1028" s="8"/>
      <c r="H1028" s="9"/>
      <c r="I1028" s="10"/>
      <c r="J1028" s="8"/>
      <c r="K1028" s="10"/>
      <c r="L1028" s="10"/>
      <c r="M1028" s="10"/>
      <c r="N1028" s="10"/>
      <c r="O1028" s="10"/>
      <c r="P1028" s="8"/>
      <c r="Q1028" s="9"/>
    </row>
    <row r="1029" spans="2:17" x14ac:dyDescent="0.2">
      <c r="B1029" s="7"/>
      <c r="C1029" s="8"/>
      <c r="D1029" s="9"/>
      <c r="E1029" s="10"/>
      <c r="F1029" s="8"/>
      <c r="G1029" s="8"/>
      <c r="H1029" s="9"/>
      <c r="I1029" s="10"/>
      <c r="J1029" s="8"/>
      <c r="K1029" s="10"/>
      <c r="L1029" s="10"/>
      <c r="M1029" s="10"/>
      <c r="N1029" s="10"/>
      <c r="O1029" s="10"/>
      <c r="P1029" s="8"/>
      <c r="Q1029" s="9"/>
    </row>
    <row r="1030" spans="2:17" x14ac:dyDescent="0.2">
      <c r="B1030" s="7"/>
      <c r="C1030" s="8"/>
      <c r="D1030" s="9"/>
      <c r="E1030" s="10"/>
      <c r="F1030" s="8"/>
      <c r="G1030" s="8"/>
      <c r="H1030" s="9"/>
      <c r="I1030" s="10"/>
      <c r="J1030" s="8"/>
      <c r="K1030" s="10"/>
      <c r="L1030" s="10"/>
      <c r="M1030" s="10"/>
      <c r="N1030" s="10"/>
      <c r="O1030" s="10"/>
      <c r="P1030" s="8"/>
      <c r="Q1030" s="9"/>
    </row>
    <row r="1031" spans="2:17" x14ac:dyDescent="0.2">
      <c r="B1031" s="7"/>
      <c r="C1031" s="8"/>
      <c r="D1031" s="9"/>
      <c r="E1031" s="10"/>
      <c r="F1031" s="8"/>
      <c r="G1031" s="8"/>
      <c r="H1031" s="9"/>
      <c r="I1031" s="10"/>
      <c r="J1031" s="8"/>
      <c r="K1031" s="10"/>
      <c r="L1031" s="10"/>
      <c r="M1031" s="10"/>
      <c r="N1031" s="10"/>
      <c r="O1031" s="10"/>
      <c r="P1031" s="8"/>
      <c r="Q1031" s="9"/>
    </row>
    <row r="1032" spans="2:17" x14ac:dyDescent="0.2">
      <c r="B1032" s="7"/>
      <c r="C1032" s="8"/>
      <c r="D1032" s="9"/>
      <c r="E1032" s="10"/>
      <c r="F1032" s="8"/>
      <c r="G1032" s="8"/>
      <c r="H1032" s="9"/>
      <c r="I1032" s="10"/>
      <c r="J1032" s="8"/>
      <c r="K1032" s="10"/>
      <c r="L1032" s="10"/>
      <c r="M1032" s="10"/>
      <c r="N1032" s="10"/>
      <c r="O1032" s="10"/>
      <c r="P1032" s="8"/>
      <c r="Q1032" s="9"/>
    </row>
    <row r="1033" spans="2:17" x14ac:dyDescent="0.2">
      <c r="B1033" s="7"/>
      <c r="C1033" s="8"/>
      <c r="D1033" s="9"/>
      <c r="E1033" s="10"/>
      <c r="F1033" s="8"/>
      <c r="G1033" s="8"/>
      <c r="H1033" s="9"/>
      <c r="I1033" s="10"/>
      <c r="J1033" s="8"/>
      <c r="K1033" s="10"/>
      <c r="L1033" s="10"/>
      <c r="M1033" s="10"/>
      <c r="N1033" s="10"/>
      <c r="O1033" s="10"/>
      <c r="P1033" s="8"/>
      <c r="Q1033" s="9"/>
    </row>
    <row r="1034" spans="2:17" x14ac:dyDescent="0.2">
      <c r="B1034" s="7"/>
      <c r="C1034" s="8"/>
      <c r="D1034" s="9"/>
      <c r="E1034" s="10"/>
      <c r="F1034" s="8"/>
      <c r="G1034" s="8"/>
      <c r="H1034" s="9"/>
      <c r="I1034" s="10"/>
      <c r="J1034" s="8"/>
      <c r="K1034" s="10"/>
      <c r="L1034" s="10"/>
      <c r="M1034" s="10"/>
      <c r="N1034" s="10"/>
      <c r="O1034" s="10"/>
      <c r="P1034" s="8"/>
      <c r="Q1034" s="9"/>
    </row>
    <row r="1035" spans="2:17" x14ac:dyDescent="0.2">
      <c r="B1035" s="7"/>
      <c r="C1035" s="8"/>
      <c r="D1035" s="9"/>
      <c r="E1035" s="10"/>
      <c r="F1035" s="8"/>
      <c r="G1035" s="8"/>
      <c r="H1035" s="9"/>
      <c r="I1035" s="10"/>
      <c r="J1035" s="8"/>
      <c r="K1035" s="10"/>
      <c r="L1035" s="10"/>
      <c r="M1035" s="10"/>
      <c r="N1035" s="10"/>
      <c r="O1035" s="10"/>
      <c r="P1035" s="8"/>
      <c r="Q1035" s="9"/>
    </row>
    <row r="1036" spans="2:17" x14ac:dyDescent="0.2">
      <c r="B1036" s="7"/>
      <c r="C1036" s="8"/>
      <c r="D1036" s="9"/>
      <c r="E1036" s="10"/>
      <c r="F1036" s="8"/>
      <c r="G1036" s="8"/>
      <c r="H1036" s="9"/>
      <c r="I1036" s="10"/>
      <c r="J1036" s="8"/>
      <c r="K1036" s="10"/>
      <c r="L1036" s="10"/>
      <c r="M1036" s="10"/>
      <c r="N1036" s="10"/>
      <c r="O1036" s="10"/>
      <c r="P1036" s="8"/>
      <c r="Q1036" s="9"/>
    </row>
    <row r="1037" spans="2:17" x14ac:dyDescent="0.2">
      <c r="B1037" s="7"/>
      <c r="C1037" s="8"/>
      <c r="D1037" s="9"/>
      <c r="E1037" s="10"/>
      <c r="F1037" s="8"/>
      <c r="G1037" s="8"/>
      <c r="H1037" s="9"/>
      <c r="I1037" s="10"/>
      <c r="J1037" s="8"/>
      <c r="K1037" s="10"/>
      <c r="L1037" s="10"/>
      <c r="M1037" s="10"/>
      <c r="N1037" s="10"/>
      <c r="O1037" s="10"/>
      <c r="P1037" s="8"/>
      <c r="Q1037" s="9"/>
    </row>
    <row r="1038" spans="2:17" x14ac:dyDescent="0.2">
      <c r="B1038" s="7"/>
      <c r="C1038" s="8"/>
      <c r="D1038" s="9"/>
      <c r="E1038" s="10"/>
      <c r="F1038" s="8"/>
      <c r="G1038" s="8"/>
      <c r="H1038" s="9"/>
      <c r="I1038" s="10"/>
      <c r="J1038" s="8"/>
      <c r="K1038" s="10"/>
      <c r="L1038" s="10"/>
      <c r="M1038" s="10"/>
      <c r="N1038" s="10"/>
      <c r="O1038" s="10"/>
      <c r="P1038" s="8"/>
      <c r="Q1038" s="9"/>
    </row>
    <row r="1039" spans="2:17" x14ac:dyDescent="0.2">
      <c r="B1039" s="7"/>
      <c r="C1039" s="8"/>
      <c r="D1039" s="9"/>
      <c r="E1039" s="10"/>
      <c r="F1039" s="8"/>
      <c r="G1039" s="8"/>
      <c r="H1039" s="9"/>
      <c r="I1039" s="10"/>
      <c r="J1039" s="8"/>
      <c r="K1039" s="10"/>
      <c r="L1039" s="10"/>
      <c r="M1039" s="10"/>
      <c r="N1039" s="10"/>
      <c r="O1039" s="10"/>
      <c r="P1039" s="8"/>
      <c r="Q1039" s="9"/>
    </row>
    <row r="1040" spans="2:17" x14ac:dyDescent="0.2">
      <c r="B1040" s="7"/>
      <c r="C1040" s="8"/>
      <c r="D1040" s="9"/>
      <c r="E1040" s="10"/>
      <c r="F1040" s="8"/>
      <c r="G1040" s="8"/>
      <c r="H1040" s="9"/>
      <c r="I1040" s="10"/>
      <c r="J1040" s="8"/>
      <c r="K1040" s="10"/>
      <c r="L1040" s="10"/>
      <c r="M1040" s="10"/>
      <c r="N1040" s="10"/>
      <c r="O1040" s="10"/>
      <c r="P1040" s="8"/>
      <c r="Q1040" s="9"/>
    </row>
    <row r="1041" spans="2:17" x14ac:dyDescent="0.2">
      <c r="B1041" s="7"/>
      <c r="C1041" s="8"/>
      <c r="D1041" s="9"/>
      <c r="E1041" s="10"/>
      <c r="F1041" s="8"/>
      <c r="G1041" s="8"/>
      <c r="H1041" s="9"/>
      <c r="I1041" s="10"/>
      <c r="J1041" s="8"/>
      <c r="K1041" s="10"/>
      <c r="L1041" s="10"/>
      <c r="M1041" s="10"/>
      <c r="N1041" s="10"/>
      <c r="O1041" s="10"/>
      <c r="P1041" s="8"/>
      <c r="Q1041" s="9"/>
    </row>
    <row r="1042" spans="2:17" x14ac:dyDescent="0.2">
      <c r="B1042" s="7"/>
      <c r="C1042" s="8"/>
      <c r="D1042" s="9"/>
      <c r="E1042" s="10"/>
      <c r="F1042" s="8"/>
      <c r="G1042" s="8"/>
      <c r="H1042" s="9"/>
      <c r="I1042" s="10"/>
      <c r="J1042" s="8"/>
      <c r="K1042" s="10"/>
      <c r="L1042" s="10"/>
      <c r="M1042" s="10"/>
      <c r="N1042" s="10"/>
      <c r="O1042" s="10"/>
      <c r="P1042" s="8"/>
      <c r="Q1042" s="9"/>
    </row>
    <row r="1043" spans="2:17" x14ac:dyDescent="0.2">
      <c r="B1043" s="7"/>
      <c r="C1043" s="8"/>
      <c r="D1043" s="9"/>
      <c r="E1043" s="10"/>
      <c r="F1043" s="8"/>
      <c r="G1043" s="8"/>
      <c r="H1043" s="9"/>
      <c r="I1043" s="10"/>
      <c r="J1043" s="8"/>
      <c r="K1043" s="10"/>
      <c r="L1043" s="10"/>
      <c r="M1043" s="10"/>
      <c r="N1043" s="10"/>
      <c r="O1043" s="10"/>
      <c r="P1043" s="8"/>
      <c r="Q1043" s="9"/>
    </row>
    <row r="1044" spans="2:17" x14ac:dyDescent="0.2">
      <c r="B1044" s="7"/>
      <c r="C1044" s="8"/>
      <c r="D1044" s="9"/>
      <c r="E1044" s="10"/>
      <c r="F1044" s="8"/>
      <c r="G1044" s="8"/>
      <c r="H1044" s="9"/>
      <c r="I1044" s="10"/>
      <c r="J1044" s="8"/>
      <c r="K1044" s="10"/>
      <c r="L1044" s="10"/>
      <c r="M1044" s="10"/>
      <c r="N1044" s="10"/>
      <c r="O1044" s="10"/>
      <c r="P1044" s="8"/>
      <c r="Q1044" s="9"/>
    </row>
    <row r="1045" spans="2:17" x14ac:dyDescent="0.2">
      <c r="B1045" s="7"/>
      <c r="C1045" s="8"/>
      <c r="D1045" s="9"/>
      <c r="E1045" s="10"/>
      <c r="F1045" s="8"/>
      <c r="G1045" s="8"/>
      <c r="H1045" s="9"/>
      <c r="I1045" s="10"/>
      <c r="J1045" s="8"/>
      <c r="K1045" s="10"/>
      <c r="L1045" s="10"/>
      <c r="M1045" s="10"/>
      <c r="N1045" s="10"/>
      <c r="O1045" s="10"/>
      <c r="P1045" s="8"/>
      <c r="Q1045" s="9"/>
    </row>
    <row r="1046" spans="2:17" x14ac:dyDescent="0.2">
      <c r="B1046" s="7"/>
      <c r="C1046" s="8"/>
      <c r="D1046" s="9"/>
      <c r="E1046" s="10"/>
      <c r="F1046" s="8"/>
      <c r="G1046" s="8"/>
      <c r="H1046" s="9"/>
      <c r="I1046" s="10"/>
      <c r="J1046" s="8"/>
      <c r="K1046" s="10"/>
      <c r="L1046" s="10"/>
      <c r="M1046" s="10"/>
      <c r="N1046" s="10"/>
      <c r="O1046" s="10"/>
      <c r="P1046" s="8"/>
      <c r="Q1046" s="9"/>
    </row>
    <row r="1047" spans="2:17" x14ac:dyDescent="0.2">
      <c r="B1047" s="7"/>
      <c r="C1047" s="8"/>
      <c r="D1047" s="9"/>
      <c r="E1047" s="10"/>
      <c r="F1047" s="8"/>
      <c r="G1047" s="8"/>
      <c r="H1047" s="9"/>
      <c r="I1047" s="10"/>
      <c r="J1047" s="8"/>
      <c r="K1047" s="10"/>
      <c r="L1047" s="10"/>
      <c r="M1047" s="10"/>
      <c r="N1047" s="10"/>
      <c r="O1047" s="10"/>
      <c r="P1047" s="8"/>
      <c r="Q1047" s="9"/>
    </row>
    <row r="1048" spans="2:17" x14ac:dyDescent="0.2">
      <c r="B1048" s="7"/>
      <c r="C1048" s="8"/>
      <c r="D1048" s="9"/>
      <c r="E1048" s="10"/>
      <c r="F1048" s="8"/>
      <c r="G1048" s="8"/>
      <c r="H1048" s="9"/>
      <c r="I1048" s="10"/>
      <c r="J1048" s="8"/>
      <c r="K1048" s="10"/>
      <c r="L1048" s="10"/>
      <c r="M1048" s="10"/>
      <c r="N1048" s="10"/>
      <c r="O1048" s="10"/>
      <c r="P1048" s="8"/>
      <c r="Q1048" s="9"/>
    </row>
    <row r="1049" spans="2:17" x14ac:dyDescent="0.2">
      <c r="B1049" s="7"/>
      <c r="C1049" s="8"/>
      <c r="D1049" s="9"/>
      <c r="E1049" s="10"/>
      <c r="F1049" s="8"/>
      <c r="G1049" s="8"/>
      <c r="H1049" s="9"/>
      <c r="I1049" s="10"/>
      <c r="J1049" s="8"/>
      <c r="K1049" s="10"/>
      <c r="L1049" s="10"/>
      <c r="M1049" s="10"/>
      <c r="N1049" s="10"/>
      <c r="O1049" s="10"/>
      <c r="P1049" s="8"/>
      <c r="Q1049" s="9"/>
    </row>
    <row r="1050" spans="2:17" x14ac:dyDescent="0.2">
      <c r="B1050" s="7"/>
      <c r="C1050" s="8"/>
      <c r="D1050" s="9"/>
      <c r="E1050" s="10"/>
      <c r="F1050" s="8"/>
      <c r="G1050" s="8"/>
      <c r="H1050" s="9"/>
      <c r="I1050" s="10"/>
      <c r="J1050" s="8"/>
      <c r="K1050" s="10"/>
      <c r="L1050" s="10"/>
      <c r="M1050" s="10"/>
      <c r="N1050" s="10"/>
      <c r="O1050" s="10"/>
      <c r="P1050" s="8"/>
      <c r="Q1050" s="9"/>
    </row>
    <row r="1051" spans="2:17" x14ac:dyDescent="0.2">
      <c r="B1051" s="7"/>
      <c r="C1051" s="8"/>
      <c r="D1051" s="9"/>
      <c r="E1051" s="10"/>
      <c r="F1051" s="8"/>
      <c r="G1051" s="8"/>
      <c r="H1051" s="9"/>
      <c r="I1051" s="10"/>
      <c r="J1051" s="8"/>
      <c r="K1051" s="10"/>
      <c r="L1051" s="10"/>
      <c r="M1051" s="10"/>
      <c r="N1051" s="10"/>
      <c r="O1051" s="10"/>
      <c r="P1051" s="8"/>
      <c r="Q1051" s="9"/>
    </row>
    <row r="1052" spans="2:17" x14ac:dyDescent="0.2">
      <c r="B1052" s="7"/>
      <c r="C1052" s="8"/>
      <c r="D1052" s="9"/>
      <c r="E1052" s="10"/>
      <c r="F1052" s="8"/>
      <c r="G1052" s="8"/>
      <c r="H1052" s="9"/>
      <c r="I1052" s="10"/>
      <c r="J1052" s="8"/>
      <c r="K1052" s="10"/>
      <c r="L1052" s="10"/>
      <c r="M1052" s="10"/>
      <c r="N1052" s="10"/>
      <c r="O1052" s="10"/>
      <c r="P1052" s="8"/>
      <c r="Q1052" s="9"/>
    </row>
    <row r="1053" spans="2:17" x14ac:dyDescent="0.2">
      <c r="B1053" s="7"/>
      <c r="C1053" s="8"/>
      <c r="D1053" s="9"/>
      <c r="E1053" s="10"/>
      <c r="F1053" s="8"/>
      <c r="G1053" s="8"/>
      <c r="H1053" s="9"/>
      <c r="I1053" s="10"/>
      <c r="J1053" s="8"/>
      <c r="K1053" s="10"/>
      <c r="L1053" s="10"/>
      <c r="M1053" s="10"/>
      <c r="N1053" s="10"/>
      <c r="O1053" s="10"/>
      <c r="P1053" s="8"/>
      <c r="Q1053" s="9"/>
    </row>
    <row r="1054" spans="2:17" x14ac:dyDescent="0.2">
      <c r="B1054" s="7"/>
      <c r="C1054" s="8"/>
      <c r="D1054" s="9"/>
      <c r="E1054" s="10"/>
      <c r="F1054" s="8"/>
      <c r="G1054" s="8"/>
      <c r="H1054" s="9"/>
      <c r="I1054" s="10"/>
      <c r="J1054" s="8"/>
      <c r="K1054" s="10"/>
      <c r="L1054" s="10"/>
      <c r="M1054" s="10"/>
      <c r="N1054" s="10"/>
      <c r="O1054" s="10"/>
      <c r="P1054" s="8"/>
      <c r="Q1054" s="9"/>
    </row>
    <row r="1055" spans="2:17" x14ac:dyDescent="0.2">
      <c r="B1055" s="7"/>
      <c r="C1055" s="8"/>
      <c r="D1055" s="9"/>
      <c r="E1055" s="10"/>
      <c r="F1055" s="8"/>
      <c r="G1055" s="8"/>
      <c r="H1055" s="9"/>
      <c r="I1055" s="10"/>
      <c r="J1055" s="8"/>
      <c r="K1055" s="10"/>
      <c r="L1055" s="10"/>
      <c r="M1055" s="10"/>
      <c r="N1055" s="10"/>
      <c r="O1055" s="10"/>
      <c r="P1055" s="8"/>
      <c r="Q1055" s="9"/>
    </row>
    <row r="1056" spans="2:17" x14ac:dyDescent="0.2">
      <c r="B1056" s="7"/>
      <c r="C1056" s="8"/>
      <c r="D1056" s="9"/>
      <c r="E1056" s="10"/>
      <c r="F1056" s="8"/>
      <c r="G1056" s="8"/>
      <c r="H1056" s="9"/>
      <c r="I1056" s="10"/>
      <c r="J1056" s="8"/>
      <c r="K1056" s="10"/>
      <c r="L1056" s="10"/>
      <c r="M1056" s="10"/>
      <c r="N1056" s="10"/>
      <c r="O1056" s="10"/>
      <c r="P1056" s="8"/>
      <c r="Q1056" s="9"/>
    </row>
    <row r="1057" spans="2:17" x14ac:dyDescent="0.2">
      <c r="B1057" s="7"/>
      <c r="C1057" s="8"/>
      <c r="D1057" s="9"/>
      <c r="E1057" s="10"/>
      <c r="F1057" s="8"/>
      <c r="G1057" s="8"/>
      <c r="H1057" s="9"/>
      <c r="I1057" s="10"/>
      <c r="J1057" s="8"/>
      <c r="K1057" s="10"/>
      <c r="L1057" s="10"/>
      <c r="M1057" s="10"/>
      <c r="N1057" s="10"/>
      <c r="O1057" s="10"/>
      <c r="P1057" s="8"/>
      <c r="Q1057" s="9"/>
    </row>
    <row r="1058" spans="2:17" x14ac:dyDescent="0.2">
      <c r="B1058" s="7"/>
      <c r="C1058" s="8"/>
      <c r="D1058" s="9"/>
      <c r="E1058" s="10"/>
      <c r="F1058" s="8"/>
      <c r="G1058" s="8"/>
      <c r="H1058" s="9"/>
      <c r="I1058" s="10"/>
      <c r="J1058" s="8"/>
      <c r="K1058" s="10"/>
      <c r="L1058" s="10"/>
      <c r="M1058" s="10"/>
      <c r="N1058" s="10"/>
      <c r="O1058" s="10"/>
      <c r="P1058" s="8"/>
      <c r="Q1058" s="9"/>
    </row>
    <row r="1059" spans="2:17" x14ac:dyDescent="0.2">
      <c r="B1059" s="7"/>
      <c r="C1059" s="8"/>
      <c r="D1059" s="9"/>
      <c r="E1059" s="10"/>
      <c r="F1059" s="8"/>
      <c r="G1059" s="8"/>
      <c r="H1059" s="9"/>
      <c r="I1059" s="10"/>
      <c r="J1059" s="8"/>
      <c r="K1059" s="10"/>
      <c r="L1059" s="10"/>
      <c r="M1059" s="10"/>
      <c r="N1059" s="10"/>
      <c r="O1059" s="10"/>
      <c r="P1059" s="8"/>
      <c r="Q1059" s="9"/>
    </row>
    <row r="1060" spans="2:17" x14ac:dyDescent="0.2">
      <c r="B1060" s="7"/>
      <c r="C1060" s="8"/>
      <c r="D1060" s="9"/>
      <c r="E1060" s="10"/>
      <c r="F1060" s="8"/>
      <c r="G1060" s="8"/>
      <c r="H1060" s="9"/>
      <c r="I1060" s="10"/>
      <c r="J1060" s="8"/>
      <c r="K1060" s="10"/>
      <c r="L1060" s="10"/>
      <c r="M1060" s="10"/>
      <c r="N1060" s="10"/>
      <c r="O1060" s="10"/>
      <c r="P1060" s="8"/>
      <c r="Q1060" s="9"/>
    </row>
    <row r="1061" spans="2:17" x14ac:dyDescent="0.2">
      <c r="B1061" s="7"/>
      <c r="C1061" s="8"/>
      <c r="D1061" s="9"/>
      <c r="E1061" s="10"/>
      <c r="F1061" s="8"/>
      <c r="G1061" s="8"/>
      <c r="H1061" s="9"/>
      <c r="I1061" s="10"/>
      <c r="J1061" s="8"/>
      <c r="K1061" s="10"/>
      <c r="L1061" s="10"/>
      <c r="M1061" s="10"/>
      <c r="N1061" s="10"/>
      <c r="O1061" s="10"/>
      <c r="P1061" s="8"/>
      <c r="Q1061" s="9"/>
    </row>
    <row r="1062" spans="2:17" x14ac:dyDescent="0.2">
      <c r="B1062" s="7"/>
      <c r="C1062" s="8"/>
      <c r="D1062" s="9"/>
      <c r="E1062" s="10"/>
      <c r="F1062" s="8"/>
      <c r="G1062" s="8"/>
      <c r="H1062" s="9"/>
      <c r="I1062" s="10"/>
      <c r="J1062" s="8"/>
      <c r="K1062" s="10"/>
      <c r="L1062" s="10"/>
      <c r="M1062" s="10"/>
      <c r="N1062" s="10"/>
      <c r="O1062" s="10"/>
      <c r="P1062" s="8"/>
      <c r="Q1062" s="9"/>
    </row>
    <row r="1063" spans="2:17" x14ac:dyDescent="0.2">
      <c r="B1063" s="7"/>
      <c r="C1063" s="8"/>
      <c r="D1063" s="9"/>
      <c r="E1063" s="10"/>
      <c r="F1063" s="8"/>
      <c r="G1063" s="8"/>
      <c r="H1063" s="9"/>
      <c r="I1063" s="10"/>
      <c r="J1063" s="8"/>
      <c r="K1063" s="10"/>
      <c r="L1063" s="10"/>
      <c r="M1063" s="10"/>
      <c r="N1063" s="10"/>
      <c r="O1063" s="10"/>
      <c r="P1063" s="8"/>
      <c r="Q1063" s="9"/>
    </row>
    <row r="1064" spans="2:17" x14ac:dyDescent="0.2">
      <c r="B1064" s="7"/>
      <c r="C1064" s="8"/>
      <c r="D1064" s="9"/>
      <c r="E1064" s="10"/>
      <c r="F1064" s="8"/>
      <c r="G1064" s="8"/>
      <c r="H1064" s="9"/>
      <c r="I1064" s="10"/>
      <c r="J1064" s="8"/>
      <c r="K1064" s="10"/>
      <c r="L1064" s="10"/>
      <c r="M1064" s="10"/>
      <c r="N1064" s="10"/>
      <c r="O1064" s="10"/>
      <c r="P1064" s="8"/>
      <c r="Q1064" s="9"/>
    </row>
    <row r="1065" spans="2:17" x14ac:dyDescent="0.2">
      <c r="B1065" s="7"/>
      <c r="C1065" s="8"/>
      <c r="D1065" s="9"/>
      <c r="E1065" s="10"/>
      <c r="F1065" s="8"/>
      <c r="G1065" s="8"/>
      <c r="H1065" s="9"/>
      <c r="I1065" s="10"/>
      <c r="J1065" s="8"/>
      <c r="K1065" s="10"/>
      <c r="L1065" s="10"/>
      <c r="M1065" s="10"/>
      <c r="N1065" s="10"/>
      <c r="O1065" s="10"/>
      <c r="P1065" s="8"/>
      <c r="Q1065" s="9"/>
    </row>
    <row r="1066" spans="2:17" x14ac:dyDescent="0.2">
      <c r="B1066" s="7"/>
      <c r="C1066" s="8"/>
      <c r="D1066" s="9"/>
      <c r="E1066" s="10"/>
      <c r="F1066" s="8"/>
      <c r="G1066" s="8"/>
      <c r="H1066" s="9"/>
      <c r="I1066" s="10"/>
      <c r="J1066" s="8"/>
      <c r="K1066" s="10"/>
      <c r="L1066" s="10"/>
      <c r="M1066" s="10"/>
      <c r="N1066" s="10"/>
      <c r="O1066" s="10"/>
      <c r="P1066" s="8"/>
      <c r="Q1066" s="9"/>
    </row>
    <row r="1067" spans="2:17" x14ac:dyDescent="0.2">
      <c r="B1067" s="7"/>
      <c r="C1067" s="8"/>
      <c r="D1067" s="9"/>
      <c r="E1067" s="10"/>
      <c r="F1067" s="8"/>
      <c r="G1067" s="8"/>
      <c r="H1067" s="9"/>
      <c r="I1067" s="10"/>
      <c r="J1067" s="8"/>
      <c r="K1067" s="10"/>
      <c r="L1067" s="10"/>
      <c r="M1067" s="10"/>
      <c r="N1067" s="10"/>
      <c r="O1067" s="10"/>
      <c r="P1067" s="8"/>
      <c r="Q1067" s="9"/>
    </row>
    <row r="1068" spans="2:17" x14ac:dyDescent="0.2">
      <c r="B1068" s="7"/>
      <c r="C1068" s="8"/>
      <c r="D1068" s="9"/>
      <c r="E1068" s="10"/>
      <c r="F1068" s="8"/>
      <c r="G1068" s="8"/>
      <c r="H1068" s="9"/>
      <c r="I1068" s="10"/>
      <c r="J1068" s="8"/>
      <c r="K1068" s="10"/>
      <c r="L1068" s="10"/>
      <c r="M1068" s="10"/>
      <c r="N1068" s="10"/>
      <c r="O1068" s="10"/>
      <c r="P1068" s="8"/>
      <c r="Q1068" s="9"/>
    </row>
    <row r="1069" spans="2:17" x14ac:dyDescent="0.2">
      <c r="B1069" s="7"/>
      <c r="C1069" s="8"/>
      <c r="D1069" s="9"/>
      <c r="E1069" s="10"/>
      <c r="F1069" s="8"/>
      <c r="G1069" s="8"/>
      <c r="H1069" s="9"/>
      <c r="I1069" s="10"/>
      <c r="J1069" s="8"/>
      <c r="K1069" s="10"/>
      <c r="L1069" s="10"/>
      <c r="M1069" s="10"/>
      <c r="N1069" s="10"/>
      <c r="O1069" s="10"/>
      <c r="P1069" s="8"/>
      <c r="Q1069" s="9"/>
    </row>
    <row r="1070" spans="2:17" x14ac:dyDescent="0.2">
      <c r="B1070" s="7"/>
      <c r="C1070" s="8"/>
      <c r="D1070" s="9"/>
      <c r="E1070" s="10"/>
      <c r="F1070" s="8"/>
      <c r="G1070" s="8"/>
      <c r="H1070" s="9"/>
      <c r="I1070" s="10"/>
      <c r="J1070" s="8"/>
      <c r="K1070" s="10"/>
      <c r="L1070" s="10"/>
      <c r="M1070" s="10"/>
      <c r="N1070" s="10"/>
      <c r="O1070" s="10"/>
      <c r="P1070" s="8"/>
      <c r="Q1070" s="9"/>
    </row>
    <row r="1071" spans="2:17" x14ac:dyDescent="0.2">
      <c r="B1071" s="7"/>
      <c r="C1071" s="8"/>
      <c r="D1071" s="9"/>
      <c r="E1071" s="10"/>
      <c r="F1071" s="8"/>
      <c r="G1071" s="8"/>
      <c r="H1071" s="9"/>
      <c r="I1071" s="10"/>
      <c r="J1071" s="8"/>
      <c r="K1071" s="10"/>
      <c r="L1071" s="10"/>
      <c r="M1071" s="10"/>
      <c r="N1071" s="10"/>
      <c r="O1071" s="10"/>
      <c r="P1071" s="8"/>
      <c r="Q1071" s="9"/>
    </row>
    <row r="1072" spans="2:17" x14ac:dyDescent="0.2">
      <c r="B1072" s="7"/>
      <c r="C1072" s="8"/>
      <c r="D1072" s="9"/>
      <c r="E1072" s="10"/>
      <c r="F1072" s="8"/>
      <c r="G1072" s="8"/>
      <c r="H1072" s="9"/>
      <c r="I1072" s="10"/>
      <c r="J1072" s="8"/>
      <c r="K1072" s="10"/>
      <c r="L1072" s="10"/>
      <c r="M1072" s="10"/>
      <c r="N1072" s="10"/>
      <c r="O1072" s="10"/>
      <c r="P1072" s="8"/>
      <c r="Q1072" s="9"/>
    </row>
    <row r="1073" spans="2:17" x14ac:dyDescent="0.2">
      <c r="B1073" s="7"/>
      <c r="C1073" s="8"/>
      <c r="D1073" s="9"/>
      <c r="E1073" s="10"/>
      <c r="F1073" s="8"/>
      <c r="G1073" s="8"/>
      <c r="H1073" s="9"/>
      <c r="I1073" s="10"/>
      <c r="J1073" s="8"/>
      <c r="K1073" s="10"/>
      <c r="L1073" s="10"/>
      <c r="M1073" s="10"/>
      <c r="N1073" s="10"/>
      <c r="O1073" s="10"/>
      <c r="P1073" s="8"/>
      <c r="Q1073" s="9"/>
    </row>
    <row r="1074" spans="2:17" x14ac:dyDescent="0.2">
      <c r="B1074" s="7"/>
      <c r="C1074" s="8"/>
      <c r="D1074" s="9"/>
      <c r="E1074" s="10"/>
      <c r="F1074" s="8"/>
      <c r="G1074" s="8"/>
      <c r="H1074" s="9"/>
      <c r="I1074" s="10"/>
      <c r="J1074" s="8"/>
      <c r="K1074" s="10"/>
      <c r="L1074" s="10"/>
      <c r="M1074" s="10"/>
      <c r="N1074" s="10"/>
      <c r="O1074" s="10"/>
      <c r="P1074" s="8"/>
      <c r="Q1074" s="9"/>
    </row>
    <row r="1075" spans="2:17" x14ac:dyDescent="0.2">
      <c r="B1075" s="7"/>
      <c r="C1075" s="8"/>
      <c r="D1075" s="9"/>
      <c r="E1075" s="10"/>
      <c r="F1075" s="8"/>
      <c r="G1075" s="8"/>
      <c r="H1075" s="9"/>
      <c r="I1075" s="10"/>
      <c r="J1075" s="8"/>
      <c r="K1075" s="10"/>
      <c r="L1075" s="10"/>
      <c r="M1075" s="10"/>
      <c r="N1075" s="10"/>
      <c r="O1075" s="10"/>
      <c r="P1075" s="8"/>
      <c r="Q1075" s="9"/>
    </row>
    <row r="1076" spans="2:17" x14ac:dyDescent="0.2">
      <c r="B1076" s="7"/>
      <c r="C1076" s="8"/>
      <c r="D1076" s="9"/>
      <c r="E1076" s="10"/>
      <c r="F1076" s="8"/>
      <c r="G1076" s="8"/>
      <c r="H1076" s="9"/>
      <c r="I1076" s="10"/>
      <c r="J1076" s="8"/>
      <c r="K1076" s="10"/>
      <c r="L1076" s="10"/>
      <c r="M1076" s="10"/>
      <c r="N1076" s="10"/>
      <c r="O1076" s="10"/>
      <c r="P1076" s="8"/>
      <c r="Q1076" s="9"/>
    </row>
    <row r="1077" spans="2:17" x14ac:dyDescent="0.2">
      <c r="B1077" s="7"/>
      <c r="C1077" s="8"/>
      <c r="D1077" s="9"/>
      <c r="E1077" s="10"/>
      <c r="F1077" s="8"/>
      <c r="G1077" s="8"/>
      <c r="H1077" s="9"/>
      <c r="I1077" s="10"/>
      <c r="J1077" s="8"/>
      <c r="K1077" s="10"/>
      <c r="L1077" s="10"/>
      <c r="M1077" s="10"/>
      <c r="N1077" s="10"/>
      <c r="O1077" s="10"/>
      <c r="P1077" s="8"/>
      <c r="Q1077" s="9"/>
    </row>
    <row r="1078" spans="2:17" x14ac:dyDescent="0.2">
      <c r="B1078" s="7"/>
      <c r="C1078" s="8"/>
      <c r="D1078" s="9"/>
      <c r="E1078" s="10"/>
      <c r="F1078" s="8"/>
      <c r="G1078" s="8"/>
      <c r="H1078" s="9"/>
      <c r="I1078" s="10"/>
      <c r="J1078" s="8"/>
      <c r="K1078" s="10"/>
      <c r="L1078" s="10"/>
      <c r="M1078" s="10"/>
      <c r="N1078" s="10"/>
      <c r="O1078" s="10"/>
      <c r="P1078" s="8"/>
      <c r="Q1078" s="9"/>
    </row>
    <row r="1079" spans="2:17" x14ac:dyDescent="0.2">
      <c r="B1079" s="7"/>
      <c r="C1079" s="8"/>
      <c r="D1079" s="9"/>
      <c r="E1079" s="10"/>
      <c r="F1079" s="8"/>
      <c r="G1079" s="8"/>
      <c r="H1079" s="9"/>
      <c r="I1079" s="10"/>
      <c r="J1079" s="8"/>
      <c r="K1079" s="10"/>
      <c r="L1079" s="10"/>
      <c r="M1079" s="10"/>
      <c r="N1079" s="10"/>
      <c r="O1079" s="10"/>
      <c r="P1079" s="8"/>
      <c r="Q1079" s="9"/>
    </row>
    <row r="1080" spans="2:17" x14ac:dyDescent="0.2">
      <c r="B1080" s="7"/>
      <c r="C1080" s="8"/>
      <c r="D1080" s="9"/>
      <c r="E1080" s="10"/>
      <c r="F1080" s="8"/>
      <c r="G1080" s="8"/>
      <c r="H1080" s="9"/>
      <c r="I1080" s="10"/>
      <c r="J1080" s="8"/>
      <c r="K1080" s="10"/>
      <c r="L1080" s="10"/>
      <c r="M1080" s="10"/>
      <c r="N1080" s="10"/>
      <c r="O1080" s="10"/>
      <c r="P1080" s="8"/>
      <c r="Q1080" s="9"/>
    </row>
    <row r="1081" spans="2:17" x14ac:dyDescent="0.2">
      <c r="B1081" s="7"/>
      <c r="C1081" s="8"/>
      <c r="D1081" s="9"/>
      <c r="E1081" s="10"/>
      <c r="F1081" s="8"/>
      <c r="G1081" s="8"/>
      <c r="H1081" s="9"/>
      <c r="I1081" s="10"/>
      <c r="J1081" s="8"/>
      <c r="K1081" s="10"/>
      <c r="L1081" s="10"/>
      <c r="M1081" s="10"/>
      <c r="N1081" s="10"/>
      <c r="O1081" s="10"/>
      <c r="P1081" s="8"/>
      <c r="Q1081" s="9"/>
    </row>
    <row r="1082" spans="2:17" x14ac:dyDescent="0.2">
      <c r="B1082" s="7"/>
      <c r="C1082" s="8"/>
      <c r="D1082" s="9"/>
      <c r="E1082" s="10"/>
      <c r="F1082" s="8"/>
      <c r="G1082" s="8"/>
      <c r="H1082" s="9"/>
      <c r="I1082" s="10"/>
      <c r="J1082" s="8"/>
      <c r="K1082" s="10"/>
      <c r="L1082" s="10"/>
      <c r="M1082" s="10"/>
      <c r="N1082" s="10"/>
      <c r="O1082" s="10"/>
      <c r="P1082" s="8"/>
      <c r="Q1082" s="9"/>
    </row>
    <row r="1083" spans="2:17" x14ac:dyDescent="0.2">
      <c r="B1083" s="7"/>
      <c r="C1083" s="8"/>
      <c r="D1083" s="9"/>
      <c r="E1083" s="10"/>
      <c r="F1083" s="8"/>
      <c r="G1083" s="8"/>
      <c r="H1083" s="9"/>
      <c r="I1083" s="10"/>
      <c r="J1083" s="8"/>
      <c r="K1083" s="10"/>
      <c r="L1083" s="10"/>
      <c r="M1083" s="10"/>
      <c r="N1083" s="10"/>
      <c r="O1083" s="10"/>
      <c r="P1083" s="8"/>
      <c r="Q1083" s="9"/>
    </row>
    <row r="1084" spans="2:17" x14ac:dyDescent="0.2">
      <c r="B1084" s="7"/>
      <c r="C1084" s="8"/>
      <c r="D1084" s="9"/>
      <c r="E1084" s="10"/>
      <c r="F1084" s="8"/>
      <c r="G1084" s="8"/>
      <c r="H1084" s="9"/>
      <c r="I1084" s="10"/>
      <c r="J1084" s="8"/>
      <c r="K1084" s="10"/>
      <c r="L1084" s="10"/>
      <c r="M1084" s="10"/>
      <c r="N1084" s="10"/>
      <c r="O1084" s="10"/>
      <c r="P1084" s="8"/>
      <c r="Q1084" s="9"/>
    </row>
    <row r="1085" spans="2:17" x14ac:dyDescent="0.2">
      <c r="B1085" s="7"/>
      <c r="C1085" s="8"/>
      <c r="D1085" s="9"/>
      <c r="E1085" s="10"/>
      <c r="F1085" s="8"/>
      <c r="G1085" s="8"/>
      <c r="H1085" s="9"/>
      <c r="I1085" s="10"/>
      <c r="J1085" s="8"/>
      <c r="K1085" s="10"/>
      <c r="L1085" s="10"/>
      <c r="M1085" s="10"/>
      <c r="N1085" s="10"/>
      <c r="O1085" s="10"/>
      <c r="P1085" s="8"/>
      <c r="Q1085" s="9"/>
    </row>
    <row r="1086" spans="2:17" x14ac:dyDescent="0.2">
      <c r="B1086" s="7"/>
      <c r="C1086" s="8"/>
      <c r="D1086" s="9"/>
      <c r="E1086" s="10"/>
      <c r="F1086" s="8"/>
      <c r="G1086" s="8"/>
      <c r="H1086" s="9"/>
      <c r="I1086" s="10"/>
      <c r="J1086" s="8"/>
      <c r="K1086" s="10"/>
      <c r="L1086" s="10"/>
      <c r="M1086" s="10"/>
      <c r="N1086" s="10"/>
      <c r="O1086" s="10"/>
      <c r="P1086" s="8"/>
      <c r="Q1086" s="9"/>
    </row>
    <row r="1087" spans="2:17" x14ac:dyDescent="0.2">
      <c r="B1087" s="7"/>
      <c r="C1087" s="8"/>
      <c r="D1087" s="9"/>
      <c r="E1087" s="10"/>
      <c r="F1087" s="8"/>
      <c r="G1087" s="8"/>
      <c r="H1087" s="9"/>
      <c r="I1087" s="10"/>
      <c r="J1087" s="8"/>
      <c r="K1087" s="10"/>
      <c r="L1087" s="10"/>
      <c r="M1087" s="10"/>
      <c r="N1087" s="10"/>
      <c r="O1087" s="10"/>
      <c r="P1087" s="8"/>
      <c r="Q1087" s="9"/>
    </row>
    <row r="1088" spans="2:17" x14ac:dyDescent="0.2">
      <c r="B1088" s="7"/>
      <c r="C1088" s="8"/>
      <c r="D1088" s="9"/>
      <c r="E1088" s="10"/>
      <c r="F1088" s="8"/>
      <c r="G1088" s="8"/>
      <c r="H1088" s="9"/>
      <c r="I1088" s="10"/>
      <c r="J1088" s="8"/>
      <c r="K1088" s="10"/>
      <c r="L1088" s="10"/>
      <c r="M1088" s="10"/>
      <c r="N1088" s="10"/>
      <c r="O1088" s="10"/>
      <c r="P1088" s="8"/>
      <c r="Q1088" s="9"/>
    </row>
    <row r="1089" spans="2:17" x14ac:dyDescent="0.2">
      <c r="B1089" s="7"/>
      <c r="C1089" s="8"/>
      <c r="D1089" s="9"/>
      <c r="E1089" s="10"/>
      <c r="F1089" s="8"/>
      <c r="G1089" s="8"/>
      <c r="H1089" s="9"/>
      <c r="I1089" s="10"/>
      <c r="J1089" s="8"/>
      <c r="K1089" s="10"/>
      <c r="L1089" s="10"/>
      <c r="M1089" s="10"/>
      <c r="N1089" s="10"/>
      <c r="O1089" s="10"/>
      <c r="P1089" s="8"/>
      <c r="Q1089" s="9"/>
    </row>
    <row r="1090" spans="2:17" x14ac:dyDescent="0.2">
      <c r="B1090" s="7"/>
      <c r="C1090" s="8"/>
      <c r="D1090" s="9"/>
      <c r="E1090" s="10"/>
      <c r="F1090" s="8"/>
      <c r="G1090" s="8"/>
      <c r="H1090" s="9"/>
      <c r="I1090" s="10"/>
      <c r="J1090" s="8"/>
      <c r="K1090" s="10"/>
      <c r="L1090" s="10"/>
      <c r="M1090" s="10"/>
      <c r="N1090" s="10"/>
      <c r="O1090" s="10"/>
      <c r="P1090" s="8"/>
      <c r="Q1090" s="9"/>
    </row>
    <row r="1091" spans="2:17" x14ac:dyDescent="0.2">
      <c r="B1091" s="7"/>
      <c r="C1091" s="8"/>
      <c r="D1091" s="9"/>
      <c r="E1091" s="10"/>
      <c r="F1091" s="8"/>
      <c r="G1091" s="8"/>
      <c r="H1091" s="9"/>
      <c r="I1091" s="10"/>
      <c r="J1091" s="8"/>
      <c r="K1091" s="10"/>
      <c r="L1091" s="10"/>
      <c r="M1091" s="10"/>
      <c r="N1091" s="10"/>
      <c r="O1091" s="10"/>
      <c r="P1091" s="8"/>
      <c r="Q1091" s="9"/>
    </row>
    <row r="1092" spans="2:17" x14ac:dyDescent="0.2">
      <c r="B1092" s="7"/>
      <c r="C1092" s="8"/>
      <c r="D1092" s="9"/>
      <c r="E1092" s="10"/>
      <c r="F1092" s="8"/>
      <c r="G1092" s="8"/>
      <c r="H1092" s="9"/>
      <c r="I1092" s="10"/>
      <c r="J1092" s="8"/>
      <c r="K1092" s="10"/>
      <c r="L1092" s="10"/>
      <c r="M1092" s="10"/>
      <c r="N1092" s="10"/>
      <c r="O1092" s="10"/>
      <c r="P1092" s="8"/>
      <c r="Q1092" s="9"/>
    </row>
    <row r="1093" spans="2:17" x14ac:dyDescent="0.2">
      <c r="B1093" s="7"/>
      <c r="C1093" s="8"/>
      <c r="D1093" s="9"/>
      <c r="E1093" s="10"/>
      <c r="F1093" s="8"/>
      <c r="G1093" s="8"/>
      <c r="H1093" s="9"/>
      <c r="I1093" s="10"/>
      <c r="J1093" s="8"/>
      <c r="K1093" s="10"/>
      <c r="L1093" s="10"/>
      <c r="M1093" s="10"/>
      <c r="N1093" s="10"/>
      <c r="O1093" s="10"/>
      <c r="P1093" s="8"/>
      <c r="Q1093" s="9"/>
    </row>
    <row r="1094" spans="2:17" x14ac:dyDescent="0.2">
      <c r="B1094" s="7"/>
      <c r="C1094" s="8"/>
      <c r="D1094" s="9"/>
      <c r="E1094" s="10"/>
      <c r="F1094" s="8"/>
      <c r="G1094" s="8"/>
      <c r="H1094" s="9"/>
      <c r="I1094" s="10"/>
      <c r="J1094" s="8"/>
      <c r="K1094" s="10"/>
      <c r="L1094" s="10"/>
      <c r="M1094" s="10"/>
      <c r="N1094" s="10"/>
      <c r="O1094" s="10"/>
      <c r="P1094" s="8"/>
      <c r="Q1094" s="9"/>
    </row>
    <row r="1095" spans="2:17" x14ac:dyDescent="0.2">
      <c r="B1095" s="7"/>
      <c r="C1095" s="8"/>
      <c r="D1095" s="9"/>
      <c r="E1095" s="10"/>
      <c r="F1095" s="8"/>
      <c r="G1095" s="8"/>
      <c r="H1095" s="9"/>
      <c r="I1095" s="10"/>
      <c r="J1095" s="8"/>
      <c r="K1095" s="10"/>
      <c r="L1095" s="10"/>
      <c r="M1095" s="10"/>
      <c r="N1095" s="10"/>
      <c r="O1095" s="10"/>
      <c r="P1095" s="8"/>
      <c r="Q1095" s="9"/>
    </row>
    <row r="1096" spans="2:17" x14ac:dyDescent="0.2">
      <c r="B1096" s="7"/>
      <c r="C1096" s="8"/>
      <c r="D1096" s="9"/>
      <c r="E1096" s="10"/>
      <c r="F1096" s="8"/>
      <c r="G1096" s="8"/>
      <c r="H1096" s="9"/>
      <c r="I1096" s="10"/>
      <c r="J1096" s="8"/>
      <c r="K1096" s="10"/>
      <c r="L1096" s="10"/>
      <c r="M1096" s="10"/>
      <c r="N1096" s="10"/>
      <c r="O1096" s="10"/>
      <c r="P1096" s="8"/>
      <c r="Q1096" s="9"/>
    </row>
    <row r="1097" spans="2:17" x14ac:dyDescent="0.2">
      <c r="B1097" s="7"/>
      <c r="C1097" s="8"/>
      <c r="D1097" s="9"/>
      <c r="E1097" s="10"/>
      <c r="F1097" s="8"/>
      <c r="G1097" s="8"/>
      <c r="H1097" s="9"/>
      <c r="I1097" s="10"/>
      <c r="J1097" s="8"/>
      <c r="K1097" s="10"/>
      <c r="L1097" s="10"/>
      <c r="M1097" s="10"/>
      <c r="N1097" s="10"/>
      <c r="O1097" s="10"/>
      <c r="P1097" s="8"/>
      <c r="Q1097" s="9"/>
    </row>
    <row r="1098" spans="2:17" x14ac:dyDescent="0.2">
      <c r="B1098" s="7"/>
      <c r="C1098" s="8"/>
      <c r="D1098" s="9"/>
      <c r="E1098" s="10"/>
      <c r="F1098" s="8"/>
      <c r="G1098" s="8"/>
      <c r="H1098" s="9"/>
      <c r="I1098" s="10"/>
      <c r="J1098" s="8"/>
      <c r="K1098" s="10"/>
      <c r="L1098" s="10"/>
      <c r="M1098" s="10"/>
      <c r="N1098" s="10"/>
      <c r="O1098" s="10"/>
      <c r="P1098" s="8"/>
      <c r="Q1098" s="9"/>
    </row>
    <row r="1099" spans="2:17" x14ac:dyDescent="0.2">
      <c r="B1099" s="7"/>
      <c r="C1099" s="8"/>
      <c r="D1099" s="9"/>
      <c r="E1099" s="10"/>
      <c r="F1099" s="8"/>
      <c r="G1099" s="8"/>
      <c r="H1099" s="9"/>
      <c r="I1099" s="10"/>
      <c r="J1099" s="8"/>
      <c r="K1099" s="10"/>
      <c r="L1099" s="10"/>
      <c r="M1099" s="10"/>
      <c r="N1099" s="10"/>
      <c r="O1099" s="10"/>
      <c r="P1099" s="8"/>
      <c r="Q1099" s="9"/>
    </row>
    <row r="1100" spans="2:17" x14ac:dyDescent="0.2">
      <c r="B1100" s="7"/>
      <c r="C1100" s="8"/>
      <c r="D1100" s="9"/>
      <c r="E1100" s="10"/>
      <c r="F1100" s="8"/>
      <c r="G1100" s="8"/>
      <c r="H1100" s="9"/>
      <c r="I1100" s="10"/>
      <c r="J1100" s="8"/>
      <c r="K1100" s="10"/>
      <c r="L1100" s="10"/>
      <c r="M1100" s="10"/>
      <c r="N1100" s="10"/>
      <c r="O1100" s="10"/>
      <c r="P1100" s="8"/>
      <c r="Q1100" s="9"/>
    </row>
    <row r="1101" spans="2:17" x14ac:dyDescent="0.2">
      <c r="B1101" s="7"/>
      <c r="C1101" s="8"/>
      <c r="D1101" s="9"/>
      <c r="E1101" s="10"/>
      <c r="F1101" s="8"/>
      <c r="G1101" s="8"/>
      <c r="H1101" s="9"/>
      <c r="I1101" s="10"/>
      <c r="J1101" s="8"/>
      <c r="K1101" s="10"/>
      <c r="L1101" s="10"/>
      <c r="M1101" s="10"/>
      <c r="N1101" s="10"/>
      <c r="O1101" s="10"/>
      <c r="P1101" s="8"/>
      <c r="Q1101" s="9"/>
    </row>
    <row r="1102" spans="2:17" x14ac:dyDescent="0.2">
      <c r="B1102" s="7"/>
      <c r="C1102" s="8"/>
      <c r="D1102" s="9"/>
      <c r="E1102" s="10"/>
      <c r="F1102" s="8"/>
      <c r="G1102" s="8"/>
      <c r="H1102" s="9"/>
      <c r="I1102" s="10"/>
      <c r="J1102" s="8"/>
      <c r="K1102" s="10"/>
      <c r="L1102" s="10"/>
      <c r="M1102" s="10"/>
      <c r="N1102" s="10"/>
      <c r="O1102" s="10"/>
      <c r="P1102" s="8"/>
      <c r="Q1102" s="9"/>
    </row>
    <row r="1103" spans="2:17" x14ac:dyDescent="0.2">
      <c r="B1103" s="7"/>
      <c r="C1103" s="8"/>
      <c r="D1103" s="9"/>
      <c r="E1103" s="10"/>
      <c r="F1103" s="8"/>
      <c r="G1103" s="8"/>
      <c r="H1103" s="9"/>
      <c r="I1103" s="10"/>
      <c r="J1103" s="8"/>
      <c r="K1103" s="10"/>
      <c r="L1103" s="10"/>
      <c r="M1103" s="10"/>
      <c r="N1103" s="10"/>
      <c r="O1103" s="10"/>
      <c r="P1103" s="8"/>
      <c r="Q1103" s="9"/>
    </row>
    <row r="1104" spans="2:17" x14ac:dyDescent="0.2">
      <c r="B1104" s="7"/>
      <c r="C1104" s="8"/>
      <c r="D1104" s="9"/>
      <c r="E1104" s="10"/>
      <c r="F1104" s="8"/>
      <c r="G1104" s="8"/>
      <c r="H1104" s="9"/>
      <c r="I1104" s="10"/>
      <c r="J1104" s="8"/>
      <c r="K1104" s="10"/>
      <c r="L1104" s="10"/>
      <c r="M1104" s="10"/>
      <c r="N1104" s="10"/>
      <c r="O1104" s="10"/>
      <c r="P1104" s="8"/>
      <c r="Q1104" s="9"/>
    </row>
    <row r="1105" spans="2:17" x14ac:dyDescent="0.2">
      <c r="B1105" s="7"/>
      <c r="C1105" s="8"/>
      <c r="D1105" s="9"/>
      <c r="E1105" s="10"/>
      <c r="F1105" s="8"/>
      <c r="G1105" s="8"/>
      <c r="H1105" s="9"/>
      <c r="I1105" s="10"/>
      <c r="J1105" s="8"/>
      <c r="K1105" s="10"/>
      <c r="L1105" s="10"/>
      <c r="M1105" s="10"/>
      <c r="N1105" s="10"/>
      <c r="O1105" s="10"/>
      <c r="P1105" s="8"/>
      <c r="Q1105" s="9"/>
    </row>
    <row r="1106" spans="2:17" x14ac:dyDescent="0.2">
      <c r="B1106" s="7"/>
      <c r="C1106" s="8"/>
      <c r="D1106" s="9"/>
      <c r="E1106" s="10"/>
      <c r="F1106" s="8"/>
      <c r="G1106" s="8"/>
      <c r="H1106" s="9"/>
      <c r="I1106" s="10"/>
      <c r="J1106" s="8"/>
      <c r="K1106" s="10"/>
      <c r="L1106" s="10"/>
      <c r="M1106" s="10"/>
      <c r="N1106" s="10"/>
      <c r="O1106" s="10"/>
      <c r="P1106" s="8"/>
      <c r="Q1106" s="9"/>
    </row>
    <row r="1107" spans="2:17" x14ac:dyDescent="0.2">
      <c r="B1107" s="7"/>
      <c r="C1107" s="8"/>
      <c r="D1107" s="9"/>
      <c r="E1107" s="10"/>
      <c r="F1107" s="8"/>
      <c r="G1107" s="8"/>
      <c r="H1107" s="9"/>
      <c r="I1107" s="10"/>
      <c r="J1107" s="8"/>
      <c r="K1107" s="10"/>
      <c r="L1107" s="10"/>
      <c r="M1107" s="10"/>
      <c r="N1107" s="10"/>
      <c r="O1107" s="10"/>
      <c r="P1107" s="8"/>
      <c r="Q1107" s="9"/>
    </row>
    <row r="1108" spans="2:17" x14ac:dyDescent="0.2">
      <c r="B1108" s="7"/>
      <c r="C1108" s="8"/>
      <c r="D1108" s="9"/>
      <c r="E1108" s="10"/>
      <c r="F1108" s="8"/>
      <c r="G1108" s="8"/>
      <c r="H1108" s="9"/>
      <c r="I1108" s="10"/>
      <c r="J1108" s="8"/>
      <c r="K1108" s="10"/>
      <c r="L1108" s="10"/>
      <c r="M1108" s="10"/>
      <c r="N1108" s="10"/>
      <c r="O1108" s="10"/>
      <c r="P1108" s="8"/>
      <c r="Q1108" s="9"/>
    </row>
    <row r="1109" spans="2:17" x14ac:dyDescent="0.2">
      <c r="B1109" s="7"/>
      <c r="C1109" s="8"/>
      <c r="D1109" s="9"/>
      <c r="E1109" s="10"/>
      <c r="F1109" s="8"/>
      <c r="G1109" s="8"/>
      <c r="H1109" s="9"/>
      <c r="I1109" s="10"/>
      <c r="J1109" s="8"/>
      <c r="K1109" s="10"/>
      <c r="L1109" s="10"/>
      <c r="M1109" s="10"/>
      <c r="N1109" s="10"/>
      <c r="O1109" s="10"/>
      <c r="P1109" s="8"/>
      <c r="Q1109" s="9"/>
    </row>
    <row r="1110" spans="2:17" x14ac:dyDescent="0.2">
      <c r="B1110" s="7"/>
      <c r="C1110" s="8"/>
      <c r="D1110" s="9"/>
      <c r="E1110" s="10"/>
      <c r="F1110" s="8"/>
      <c r="G1110" s="8"/>
      <c r="H1110" s="9"/>
      <c r="I1110" s="10"/>
      <c r="J1110" s="8"/>
      <c r="K1110" s="10"/>
      <c r="L1110" s="10"/>
      <c r="M1110" s="10"/>
      <c r="N1110" s="10"/>
      <c r="O1110" s="10"/>
      <c r="P1110" s="8"/>
      <c r="Q1110" s="9"/>
    </row>
    <row r="1111" spans="2:17" x14ac:dyDescent="0.2">
      <c r="B1111" s="7"/>
      <c r="C1111" s="8"/>
      <c r="D1111" s="9"/>
      <c r="E1111" s="10"/>
      <c r="F1111" s="8"/>
      <c r="G1111" s="8"/>
      <c r="H1111" s="9"/>
      <c r="I1111" s="10"/>
      <c r="J1111" s="8"/>
      <c r="K1111" s="10"/>
      <c r="L1111" s="10"/>
      <c r="M1111" s="10"/>
      <c r="N1111" s="10"/>
      <c r="O1111" s="10"/>
      <c r="P1111" s="8"/>
      <c r="Q1111" s="9"/>
    </row>
    <row r="1112" spans="2:17" x14ac:dyDescent="0.2">
      <c r="B1112" s="7"/>
      <c r="C1112" s="8"/>
      <c r="D1112" s="9"/>
      <c r="E1112" s="10"/>
      <c r="F1112" s="8"/>
      <c r="G1112" s="8"/>
      <c r="H1112" s="9"/>
      <c r="I1112" s="10"/>
      <c r="J1112" s="8"/>
      <c r="K1112" s="10"/>
      <c r="L1112" s="10"/>
      <c r="M1112" s="10"/>
      <c r="N1112" s="10"/>
      <c r="O1112" s="10"/>
      <c r="P1112" s="8"/>
      <c r="Q1112" s="9"/>
    </row>
    <row r="1113" spans="2:17" x14ac:dyDescent="0.2">
      <c r="B1113" s="7"/>
      <c r="C1113" s="8"/>
      <c r="D1113" s="9"/>
      <c r="E1113" s="10"/>
      <c r="F1113" s="8"/>
      <c r="G1113" s="8"/>
      <c r="H1113" s="9"/>
      <c r="I1113" s="10"/>
      <c r="J1113" s="8"/>
      <c r="K1113" s="10"/>
      <c r="L1113" s="10"/>
      <c r="M1113" s="10"/>
      <c r="N1113" s="10"/>
      <c r="O1113" s="10"/>
      <c r="P1113" s="8"/>
      <c r="Q1113" s="9"/>
    </row>
    <row r="1114" spans="2:17" x14ac:dyDescent="0.2">
      <c r="B1114" s="7"/>
      <c r="C1114" s="8"/>
      <c r="D1114" s="9"/>
      <c r="E1114" s="10"/>
      <c r="F1114" s="8"/>
      <c r="G1114" s="8"/>
      <c r="H1114" s="9"/>
      <c r="I1114" s="10"/>
      <c r="J1114" s="8"/>
      <c r="K1114" s="10"/>
      <c r="L1114" s="10"/>
      <c r="M1114" s="10"/>
      <c r="N1114" s="10"/>
      <c r="O1114" s="10"/>
      <c r="P1114" s="8"/>
      <c r="Q1114" s="9"/>
    </row>
    <row r="1115" spans="2:17" x14ac:dyDescent="0.2">
      <c r="B1115" s="7"/>
      <c r="C1115" s="8"/>
      <c r="D1115" s="9"/>
      <c r="E1115" s="10"/>
      <c r="F1115" s="8"/>
      <c r="G1115" s="8"/>
      <c r="H1115" s="9"/>
      <c r="I1115" s="10"/>
      <c r="J1115" s="8"/>
      <c r="K1115" s="10"/>
      <c r="L1115" s="10"/>
      <c r="M1115" s="10"/>
      <c r="N1115" s="10"/>
      <c r="O1115" s="10"/>
      <c r="P1115" s="8"/>
      <c r="Q1115" s="9"/>
    </row>
    <row r="1116" spans="2:17" x14ac:dyDescent="0.2">
      <c r="B1116" s="7"/>
      <c r="C1116" s="8"/>
      <c r="D1116" s="9"/>
      <c r="E1116" s="10"/>
      <c r="F1116" s="8"/>
      <c r="G1116" s="8"/>
      <c r="H1116" s="9"/>
      <c r="I1116" s="10"/>
      <c r="J1116" s="8"/>
      <c r="K1116" s="10"/>
      <c r="L1116" s="10"/>
      <c r="M1116" s="10"/>
      <c r="N1116" s="10"/>
      <c r="O1116" s="10"/>
      <c r="P1116" s="8"/>
      <c r="Q1116" s="9"/>
    </row>
    <row r="1117" spans="2:17" x14ac:dyDescent="0.2">
      <c r="B1117" s="7"/>
      <c r="C1117" s="8"/>
      <c r="D1117" s="9"/>
      <c r="E1117" s="10"/>
      <c r="F1117" s="8"/>
      <c r="G1117" s="8"/>
      <c r="H1117" s="9"/>
      <c r="I1117" s="10"/>
      <c r="J1117" s="8"/>
      <c r="K1117" s="10"/>
      <c r="L1117" s="10"/>
      <c r="M1117" s="10"/>
      <c r="N1117" s="10"/>
      <c r="O1117" s="10"/>
      <c r="P1117" s="8"/>
      <c r="Q1117" s="9"/>
    </row>
    <row r="1118" spans="2:17" x14ac:dyDescent="0.2">
      <c r="B1118" s="7"/>
      <c r="C1118" s="8"/>
      <c r="D1118" s="9"/>
      <c r="E1118" s="10"/>
      <c r="F1118" s="8"/>
      <c r="G1118" s="8"/>
      <c r="H1118" s="9"/>
      <c r="I1118" s="10"/>
      <c r="J1118" s="8"/>
      <c r="K1118" s="10"/>
      <c r="L1118" s="10"/>
      <c r="M1118" s="10"/>
      <c r="N1118" s="10"/>
      <c r="O1118" s="10"/>
      <c r="P1118" s="8"/>
      <c r="Q1118" s="9"/>
    </row>
    <row r="1119" spans="2:17" x14ac:dyDescent="0.2">
      <c r="B1119" s="7"/>
      <c r="C1119" s="8"/>
      <c r="D1119" s="9"/>
      <c r="E1119" s="10"/>
      <c r="F1119" s="8"/>
      <c r="G1119" s="8"/>
      <c r="H1119" s="9"/>
      <c r="I1119" s="10"/>
      <c r="J1119" s="8"/>
      <c r="K1119" s="10"/>
      <c r="L1119" s="10"/>
      <c r="M1119" s="10"/>
      <c r="N1119" s="10"/>
      <c r="O1119" s="10"/>
      <c r="P1119" s="8"/>
      <c r="Q1119" s="9"/>
    </row>
    <row r="1120" spans="2:17" x14ac:dyDescent="0.2">
      <c r="B1120" s="7"/>
      <c r="C1120" s="8"/>
      <c r="D1120" s="9"/>
      <c r="E1120" s="10"/>
      <c r="F1120" s="8"/>
      <c r="G1120" s="8"/>
      <c r="H1120" s="9"/>
      <c r="I1120" s="10"/>
      <c r="J1120" s="8"/>
      <c r="K1120" s="10"/>
      <c r="L1120" s="10"/>
      <c r="M1120" s="10"/>
      <c r="N1120" s="10"/>
      <c r="O1120" s="10"/>
      <c r="P1120" s="8"/>
      <c r="Q1120" s="9"/>
    </row>
    <row r="1121" spans="2:17" x14ac:dyDescent="0.2">
      <c r="B1121" s="7"/>
      <c r="C1121" s="8"/>
      <c r="D1121" s="9"/>
      <c r="E1121" s="10"/>
      <c r="F1121" s="8"/>
      <c r="G1121" s="8"/>
      <c r="H1121" s="9"/>
      <c r="I1121" s="10"/>
      <c r="J1121" s="8"/>
      <c r="K1121" s="10"/>
      <c r="L1121" s="10"/>
      <c r="M1121" s="10"/>
      <c r="N1121" s="10"/>
      <c r="O1121" s="10"/>
      <c r="P1121" s="8"/>
      <c r="Q1121" s="9"/>
    </row>
    <row r="1122" spans="2:17" x14ac:dyDescent="0.2">
      <c r="B1122" s="7"/>
      <c r="C1122" s="8"/>
      <c r="D1122" s="9"/>
      <c r="E1122" s="10"/>
      <c r="F1122" s="8"/>
      <c r="G1122" s="8"/>
      <c r="H1122" s="9"/>
      <c r="I1122" s="10"/>
      <c r="J1122" s="8"/>
      <c r="K1122" s="10"/>
      <c r="L1122" s="10"/>
      <c r="M1122" s="10"/>
      <c r="N1122" s="10"/>
      <c r="O1122" s="10"/>
      <c r="P1122" s="8"/>
      <c r="Q1122" s="9"/>
    </row>
    <row r="1123" spans="2:17" x14ac:dyDescent="0.2">
      <c r="B1123" s="7"/>
      <c r="C1123" s="8"/>
      <c r="D1123" s="9"/>
      <c r="E1123" s="10"/>
      <c r="F1123" s="8"/>
      <c r="G1123" s="8"/>
      <c r="H1123" s="9"/>
      <c r="I1123" s="10"/>
      <c r="J1123" s="8"/>
      <c r="K1123" s="10"/>
      <c r="L1123" s="10"/>
      <c r="M1123" s="10"/>
      <c r="N1123" s="10"/>
      <c r="O1123" s="10"/>
      <c r="P1123" s="8"/>
      <c r="Q1123" s="9"/>
    </row>
    <row r="1124" spans="2:17" x14ac:dyDescent="0.2">
      <c r="B1124" s="7"/>
      <c r="C1124" s="8"/>
      <c r="D1124" s="9"/>
      <c r="E1124" s="10"/>
      <c r="F1124" s="8"/>
      <c r="G1124" s="8"/>
      <c r="H1124" s="9"/>
      <c r="I1124" s="10"/>
      <c r="J1124" s="8"/>
      <c r="K1124" s="10"/>
      <c r="L1124" s="10"/>
      <c r="M1124" s="10"/>
      <c r="N1124" s="10"/>
      <c r="O1124" s="10"/>
      <c r="P1124" s="8"/>
      <c r="Q1124" s="9"/>
    </row>
    <row r="1125" spans="2:17" x14ac:dyDescent="0.2">
      <c r="B1125" s="7"/>
      <c r="C1125" s="8"/>
      <c r="D1125" s="9"/>
      <c r="E1125" s="10"/>
      <c r="F1125" s="8"/>
      <c r="G1125" s="8"/>
      <c r="H1125" s="9"/>
      <c r="I1125" s="10"/>
      <c r="J1125" s="8"/>
      <c r="K1125" s="10"/>
      <c r="L1125" s="10"/>
      <c r="M1125" s="10"/>
      <c r="N1125" s="10"/>
      <c r="O1125" s="10"/>
      <c r="P1125" s="8"/>
      <c r="Q1125" s="9"/>
    </row>
    <row r="1126" spans="2:17" x14ac:dyDescent="0.2">
      <c r="B1126" s="7"/>
      <c r="C1126" s="8"/>
      <c r="D1126" s="9"/>
      <c r="E1126" s="10"/>
      <c r="F1126" s="8"/>
      <c r="G1126" s="8"/>
      <c r="H1126" s="9"/>
      <c r="I1126" s="10"/>
      <c r="J1126" s="8"/>
      <c r="K1126" s="10"/>
      <c r="L1126" s="10"/>
      <c r="M1126" s="10"/>
      <c r="N1126" s="10"/>
      <c r="O1126" s="10"/>
      <c r="P1126" s="8"/>
      <c r="Q1126" s="9"/>
    </row>
    <row r="1127" spans="2:17" x14ac:dyDescent="0.2">
      <c r="B1127" s="7"/>
      <c r="C1127" s="8"/>
      <c r="D1127" s="9"/>
      <c r="E1127" s="10"/>
      <c r="F1127" s="8"/>
      <c r="G1127" s="8"/>
      <c r="H1127" s="9"/>
      <c r="I1127" s="10"/>
      <c r="J1127" s="8"/>
      <c r="K1127" s="10"/>
      <c r="L1127" s="10"/>
      <c r="M1127" s="10"/>
      <c r="N1127" s="10"/>
      <c r="O1127" s="10"/>
      <c r="P1127" s="8"/>
      <c r="Q1127" s="9"/>
    </row>
    <row r="1128" spans="2:17" x14ac:dyDescent="0.2">
      <c r="B1128" s="7"/>
      <c r="C1128" s="8"/>
      <c r="D1128" s="9"/>
      <c r="E1128" s="10"/>
      <c r="F1128" s="8"/>
      <c r="G1128" s="8"/>
      <c r="H1128" s="9"/>
      <c r="I1128" s="10"/>
      <c r="J1128" s="8"/>
      <c r="K1128" s="10"/>
      <c r="L1128" s="10"/>
      <c r="M1128" s="10"/>
      <c r="N1128" s="10"/>
      <c r="O1128" s="10"/>
      <c r="P1128" s="8"/>
      <c r="Q1128" s="9"/>
    </row>
    <row r="1129" spans="2:17" x14ac:dyDescent="0.2">
      <c r="B1129" s="7"/>
      <c r="C1129" s="8"/>
      <c r="D1129" s="9"/>
      <c r="E1129" s="10"/>
      <c r="F1129" s="8"/>
      <c r="G1129" s="8"/>
      <c r="H1129" s="9"/>
      <c r="I1129" s="10"/>
      <c r="J1129" s="8"/>
      <c r="K1129" s="10"/>
      <c r="L1129" s="10"/>
      <c r="M1129" s="10"/>
      <c r="N1129" s="10"/>
      <c r="O1129" s="10"/>
      <c r="P1129" s="8"/>
      <c r="Q1129" s="9"/>
    </row>
    <row r="1130" spans="2:17" x14ac:dyDescent="0.2">
      <c r="B1130" s="7"/>
      <c r="C1130" s="8"/>
      <c r="D1130" s="9"/>
      <c r="E1130" s="10"/>
      <c r="F1130" s="8"/>
      <c r="G1130" s="8"/>
      <c r="H1130" s="9"/>
      <c r="I1130" s="10"/>
      <c r="J1130" s="8"/>
      <c r="K1130" s="10"/>
      <c r="L1130" s="10"/>
      <c r="M1130" s="10"/>
      <c r="N1130" s="10"/>
      <c r="O1130" s="10"/>
      <c r="P1130" s="8"/>
      <c r="Q1130" s="9"/>
    </row>
    <row r="1131" spans="2:17" x14ac:dyDescent="0.2">
      <c r="B1131" s="7"/>
      <c r="C1131" s="8"/>
      <c r="D1131" s="9"/>
      <c r="E1131" s="10"/>
      <c r="F1131" s="8"/>
      <c r="G1131" s="8"/>
      <c r="H1131" s="9"/>
      <c r="I1131" s="10"/>
      <c r="J1131" s="8"/>
      <c r="K1131" s="10"/>
      <c r="L1131" s="10"/>
      <c r="M1131" s="10"/>
      <c r="N1131" s="10"/>
      <c r="O1131" s="10"/>
      <c r="P1131" s="8"/>
      <c r="Q1131" s="9"/>
    </row>
    <row r="1132" spans="2:17" x14ac:dyDescent="0.2">
      <c r="B1132" s="7"/>
      <c r="C1132" s="8"/>
      <c r="D1132" s="9"/>
      <c r="E1132" s="10"/>
      <c r="F1132" s="8"/>
      <c r="G1132" s="8"/>
      <c r="H1132" s="9"/>
      <c r="I1132" s="10"/>
      <c r="J1132" s="8"/>
      <c r="K1132" s="10"/>
      <c r="L1132" s="10"/>
      <c r="M1132" s="10"/>
      <c r="N1132" s="10"/>
      <c r="O1132" s="10"/>
      <c r="P1132" s="8"/>
      <c r="Q1132" s="9"/>
    </row>
    <row r="1133" spans="2:17" x14ac:dyDescent="0.2">
      <c r="B1133" s="7"/>
      <c r="C1133" s="8"/>
      <c r="D1133" s="9"/>
      <c r="E1133" s="10"/>
      <c r="F1133" s="8"/>
      <c r="G1133" s="8"/>
      <c r="H1133" s="9"/>
      <c r="I1133" s="10"/>
      <c r="J1133" s="8"/>
      <c r="K1133" s="10"/>
      <c r="L1133" s="10"/>
      <c r="M1133" s="10"/>
      <c r="N1133" s="10"/>
      <c r="O1133" s="10"/>
      <c r="P1133" s="8"/>
      <c r="Q1133" s="9"/>
    </row>
    <row r="1134" spans="2:17" x14ac:dyDescent="0.2">
      <c r="B1134" s="7"/>
      <c r="C1134" s="8"/>
      <c r="D1134" s="9"/>
      <c r="E1134" s="10"/>
      <c r="F1134" s="8"/>
      <c r="G1134" s="8"/>
      <c r="H1134" s="9"/>
      <c r="I1134" s="10"/>
      <c r="J1134" s="8"/>
      <c r="K1134" s="10"/>
      <c r="L1134" s="10"/>
      <c r="M1134" s="10"/>
      <c r="N1134" s="10"/>
      <c r="O1134" s="10"/>
      <c r="P1134" s="8"/>
      <c r="Q1134" s="9"/>
    </row>
    <row r="1135" spans="2:17" x14ac:dyDescent="0.2">
      <c r="B1135" s="7"/>
      <c r="C1135" s="8"/>
      <c r="D1135" s="9"/>
      <c r="E1135" s="10"/>
      <c r="F1135" s="8"/>
      <c r="G1135" s="8"/>
      <c r="H1135" s="9"/>
      <c r="I1135" s="10"/>
      <c r="J1135" s="8"/>
      <c r="K1135" s="10"/>
      <c r="L1135" s="10"/>
      <c r="M1135" s="10"/>
      <c r="N1135" s="10"/>
      <c r="O1135" s="10"/>
      <c r="P1135" s="8"/>
      <c r="Q1135" s="9"/>
    </row>
    <row r="1136" spans="2:17" x14ac:dyDescent="0.2">
      <c r="B1136" s="7"/>
      <c r="C1136" s="8"/>
      <c r="D1136" s="9"/>
      <c r="E1136" s="10"/>
      <c r="F1136" s="8"/>
      <c r="G1136" s="8"/>
      <c r="H1136" s="9"/>
      <c r="I1136" s="10"/>
      <c r="J1136" s="8"/>
      <c r="K1136" s="10"/>
      <c r="L1136" s="10"/>
      <c r="M1136" s="10"/>
      <c r="N1136" s="10"/>
      <c r="O1136" s="10"/>
      <c r="P1136" s="8"/>
      <c r="Q1136" s="9"/>
    </row>
    <row r="1137" spans="2:17" x14ac:dyDescent="0.2">
      <c r="B1137" s="7"/>
      <c r="C1137" s="8"/>
      <c r="D1137" s="9"/>
      <c r="E1137" s="10"/>
      <c r="F1137" s="8"/>
      <c r="G1137" s="8"/>
      <c r="H1137" s="9"/>
      <c r="I1137" s="10"/>
      <c r="J1137" s="8"/>
      <c r="K1137" s="10"/>
      <c r="L1137" s="10"/>
      <c r="M1137" s="10"/>
      <c r="N1137" s="10"/>
      <c r="O1137" s="10"/>
      <c r="P1137" s="8"/>
      <c r="Q1137" s="9"/>
    </row>
    <row r="1138" spans="2:17" x14ac:dyDescent="0.2">
      <c r="B1138" s="7"/>
      <c r="C1138" s="8"/>
      <c r="D1138" s="9"/>
      <c r="E1138" s="10"/>
      <c r="F1138" s="8"/>
      <c r="G1138" s="8"/>
      <c r="H1138" s="9"/>
      <c r="I1138" s="10"/>
      <c r="J1138" s="8"/>
      <c r="K1138" s="10"/>
      <c r="L1138" s="10"/>
      <c r="M1138" s="10"/>
      <c r="N1138" s="10"/>
      <c r="O1138" s="10"/>
      <c r="P1138" s="8"/>
      <c r="Q1138" s="9"/>
    </row>
    <row r="1139" spans="2:17" x14ac:dyDescent="0.2">
      <c r="B1139" s="7"/>
      <c r="C1139" s="8"/>
      <c r="D1139" s="9"/>
      <c r="E1139" s="10"/>
      <c r="F1139" s="8"/>
      <c r="G1139" s="8"/>
      <c r="H1139" s="9"/>
      <c r="I1139" s="10"/>
      <c r="J1139" s="8"/>
      <c r="K1139" s="10"/>
      <c r="L1139" s="10"/>
      <c r="M1139" s="10"/>
      <c r="N1139" s="10"/>
      <c r="O1139" s="10"/>
      <c r="P1139" s="8"/>
      <c r="Q1139" s="9"/>
    </row>
    <row r="1140" spans="2:17" x14ac:dyDescent="0.2">
      <c r="B1140" s="7"/>
      <c r="C1140" s="8"/>
      <c r="D1140" s="9"/>
      <c r="E1140" s="10"/>
      <c r="F1140" s="8"/>
      <c r="G1140" s="8"/>
      <c r="H1140" s="9"/>
      <c r="I1140" s="10"/>
      <c r="J1140" s="8"/>
      <c r="K1140" s="10"/>
      <c r="L1140" s="10"/>
      <c r="M1140" s="10"/>
      <c r="N1140" s="10"/>
      <c r="O1140" s="10"/>
      <c r="P1140" s="8"/>
      <c r="Q1140" s="9"/>
    </row>
    <row r="1141" spans="2:17" x14ac:dyDescent="0.2">
      <c r="B1141" s="7"/>
      <c r="C1141" s="8"/>
      <c r="D1141" s="9"/>
      <c r="E1141" s="10"/>
      <c r="F1141" s="8"/>
      <c r="G1141" s="8"/>
      <c r="H1141" s="9"/>
      <c r="I1141" s="10"/>
      <c r="J1141" s="8"/>
      <c r="K1141" s="10"/>
      <c r="L1141" s="10"/>
      <c r="M1141" s="10"/>
      <c r="N1141" s="10"/>
      <c r="O1141" s="10"/>
      <c r="P1141" s="8"/>
      <c r="Q1141" s="9"/>
    </row>
    <row r="1142" spans="2:17" x14ac:dyDescent="0.2">
      <c r="B1142" s="7"/>
      <c r="C1142" s="8"/>
      <c r="D1142" s="9"/>
      <c r="E1142" s="10"/>
      <c r="F1142" s="8"/>
      <c r="G1142" s="8"/>
      <c r="H1142" s="9"/>
      <c r="I1142" s="10"/>
      <c r="J1142" s="8"/>
      <c r="K1142" s="10"/>
      <c r="L1142" s="10"/>
      <c r="M1142" s="10"/>
      <c r="N1142" s="10"/>
      <c r="O1142" s="10"/>
      <c r="P1142" s="8"/>
      <c r="Q1142" s="9"/>
    </row>
    <row r="1143" spans="2:17" x14ac:dyDescent="0.2">
      <c r="B1143" s="7"/>
      <c r="C1143" s="8"/>
      <c r="D1143" s="9"/>
      <c r="E1143" s="10"/>
      <c r="F1143" s="8"/>
      <c r="G1143" s="8"/>
      <c r="H1143" s="9"/>
      <c r="I1143" s="10"/>
      <c r="J1143" s="8"/>
      <c r="K1143" s="10"/>
      <c r="L1143" s="10"/>
      <c r="M1143" s="10"/>
      <c r="N1143" s="10"/>
      <c r="O1143" s="10"/>
      <c r="P1143" s="8"/>
      <c r="Q1143" s="9"/>
    </row>
    <row r="1144" spans="2:17" x14ac:dyDescent="0.2">
      <c r="B1144" s="7"/>
      <c r="C1144" s="8"/>
      <c r="D1144" s="9"/>
      <c r="E1144" s="10"/>
      <c r="F1144" s="8"/>
      <c r="G1144" s="8"/>
      <c r="H1144" s="9"/>
      <c r="I1144" s="10"/>
      <c r="J1144" s="8"/>
      <c r="K1144" s="10"/>
      <c r="L1144" s="10"/>
      <c r="M1144" s="10"/>
      <c r="N1144" s="10"/>
      <c r="O1144" s="10"/>
      <c r="P1144" s="8"/>
      <c r="Q1144" s="9"/>
    </row>
    <row r="1145" spans="2:17" x14ac:dyDescent="0.2">
      <c r="B1145" s="7"/>
      <c r="C1145" s="8"/>
      <c r="D1145" s="9"/>
      <c r="E1145" s="10"/>
      <c r="F1145" s="8"/>
      <c r="G1145" s="8"/>
      <c r="H1145" s="9"/>
      <c r="I1145" s="10"/>
      <c r="J1145" s="8"/>
      <c r="K1145" s="10"/>
      <c r="L1145" s="10"/>
      <c r="M1145" s="10"/>
      <c r="N1145" s="10"/>
      <c r="O1145" s="10"/>
      <c r="P1145" s="8"/>
      <c r="Q1145" s="9"/>
    </row>
    <row r="1146" spans="2:17" x14ac:dyDescent="0.2">
      <c r="B1146" s="7"/>
      <c r="C1146" s="8"/>
      <c r="D1146" s="9"/>
      <c r="E1146" s="10"/>
      <c r="F1146" s="8"/>
      <c r="G1146" s="8"/>
      <c r="H1146" s="9"/>
      <c r="I1146" s="10"/>
      <c r="J1146" s="8"/>
      <c r="K1146" s="10"/>
      <c r="L1146" s="10"/>
      <c r="M1146" s="10"/>
      <c r="N1146" s="10"/>
      <c r="O1146" s="10"/>
      <c r="P1146" s="8"/>
      <c r="Q1146" s="9"/>
    </row>
    <row r="1147" spans="2:17" x14ac:dyDescent="0.2">
      <c r="B1147" s="7"/>
      <c r="C1147" s="8"/>
      <c r="D1147" s="9"/>
      <c r="E1147" s="10"/>
      <c r="F1147" s="8"/>
      <c r="G1147" s="8"/>
      <c r="H1147" s="9"/>
      <c r="I1147" s="10"/>
      <c r="J1147" s="8"/>
      <c r="K1147" s="10"/>
      <c r="L1147" s="10"/>
      <c r="M1147" s="10"/>
      <c r="N1147" s="10"/>
      <c r="O1147" s="10"/>
      <c r="P1147" s="8"/>
      <c r="Q1147" s="9"/>
    </row>
    <row r="1148" spans="2:17" x14ac:dyDescent="0.2">
      <c r="B1148" s="7"/>
      <c r="C1148" s="8"/>
      <c r="D1148" s="9"/>
      <c r="E1148" s="10"/>
      <c r="F1148" s="8"/>
      <c r="G1148" s="8"/>
      <c r="H1148" s="9"/>
      <c r="I1148" s="10"/>
      <c r="J1148" s="8"/>
      <c r="K1148" s="10"/>
      <c r="L1148" s="10"/>
      <c r="M1148" s="10"/>
      <c r="N1148" s="10"/>
      <c r="O1148" s="10"/>
      <c r="P1148" s="8"/>
      <c r="Q1148" s="9"/>
    </row>
    <row r="1149" spans="2:17" x14ac:dyDescent="0.2">
      <c r="B1149" s="7"/>
      <c r="C1149" s="8"/>
      <c r="D1149" s="9"/>
      <c r="E1149" s="10"/>
      <c r="F1149" s="8"/>
      <c r="G1149" s="8"/>
      <c r="H1149" s="9"/>
      <c r="I1149" s="10"/>
      <c r="J1149" s="8"/>
      <c r="K1149" s="10"/>
      <c r="L1149" s="10"/>
      <c r="M1149" s="10"/>
      <c r="N1149" s="10"/>
      <c r="O1149" s="10"/>
      <c r="P1149" s="8"/>
      <c r="Q1149" s="9"/>
    </row>
    <row r="1150" spans="2:17" x14ac:dyDescent="0.2">
      <c r="B1150" s="7"/>
      <c r="C1150" s="8"/>
      <c r="D1150" s="9"/>
      <c r="E1150" s="10"/>
      <c r="F1150" s="8"/>
      <c r="G1150" s="8"/>
      <c r="H1150" s="9"/>
      <c r="I1150" s="10"/>
      <c r="J1150" s="8"/>
      <c r="K1150" s="10"/>
      <c r="L1150" s="10"/>
      <c r="M1150" s="10"/>
      <c r="N1150" s="10"/>
      <c r="O1150" s="10"/>
      <c r="P1150" s="8"/>
      <c r="Q1150" s="9"/>
    </row>
    <row r="1151" spans="2:17" x14ac:dyDescent="0.2">
      <c r="B1151" s="7"/>
      <c r="C1151" s="8"/>
      <c r="D1151" s="9"/>
      <c r="E1151" s="10"/>
      <c r="F1151" s="8"/>
      <c r="G1151" s="8"/>
      <c r="H1151" s="9"/>
      <c r="I1151" s="10"/>
      <c r="J1151" s="8"/>
      <c r="K1151" s="10"/>
      <c r="L1151" s="10"/>
      <c r="M1151" s="10"/>
      <c r="N1151" s="10"/>
      <c r="O1151" s="10"/>
      <c r="P1151" s="8"/>
      <c r="Q1151" s="9"/>
    </row>
    <row r="1152" spans="2:17" x14ac:dyDescent="0.2">
      <c r="B1152" s="7"/>
      <c r="C1152" s="8"/>
      <c r="D1152" s="9"/>
      <c r="E1152" s="10"/>
      <c r="F1152" s="8"/>
      <c r="G1152" s="8"/>
      <c r="H1152" s="9"/>
      <c r="I1152" s="10"/>
      <c r="J1152" s="8"/>
      <c r="K1152" s="10"/>
      <c r="L1152" s="10"/>
      <c r="M1152" s="10"/>
      <c r="N1152" s="10"/>
      <c r="O1152" s="10"/>
      <c r="P1152" s="8"/>
      <c r="Q1152" s="9"/>
    </row>
    <row r="1153" spans="2:17" x14ac:dyDescent="0.2">
      <c r="B1153" s="7"/>
      <c r="C1153" s="8"/>
      <c r="D1153" s="9"/>
      <c r="E1153" s="10"/>
      <c r="F1153" s="8"/>
      <c r="G1153" s="8"/>
      <c r="H1153" s="9"/>
      <c r="I1153" s="10"/>
      <c r="J1153" s="8"/>
      <c r="K1153" s="10"/>
      <c r="L1153" s="10"/>
      <c r="M1153" s="10"/>
      <c r="N1153" s="10"/>
      <c r="O1153" s="10"/>
      <c r="P1153" s="8"/>
      <c r="Q1153" s="9"/>
    </row>
    <row r="1154" spans="2:17" x14ac:dyDescent="0.2">
      <c r="B1154" s="7"/>
      <c r="C1154" s="8"/>
      <c r="D1154" s="9"/>
      <c r="E1154" s="10"/>
      <c r="F1154" s="8"/>
      <c r="G1154" s="8"/>
      <c r="H1154" s="9"/>
      <c r="I1154" s="10"/>
      <c r="J1154" s="8"/>
      <c r="K1154" s="10"/>
      <c r="L1154" s="10"/>
      <c r="M1154" s="10"/>
      <c r="N1154" s="10"/>
      <c r="O1154" s="10"/>
      <c r="P1154" s="8"/>
      <c r="Q1154" s="9"/>
    </row>
    <row r="1155" spans="2:17" x14ac:dyDescent="0.2">
      <c r="B1155" s="7"/>
      <c r="C1155" s="8"/>
      <c r="D1155" s="9"/>
      <c r="E1155" s="10"/>
      <c r="F1155" s="8"/>
      <c r="G1155" s="8"/>
      <c r="H1155" s="9"/>
      <c r="I1155" s="10"/>
      <c r="J1155" s="8"/>
      <c r="K1155" s="10"/>
      <c r="L1155" s="10"/>
      <c r="M1155" s="10"/>
      <c r="N1155" s="10"/>
      <c r="O1155" s="10"/>
      <c r="P1155" s="8"/>
      <c r="Q1155" s="9"/>
    </row>
    <row r="1156" spans="2:17" x14ac:dyDescent="0.2">
      <c r="B1156" s="7"/>
      <c r="C1156" s="8"/>
      <c r="D1156" s="9"/>
      <c r="E1156" s="10"/>
      <c r="F1156" s="8"/>
      <c r="G1156" s="8"/>
      <c r="H1156" s="9"/>
      <c r="I1156" s="10"/>
      <c r="J1156" s="8"/>
      <c r="K1156" s="10"/>
      <c r="L1156" s="10"/>
      <c r="M1156" s="10"/>
      <c r="N1156" s="10"/>
      <c r="O1156" s="10"/>
      <c r="P1156" s="8"/>
      <c r="Q1156" s="9"/>
    </row>
    <row r="1157" spans="2:17" x14ac:dyDescent="0.2">
      <c r="B1157" s="7"/>
      <c r="C1157" s="8"/>
      <c r="D1157" s="9"/>
      <c r="E1157" s="10"/>
      <c r="F1157" s="8"/>
      <c r="G1157" s="8"/>
      <c r="H1157" s="9"/>
      <c r="I1157" s="10"/>
      <c r="J1157" s="8"/>
      <c r="K1157" s="10"/>
      <c r="L1157" s="10"/>
      <c r="M1157" s="10"/>
      <c r="N1157" s="10"/>
      <c r="O1157" s="10"/>
      <c r="P1157" s="8"/>
      <c r="Q1157" s="9"/>
    </row>
    <row r="1158" spans="2:17" x14ac:dyDescent="0.2">
      <c r="B1158" s="7"/>
      <c r="C1158" s="8"/>
      <c r="D1158" s="9"/>
      <c r="E1158" s="10"/>
      <c r="F1158" s="8"/>
      <c r="G1158" s="8"/>
      <c r="H1158" s="9"/>
      <c r="I1158" s="10"/>
      <c r="J1158" s="8"/>
      <c r="K1158" s="10"/>
      <c r="L1158" s="10"/>
      <c r="M1158" s="10"/>
      <c r="N1158" s="10"/>
      <c r="O1158" s="10"/>
      <c r="P1158" s="8"/>
      <c r="Q1158" s="9"/>
    </row>
    <row r="1159" spans="2:17" x14ac:dyDescent="0.2">
      <c r="B1159" s="7"/>
      <c r="C1159" s="8"/>
      <c r="D1159" s="9"/>
      <c r="E1159" s="10"/>
      <c r="F1159" s="8"/>
      <c r="G1159" s="8"/>
      <c r="H1159" s="9"/>
      <c r="I1159" s="10"/>
      <c r="J1159" s="8"/>
      <c r="K1159" s="10"/>
      <c r="L1159" s="10"/>
      <c r="M1159" s="10"/>
      <c r="N1159" s="10"/>
      <c r="O1159" s="10"/>
      <c r="P1159" s="8"/>
      <c r="Q1159" s="9"/>
    </row>
    <row r="1160" spans="2:17" x14ac:dyDescent="0.2">
      <c r="B1160" s="7"/>
      <c r="C1160" s="8"/>
      <c r="D1160" s="9"/>
      <c r="E1160" s="10"/>
      <c r="F1160" s="8"/>
      <c r="G1160" s="8"/>
      <c r="H1160" s="9"/>
      <c r="I1160" s="10"/>
      <c r="J1160" s="8"/>
      <c r="K1160" s="10"/>
      <c r="L1160" s="10"/>
      <c r="M1160" s="10"/>
      <c r="N1160" s="10"/>
      <c r="O1160" s="10"/>
      <c r="P1160" s="8"/>
      <c r="Q1160" s="9"/>
    </row>
    <row r="1161" spans="2:17" x14ac:dyDescent="0.2">
      <c r="B1161" s="7"/>
      <c r="C1161" s="8"/>
      <c r="D1161" s="9"/>
      <c r="E1161" s="10"/>
      <c r="F1161" s="8"/>
      <c r="G1161" s="8"/>
      <c r="H1161" s="9"/>
      <c r="I1161" s="10"/>
      <c r="J1161" s="8"/>
      <c r="K1161" s="10"/>
      <c r="L1161" s="10"/>
      <c r="M1161" s="10"/>
      <c r="N1161" s="10"/>
      <c r="O1161" s="10"/>
      <c r="P1161" s="8"/>
      <c r="Q1161" s="9"/>
    </row>
    <row r="1162" spans="2:17" x14ac:dyDescent="0.2">
      <c r="B1162" s="7"/>
      <c r="C1162" s="8"/>
      <c r="D1162" s="9"/>
      <c r="E1162" s="10"/>
      <c r="F1162" s="8"/>
      <c r="G1162" s="8"/>
      <c r="H1162" s="9"/>
      <c r="I1162" s="10"/>
      <c r="J1162" s="8"/>
      <c r="K1162" s="10"/>
      <c r="L1162" s="10"/>
      <c r="M1162" s="10"/>
      <c r="N1162" s="10"/>
      <c r="O1162" s="10"/>
      <c r="P1162" s="8"/>
      <c r="Q1162" s="9"/>
    </row>
    <row r="1163" spans="2:17" x14ac:dyDescent="0.2">
      <c r="B1163" s="7"/>
      <c r="C1163" s="8"/>
      <c r="D1163" s="9"/>
      <c r="E1163" s="10"/>
      <c r="F1163" s="8"/>
      <c r="G1163" s="8"/>
      <c r="H1163" s="9"/>
      <c r="I1163" s="10"/>
      <c r="J1163" s="8"/>
      <c r="K1163" s="10"/>
      <c r="L1163" s="10"/>
      <c r="M1163" s="10"/>
      <c r="N1163" s="10"/>
      <c r="O1163" s="10"/>
      <c r="P1163" s="8"/>
      <c r="Q1163" s="9"/>
    </row>
    <row r="1164" spans="2:17" x14ac:dyDescent="0.2">
      <c r="B1164" s="7"/>
      <c r="C1164" s="8"/>
      <c r="D1164" s="9"/>
      <c r="E1164" s="10"/>
      <c r="F1164" s="8"/>
      <c r="G1164" s="8"/>
      <c r="H1164" s="9"/>
      <c r="I1164" s="10"/>
      <c r="J1164" s="8"/>
      <c r="K1164" s="10"/>
      <c r="L1164" s="10"/>
      <c r="M1164" s="10"/>
      <c r="N1164" s="10"/>
      <c r="O1164" s="10"/>
      <c r="P1164" s="8"/>
      <c r="Q1164" s="9"/>
    </row>
    <row r="1165" spans="2:17" x14ac:dyDescent="0.2">
      <c r="B1165" s="7"/>
      <c r="C1165" s="8"/>
      <c r="D1165" s="9"/>
      <c r="E1165" s="10"/>
      <c r="F1165" s="8"/>
      <c r="G1165" s="8"/>
      <c r="H1165" s="9"/>
      <c r="I1165" s="10"/>
      <c r="J1165" s="8"/>
      <c r="K1165" s="10"/>
      <c r="L1165" s="10"/>
      <c r="M1165" s="10"/>
      <c r="N1165" s="10"/>
      <c r="O1165" s="10"/>
      <c r="P1165" s="8"/>
      <c r="Q1165" s="9"/>
    </row>
    <row r="1166" spans="2:17" x14ac:dyDescent="0.2">
      <c r="B1166" s="7"/>
      <c r="C1166" s="8"/>
      <c r="D1166" s="9"/>
      <c r="E1166" s="10"/>
      <c r="F1166" s="8"/>
      <c r="G1166" s="8"/>
      <c r="H1166" s="9"/>
      <c r="I1166" s="10"/>
      <c r="J1166" s="8"/>
      <c r="K1166" s="10"/>
      <c r="L1166" s="10"/>
      <c r="M1166" s="10"/>
      <c r="N1166" s="10"/>
      <c r="O1166" s="10"/>
      <c r="P1166" s="8"/>
      <c r="Q1166" s="9"/>
    </row>
    <row r="1167" spans="2:17" x14ac:dyDescent="0.2">
      <c r="B1167" s="7"/>
      <c r="C1167" s="8"/>
      <c r="D1167" s="9"/>
      <c r="E1167" s="10"/>
      <c r="F1167" s="8"/>
      <c r="G1167" s="8"/>
      <c r="H1167" s="9"/>
      <c r="I1167" s="10"/>
      <c r="J1167" s="8"/>
      <c r="K1167" s="10"/>
      <c r="L1167" s="10"/>
      <c r="M1167" s="10"/>
      <c r="N1167" s="10"/>
      <c r="O1167" s="10"/>
      <c r="P1167" s="8"/>
      <c r="Q1167" s="9"/>
    </row>
    <row r="1168" spans="2:17" x14ac:dyDescent="0.2">
      <c r="B1168" s="7"/>
      <c r="C1168" s="8"/>
      <c r="D1168" s="9"/>
      <c r="E1168" s="10"/>
      <c r="F1168" s="8"/>
      <c r="G1168" s="8"/>
      <c r="H1168" s="9"/>
      <c r="I1168" s="10"/>
      <c r="J1168" s="8"/>
      <c r="K1168" s="10"/>
      <c r="L1168" s="10"/>
      <c r="M1168" s="10"/>
      <c r="N1168" s="10"/>
      <c r="O1168" s="10"/>
      <c r="P1168" s="8"/>
      <c r="Q1168" s="9"/>
    </row>
    <row r="1169" spans="2:17" x14ac:dyDescent="0.2">
      <c r="B1169" s="7"/>
      <c r="C1169" s="8"/>
      <c r="D1169" s="9"/>
      <c r="E1169" s="10"/>
      <c r="F1169" s="8"/>
      <c r="G1169" s="8"/>
      <c r="H1169" s="9"/>
      <c r="I1169" s="10"/>
      <c r="J1169" s="8"/>
      <c r="K1169" s="10"/>
      <c r="L1169" s="10"/>
      <c r="M1169" s="10"/>
      <c r="N1169" s="10"/>
      <c r="O1169" s="10"/>
      <c r="P1169" s="8"/>
      <c r="Q1169" s="9"/>
    </row>
    <row r="1170" spans="2:17" x14ac:dyDescent="0.2">
      <c r="B1170" s="7"/>
      <c r="C1170" s="8"/>
      <c r="D1170" s="9"/>
      <c r="E1170" s="10"/>
      <c r="F1170" s="8"/>
      <c r="G1170" s="8"/>
      <c r="H1170" s="9"/>
      <c r="I1170" s="10"/>
      <c r="J1170" s="8"/>
      <c r="K1170" s="10"/>
      <c r="L1170" s="10"/>
      <c r="M1170" s="10"/>
      <c r="N1170" s="10"/>
      <c r="O1170" s="10"/>
      <c r="P1170" s="8"/>
      <c r="Q1170" s="9"/>
    </row>
    <row r="1171" spans="2:17" x14ac:dyDescent="0.2">
      <c r="B1171" s="7"/>
      <c r="C1171" s="8"/>
      <c r="D1171" s="9"/>
      <c r="E1171" s="10"/>
      <c r="F1171" s="8"/>
      <c r="G1171" s="8"/>
      <c r="H1171" s="9"/>
      <c r="I1171" s="10"/>
      <c r="J1171" s="8"/>
      <c r="K1171" s="10"/>
      <c r="L1171" s="10"/>
      <c r="M1171" s="10"/>
      <c r="N1171" s="10"/>
      <c r="O1171" s="10"/>
      <c r="P1171" s="8"/>
      <c r="Q1171" s="9"/>
    </row>
    <row r="1172" spans="2:17" x14ac:dyDescent="0.2">
      <c r="B1172" s="7"/>
      <c r="C1172" s="8"/>
      <c r="D1172" s="9"/>
      <c r="E1172" s="10"/>
      <c r="F1172" s="8"/>
      <c r="G1172" s="8"/>
      <c r="H1172" s="9"/>
      <c r="I1172" s="10"/>
      <c r="J1172" s="8"/>
      <c r="K1172" s="10"/>
      <c r="L1172" s="10"/>
      <c r="M1172" s="10"/>
      <c r="N1172" s="10"/>
      <c r="O1172" s="10"/>
      <c r="P1172" s="8"/>
      <c r="Q1172" s="9"/>
    </row>
    <row r="1173" spans="2:17" x14ac:dyDescent="0.2">
      <c r="B1173" s="7"/>
      <c r="C1173" s="8"/>
      <c r="D1173" s="9"/>
      <c r="E1173" s="10"/>
      <c r="F1173" s="8"/>
      <c r="G1173" s="8"/>
      <c r="H1173" s="9"/>
      <c r="I1173" s="10"/>
      <c r="J1173" s="8"/>
      <c r="K1173" s="10"/>
      <c r="L1173" s="10"/>
      <c r="M1173" s="10"/>
      <c r="N1173" s="10"/>
      <c r="O1173" s="10"/>
      <c r="P1173" s="8"/>
      <c r="Q1173" s="9"/>
    </row>
    <row r="1174" spans="2:17" x14ac:dyDescent="0.2">
      <c r="B1174" s="7"/>
      <c r="C1174" s="8"/>
      <c r="D1174" s="9"/>
      <c r="E1174" s="10"/>
      <c r="F1174" s="8"/>
      <c r="G1174" s="8"/>
      <c r="H1174" s="9"/>
      <c r="I1174" s="10"/>
      <c r="J1174" s="8"/>
      <c r="K1174" s="10"/>
      <c r="L1174" s="10"/>
      <c r="M1174" s="10"/>
      <c r="N1174" s="10"/>
      <c r="O1174" s="10"/>
      <c r="P1174" s="8"/>
      <c r="Q1174" s="9"/>
    </row>
    <row r="1175" spans="2:17" x14ac:dyDescent="0.2">
      <c r="B1175" s="7"/>
      <c r="C1175" s="8"/>
      <c r="D1175" s="9"/>
      <c r="E1175" s="10"/>
      <c r="F1175" s="8"/>
      <c r="G1175" s="8"/>
      <c r="H1175" s="9"/>
      <c r="I1175" s="10"/>
      <c r="J1175" s="8"/>
      <c r="K1175" s="10"/>
      <c r="L1175" s="10"/>
      <c r="M1175" s="10"/>
      <c r="N1175" s="10"/>
      <c r="O1175" s="10"/>
      <c r="P1175" s="8"/>
      <c r="Q1175" s="9"/>
    </row>
    <row r="1176" spans="2:17" x14ac:dyDescent="0.2">
      <c r="B1176" s="7"/>
      <c r="C1176" s="8"/>
      <c r="D1176" s="9"/>
      <c r="E1176" s="10"/>
      <c r="F1176" s="8"/>
      <c r="G1176" s="8"/>
      <c r="H1176" s="9"/>
      <c r="I1176" s="10"/>
      <c r="J1176" s="8"/>
      <c r="K1176" s="10"/>
      <c r="L1176" s="10"/>
      <c r="M1176" s="10"/>
      <c r="N1176" s="10"/>
      <c r="O1176" s="10"/>
      <c r="P1176" s="8"/>
      <c r="Q1176" s="9"/>
    </row>
    <row r="1177" spans="2:17" x14ac:dyDescent="0.2">
      <c r="B1177" s="7"/>
      <c r="C1177" s="8"/>
      <c r="D1177" s="9"/>
      <c r="E1177" s="10"/>
      <c r="F1177" s="8"/>
      <c r="G1177" s="8"/>
      <c r="H1177" s="9"/>
      <c r="I1177" s="10"/>
      <c r="J1177" s="8"/>
      <c r="K1177" s="10"/>
      <c r="L1177" s="10"/>
      <c r="M1177" s="10"/>
      <c r="N1177" s="10"/>
      <c r="O1177" s="10"/>
      <c r="P1177" s="8"/>
      <c r="Q1177" s="9"/>
    </row>
    <row r="1178" spans="2:17" x14ac:dyDescent="0.2">
      <c r="B1178" s="7"/>
      <c r="C1178" s="8"/>
      <c r="D1178" s="9"/>
      <c r="E1178" s="10"/>
      <c r="F1178" s="8"/>
      <c r="G1178" s="8"/>
      <c r="H1178" s="9"/>
      <c r="I1178" s="10"/>
      <c r="J1178" s="8"/>
      <c r="K1178" s="10"/>
      <c r="L1178" s="10"/>
      <c r="M1178" s="10"/>
      <c r="N1178" s="10"/>
      <c r="O1178" s="10"/>
      <c r="P1178" s="8"/>
      <c r="Q1178" s="9"/>
    </row>
    <row r="1179" spans="2:17" x14ac:dyDescent="0.2">
      <c r="B1179" s="7"/>
      <c r="C1179" s="8"/>
      <c r="D1179" s="9"/>
      <c r="E1179" s="10"/>
      <c r="F1179" s="8"/>
      <c r="G1179" s="8"/>
      <c r="H1179" s="9"/>
      <c r="I1179" s="10"/>
      <c r="J1179" s="8"/>
      <c r="K1179" s="10"/>
      <c r="L1179" s="10"/>
      <c r="M1179" s="10"/>
      <c r="N1179" s="10"/>
      <c r="O1179" s="10"/>
      <c r="P1179" s="8"/>
      <c r="Q1179" s="9"/>
    </row>
    <row r="1180" spans="2:17" x14ac:dyDescent="0.2">
      <c r="B1180" s="7"/>
      <c r="C1180" s="8"/>
      <c r="D1180" s="9"/>
      <c r="E1180" s="10"/>
      <c r="F1180" s="8"/>
      <c r="G1180" s="8"/>
      <c r="H1180" s="9"/>
      <c r="I1180" s="10"/>
      <c r="J1180" s="8"/>
      <c r="K1180" s="10"/>
      <c r="L1180" s="10"/>
      <c r="M1180" s="10"/>
      <c r="N1180" s="10"/>
      <c r="O1180" s="10"/>
      <c r="P1180" s="8"/>
      <c r="Q1180" s="9"/>
    </row>
    <row r="1181" spans="2:17" x14ac:dyDescent="0.2">
      <c r="B1181" s="7"/>
      <c r="C1181" s="8"/>
      <c r="D1181" s="9"/>
      <c r="E1181" s="10"/>
      <c r="F1181" s="8"/>
      <c r="G1181" s="8"/>
      <c r="H1181" s="9"/>
      <c r="I1181" s="10"/>
      <c r="J1181" s="8"/>
      <c r="K1181" s="10"/>
      <c r="L1181" s="10"/>
      <c r="M1181" s="10"/>
      <c r="N1181" s="10"/>
      <c r="O1181" s="10"/>
      <c r="P1181" s="8"/>
      <c r="Q1181" s="9"/>
    </row>
    <row r="1182" spans="2:17" x14ac:dyDescent="0.2">
      <c r="B1182" s="7"/>
      <c r="C1182" s="8"/>
      <c r="D1182" s="9"/>
      <c r="E1182" s="10"/>
      <c r="F1182" s="8"/>
      <c r="G1182" s="8"/>
      <c r="H1182" s="9"/>
      <c r="I1182" s="10"/>
      <c r="J1182" s="8"/>
      <c r="K1182" s="10"/>
      <c r="L1182" s="10"/>
      <c r="M1182" s="10"/>
      <c r="N1182" s="10"/>
      <c r="O1182" s="10"/>
      <c r="P1182" s="8"/>
      <c r="Q1182" s="9"/>
    </row>
    <row r="1183" spans="2:17" x14ac:dyDescent="0.2">
      <c r="B1183" s="7"/>
      <c r="C1183" s="8"/>
      <c r="D1183" s="9"/>
      <c r="E1183" s="10"/>
      <c r="F1183" s="8"/>
      <c r="G1183" s="8"/>
      <c r="H1183" s="9"/>
      <c r="I1183" s="10"/>
      <c r="J1183" s="8"/>
      <c r="K1183" s="10"/>
      <c r="L1183" s="10"/>
      <c r="M1183" s="10"/>
      <c r="N1183" s="10"/>
      <c r="O1183" s="10"/>
      <c r="P1183" s="8"/>
      <c r="Q1183" s="9"/>
    </row>
    <row r="1184" spans="2:17" x14ac:dyDescent="0.2">
      <c r="B1184" s="7"/>
      <c r="C1184" s="8"/>
      <c r="D1184" s="9"/>
      <c r="E1184" s="10"/>
      <c r="F1184" s="8"/>
      <c r="G1184" s="8"/>
      <c r="H1184" s="9"/>
      <c r="I1184" s="10"/>
      <c r="J1184" s="8"/>
      <c r="K1184" s="10"/>
      <c r="L1184" s="10"/>
      <c r="M1184" s="10"/>
      <c r="N1184" s="10"/>
      <c r="O1184" s="10"/>
      <c r="P1184" s="8"/>
      <c r="Q1184" s="9"/>
    </row>
    <row r="1185" spans="2:17" x14ac:dyDescent="0.2">
      <c r="B1185" s="7"/>
      <c r="C1185" s="8"/>
      <c r="D1185" s="9"/>
      <c r="E1185" s="10"/>
      <c r="F1185" s="8"/>
      <c r="G1185" s="8"/>
      <c r="H1185" s="9"/>
      <c r="I1185" s="10"/>
      <c r="J1185" s="8"/>
      <c r="K1185" s="10"/>
      <c r="L1185" s="10"/>
      <c r="M1185" s="10"/>
      <c r="N1185" s="10"/>
      <c r="O1185" s="10"/>
      <c r="P1185" s="8"/>
      <c r="Q1185" s="9"/>
    </row>
    <row r="1186" spans="2:17" x14ac:dyDescent="0.2">
      <c r="B1186" s="7"/>
      <c r="C1186" s="8"/>
      <c r="D1186" s="9"/>
      <c r="E1186" s="10"/>
      <c r="F1186" s="8"/>
      <c r="G1186" s="8"/>
      <c r="H1186" s="9"/>
      <c r="I1186" s="10"/>
      <c r="J1186" s="8"/>
      <c r="K1186" s="10"/>
      <c r="L1186" s="10"/>
      <c r="M1186" s="10"/>
      <c r="N1186" s="10"/>
      <c r="O1186" s="10"/>
      <c r="P1186" s="8"/>
      <c r="Q1186" s="9"/>
    </row>
    <row r="1187" spans="2:17" x14ac:dyDescent="0.2">
      <c r="B1187" s="7"/>
      <c r="C1187" s="8"/>
      <c r="D1187" s="9"/>
      <c r="E1187" s="10"/>
      <c r="F1187" s="8"/>
      <c r="G1187" s="8"/>
      <c r="H1187" s="9"/>
      <c r="I1187" s="10"/>
      <c r="J1187" s="8"/>
      <c r="K1187" s="10"/>
      <c r="L1187" s="10"/>
      <c r="M1187" s="10"/>
      <c r="N1187" s="10"/>
      <c r="O1187" s="10"/>
      <c r="P1187" s="8"/>
      <c r="Q1187" s="9"/>
    </row>
    <row r="1188" spans="2:17" x14ac:dyDescent="0.2">
      <c r="B1188" s="7"/>
      <c r="C1188" s="8"/>
      <c r="D1188" s="9"/>
      <c r="E1188" s="10"/>
      <c r="F1188" s="8"/>
      <c r="G1188" s="8"/>
      <c r="H1188" s="9"/>
      <c r="I1188" s="10"/>
      <c r="J1188" s="8"/>
      <c r="K1188" s="10"/>
      <c r="L1188" s="10"/>
      <c r="M1188" s="10"/>
      <c r="N1188" s="10"/>
      <c r="O1188" s="10"/>
      <c r="P1188" s="8"/>
      <c r="Q1188" s="9"/>
    </row>
    <row r="1189" spans="2:17" x14ac:dyDescent="0.2">
      <c r="B1189" s="7"/>
      <c r="C1189" s="8"/>
      <c r="D1189" s="9"/>
      <c r="E1189" s="10"/>
      <c r="F1189" s="8"/>
      <c r="G1189" s="8"/>
      <c r="H1189" s="9"/>
      <c r="I1189" s="10"/>
      <c r="J1189" s="8"/>
      <c r="K1189" s="10"/>
      <c r="L1189" s="10"/>
      <c r="M1189" s="10"/>
      <c r="N1189" s="10"/>
      <c r="O1189" s="10"/>
      <c r="P1189" s="8"/>
      <c r="Q1189" s="9"/>
    </row>
    <row r="1190" spans="2:17" x14ac:dyDescent="0.2">
      <c r="B1190" s="7"/>
      <c r="C1190" s="8"/>
      <c r="D1190" s="9"/>
      <c r="E1190" s="10"/>
      <c r="F1190" s="8"/>
      <c r="G1190" s="8"/>
      <c r="H1190" s="9"/>
      <c r="I1190" s="10"/>
      <c r="J1190" s="8"/>
      <c r="K1190" s="10"/>
      <c r="L1190" s="10"/>
      <c r="M1190" s="10"/>
      <c r="N1190" s="10"/>
      <c r="O1190" s="10"/>
      <c r="P1190" s="8"/>
      <c r="Q1190" s="9"/>
    </row>
    <row r="1191" spans="2:17" x14ac:dyDescent="0.2">
      <c r="B1191" s="7"/>
      <c r="C1191" s="8"/>
      <c r="D1191" s="9"/>
      <c r="E1191" s="10"/>
      <c r="F1191" s="8"/>
      <c r="G1191" s="8"/>
      <c r="H1191" s="9"/>
      <c r="I1191" s="10"/>
      <c r="J1191" s="8"/>
      <c r="K1191" s="10"/>
      <c r="L1191" s="10"/>
      <c r="M1191" s="10"/>
      <c r="N1191" s="10"/>
      <c r="O1191" s="10"/>
      <c r="P1191" s="8"/>
      <c r="Q1191" s="9"/>
    </row>
    <row r="1192" spans="2:17" x14ac:dyDescent="0.2">
      <c r="B1192" s="7"/>
      <c r="C1192" s="8"/>
      <c r="D1192" s="9"/>
      <c r="E1192" s="10"/>
      <c r="F1192" s="8"/>
      <c r="G1192" s="8"/>
      <c r="H1192" s="9"/>
      <c r="I1192" s="10"/>
      <c r="J1192" s="8"/>
      <c r="K1192" s="10"/>
      <c r="L1192" s="10"/>
      <c r="M1192" s="10"/>
      <c r="N1192" s="10"/>
      <c r="O1192" s="10"/>
      <c r="P1192" s="8"/>
      <c r="Q1192" s="9"/>
    </row>
    <row r="1193" spans="2:17" x14ac:dyDescent="0.2">
      <c r="B1193" s="7"/>
      <c r="C1193" s="8"/>
      <c r="D1193" s="9"/>
      <c r="E1193" s="10"/>
      <c r="F1193" s="8"/>
      <c r="G1193" s="8"/>
      <c r="H1193" s="9"/>
      <c r="I1193" s="10"/>
      <c r="J1193" s="8"/>
      <c r="K1193" s="10"/>
      <c r="L1193" s="10"/>
      <c r="M1193" s="10"/>
      <c r="N1193" s="10"/>
      <c r="O1193" s="10"/>
      <c r="P1193" s="8"/>
      <c r="Q1193" s="9"/>
    </row>
    <row r="1194" spans="2:17" x14ac:dyDescent="0.2">
      <c r="B1194" s="7"/>
      <c r="C1194" s="8"/>
      <c r="D1194" s="9"/>
      <c r="E1194" s="10"/>
      <c r="F1194" s="8"/>
      <c r="G1194" s="8"/>
      <c r="H1194" s="9"/>
      <c r="I1194" s="10"/>
      <c r="J1194" s="8"/>
      <c r="K1194" s="10"/>
      <c r="L1194" s="10"/>
      <c r="M1194" s="10"/>
      <c r="N1194" s="10"/>
      <c r="O1194" s="10"/>
      <c r="P1194" s="8"/>
      <c r="Q1194" s="9"/>
    </row>
    <row r="1195" spans="2:17" x14ac:dyDescent="0.2">
      <c r="B1195" s="7"/>
      <c r="C1195" s="8"/>
      <c r="D1195" s="9"/>
      <c r="E1195" s="10"/>
      <c r="F1195" s="8"/>
      <c r="G1195" s="8"/>
      <c r="H1195" s="9"/>
      <c r="I1195" s="10"/>
      <c r="J1195" s="8"/>
      <c r="K1195" s="10"/>
      <c r="L1195" s="10"/>
      <c r="M1195" s="10"/>
      <c r="N1195" s="10"/>
      <c r="O1195" s="10"/>
      <c r="P1195" s="8"/>
      <c r="Q1195" s="9"/>
    </row>
    <row r="1196" spans="2:17" x14ac:dyDescent="0.2">
      <c r="B1196" s="7"/>
      <c r="C1196" s="8"/>
      <c r="D1196" s="9"/>
      <c r="E1196" s="10"/>
      <c r="F1196" s="8"/>
      <c r="G1196" s="8"/>
      <c r="H1196" s="9"/>
      <c r="I1196" s="10"/>
      <c r="J1196" s="8"/>
      <c r="K1196" s="10"/>
      <c r="L1196" s="10"/>
      <c r="M1196" s="10"/>
      <c r="N1196" s="10"/>
      <c r="O1196" s="10"/>
      <c r="P1196" s="8"/>
      <c r="Q1196" s="9"/>
    </row>
    <row r="1197" spans="2:17" x14ac:dyDescent="0.2">
      <c r="B1197" s="7"/>
      <c r="C1197" s="8"/>
      <c r="D1197" s="9"/>
      <c r="E1197" s="10"/>
      <c r="F1197" s="8"/>
      <c r="G1197" s="8"/>
      <c r="H1197" s="9"/>
      <c r="I1197" s="10"/>
      <c r="J1197" s="8"/>
      <c r="K1197" s="10"/>
      <c r="L1197" s="10"/>
      <c r="M1197" s="10"/>
      <c r="N1197" s="10"/>
      <c r="O1197" s="10"/>
      <c r="P1197" s="8"/>
      <c r="Q1197" s="9"/>
    </row>
    <row r="1198" spans="2:17" x14ac:dyDescent="0.2">
      <c r="B1198" s="7"/>
      <c r="C1198" s="8"/>
      <c r="D1198" s="9"/>
      <c r="E1198" s="10"/>
      <c r="F1198" s="8"/>
      <c r="G1198" s="8"/>
      <c r="H1198" s="9"/>
      <c r="I1198" s="10"/>
      <c r="J1198" s="8"/>
      <c r="K1198" s="10"/>
      <c r="L1198" s="10"/>
      <c r="M1198" s="10"/>
      <c r="N1198" s="10"/>
      <c r="O1198" s="10"/>
      <c r="P1198" s="8"/>
      <c r="Q1198" s="9"/>
    </row>
    <row r="1199" spans="2:17" x14ac:dyDescent="0.2">
      <c r="B1199" s="7"/>
      <c r="C1199" s="8"/>
      <c r="D1199" s="9"/>
      <c r="E1199" s="10"/>
      <c r="F1199" s="8"/>
      <c r="G1199" s="8"/>
      <c r="H1199" s="9"/>
      <c r="I1199" s="10"/>
      <c r="J1199" s="8"/>
      <c r="K1199" s="10"/>
      <c r="L1199" s="10"/>
      <c r="M1199" s="10"/>
      <c r="N1199" s="10"/>
      <c r="O1199" s="10"/>
      <c r="P1199" s="8"/>
      <c r="Q1199" s="9"/>
    </row>
    <row r="1200" spans="2:17" x14ac:dyDescent="0.2">
      <c r="B1200" s="7"/>
      <c r="C1200" s="8"/>
      <c r="D1200" s="9"/>
      <c r="E1200" s="10"/>
      <c r="F1200" s="8"/>
      <c r="G1200" s="8"/>
      <c r="H1200" s="9"/>
      <c r="I1200" s="10"/>
      <c r="J1200" s="8"/>
      <c r="K1200" s="10"/>
      <c r="L1200" s="10"/>
      <c r="M1200" s="10"/>
      <c r="N1200" s="10"/>
      <c r="O1200" s="10"/>
      <c r="P1200" s="8"/>
      <c r="Q1200" s="9"/>
    </row>
    <row r="1201" spans="2:17" x14ac:dyDescent="0.2">
      <c r="B1201" s="7"/>
      <c r="C1201" s="8"/>
      <c r="D1201" s="9"/>
      <c r="E1201" s="10"/>
      <c r="F1201" s="8"/>
      <c r="G1201" s="8"/>
      <c r="H1201" s="9"/>
      <c r="I1201" s="10"/>
      <c r="J1201" s="8"/>
      <c r="K1201" s="10"/>
      <c r="L1201" s="10"/>
      <c r="M1201" s="10"/>
      <c r="N1201" s="10"/>
      <c r="O1201" s="10"/>
      <c r="P1201" s="8"/>
      <c r="Q1201" s="9"/>
    </row>
    <row r="1202" spans="2:17" x14ac:dyDescent="0.2">
      <c r="B1202" s="7"/>
      <c r="C1202" s="8"/>
      <c r="D1202" s="9"/>
      <c r="E1202" s="10"/>
      <c r="F1202" s="8"/>
      <c r="G1202" s="8"/>
      <c r="H1202" s="9"/>
      <c r="I1202" s="10"/>
      <c r="J1202" s="8"/>
      <c r="K1202" s="10"/>
      <c r="L1202" s="10"/>
      <c r="M1202" s="10"/>
      <c r="N1202" s="10"/>
      <c r="O1202" s="10"/>
      <c r="P1202" s="8"/>
      <c r="Q1202" s="9"/>
    </row>
    <row r="1203" spans="2:17" x14ac:dyDescent="0.2">
      <c r="B1203" s="7"/>
      <c r="C1203" s="8"/>
      <c r="D1203" s="9"/>
      <c r="E1203" s="10"/>
      <c r="F1203" s="8"/>
      <c r="G1203" s="8"/>
      <c r="H1203" s="9"/>
      <c r="I1203" s="10"/>
      <c r="J1203" s="8"/>
      <c r="K1203" s="10"/>
      <c r="L1203" s="10"/>
      <c r="M1203" s="10"/>
      <c r="N1203" s="10"/>
      <c r="O1203" s="10"/>
      <c r="P1203" s="8"/>
      <c r="Q1203" s="9"/>
    </row>
    <row r="1204" spans="2:17" x14ac:dyDescent="0.2">
      <c r="B1204" s="7"/>
      <c r="C1204" s="8"/>
      <c r="D1204" s="9"/>
      <c r="E1204" s="10"/>
      <c r="F1204" s="8"/>
      <c r="G1204" s="8"/>
      <c r="H1204" s="9"/>
      <c r="I1204" s="10"/>
      <c r="J1204" s="8"/>
      <c r="K1204" s="10"/>
      <c r="L1204" s="10"/>
      <c r="M1204" s="10"/>
      <c r="N1204" s="10"/>
      <c r="O1204" s="10"/>
      <c r="P1204" s="8"/>
      <c r="Q1204" s="9"/>
    </row>
    <row r="1205" spans="2:17" x14ac:dyDescent="0.2">
      <c r="B1205" s="7"/>
      <c r="C1205" s="8"/>
      <c r="D1205" s="9"/>
      <c r="E1205" s="10"/>
      <c r="F1205" s="8"/>
      <c r="G1205" s="8"/>
      <c r="H1205" s="9"/>
      <c r="I1205" s="10"/>
      <c r="J1205" s="8"/>
      <c r="K1205" s="10"/>
      <c r="L1205" s="10"/>
      <c r="M1205" s="10"/>
      <c r="N1205" s="10"/>
      <c r="O1205" s="10"/>
      <c r="P1205" s="8"/>
      <c r="Q1205" s="9"/>
    </row>
    <row r="1206" spans="2:17" x14ac:dyDescent="0.2">
      <c r="B1206" s="7"/>
      <c r="C1206" s="8"/>
      <c r="D1206" s="9"/>
      <c r="E1206" s="10"/>
      <c r="F1206" s="8"/>
      <c r="G1206" s="8"/>
      <c r="H1206" s="9"/>
      <c r="I1206" s="10"/>
      <c r="J1206" s="8"/>
      <c r="K1206" s="10"/>
      <c r="L1206" s="10"/>
      <c r="M1206" s="10"/>
      <c r="N1206" s="10"/>
      <c r="O1206" s="10"/>
      <c r="P1206" s="8"/>
      <c r="Q1206" s="9"/>
    </row>
    <row r="1207" spans="2:17" x14ac:dyDescent="0.2">
      <c r="B1207" s="7"/>
      <c r="C1207" s="8"/>
      <c r="D1207" s="9"/>
      <c r="E1207" s="10"/>
      <c r="F1207" s="8"/>
      <c r="G1207" s="8"/>
      <c r="H1207" s="9"/>
      <c r="I1207" s="10"/>
      <c r="J1207" s="8"/>
      <c r="K1207" s="10"/>
      <c r="L1207" s="10"/>
      <c r="M1207" s="10"/>
      <c r="N1207" s="10"/>
      <c r="O1207" s="10"/>
      <c r="P1207" s="8"/>
      <c r="Q1207" s="9"/>
    </row>
    <row r="1208" spans="2:17" x14ac:dyDescent="0.2">
      <c r="B1208" s="7"/>
      <c r="C1208" s="8"/>
      <c r="D1208" s="9"/>
      <c r="E1208" s="10"/>
      <c r="F1208" s="8"/>
      <c r="G1208" s="8"/>
      <c r="H1208" s="9"/>
      <c r="I1208" s="10"/>
      <c r="J1208" s="8"/>
      <c r="K1208" s="10"/>
      <c r="L1208" s="10"/>
      <c r="M1208" s="10"/>
      <c r="N1208" s="10"/>
      <c r="O1208" s="10"/>
      <c r="P1208" s="8"/>
      <c r="Q1208" s="9"/>
    </row>
    <row r="1209" spans="2:17" x14ac:dyDescent="0.2">
      <c r="B1209" s="7"/>
      <c r="C1209" s="8"/>
      <c r="D1209" s="9"/>
      <c r="E1209" s="10"/>
      <c r="F1209" s="8"/>
      <c r="G1209" s="8"/>
      <c r="H1209" s="9"/>
      <c r="I1209" s="10"/>
      <c r="J1209" s="8"/>
      <c r="K1209" s="10"/>
      <c r="L1209" s="10"/>
      <c r="M1209" s="10"/>
      <c r="N1209" s="10"/>
      <c r="O1209" s="10"/>
      <c r="P1209" s="8"/>
      <c r="Q1209" s="9"/>
    </row>
    <row r="1210" spans="2:17" x14ac:dyDescent="0.2">
      <c r="B1210" s="7"/>
      <c r="C1210" s="8"/>
      <c r="D1210" s="9"/>
      <c r="E1210" s="10"/>
      <c r="F1210" s="8"/>
      <c r="G1210" s="8"/>
      <c r="H1210" s="9"/>
      <c r="I1210" s="10"/>
      <c r="J1210" s="8"/>
      <c r="K1210" s="10"/>
      <c r="L1210" s="10"/>
      <c r="M1210" s="10"/>
      <c r="N1210" s="10"/>
      <c r="O1210" s="10"/>
      <c r="P1210" s="8"/>
      <c r="Q1210" s="9"/>
    </row>
    <row r="1211" spans="2:17" x14ac:dyDescent="0.2">
      <c r="B1211" s="7"/>
      <c r="C1211" s="8"/>
      <c r="D1211" s="9"/>
      <c r="E1211" s="10"/>
      <c r="F1211" s="8"/>
      <c r="G1211" s="8"/>
      <c r="H1211" s="9"/>
      <c r="I1211" s="10"/>
      <c r="J1211" s="8"/>
      <c r="K1211" s="10"/>
      <c r="L1211" s="10"/>
      <c r="M1211" s="10"/>
      <c r="N1211" s="10"/>
      <c r="O1211" s="10"/>
      <c r="P1211" s="8"/>
      <c r="Q1211" s="9"/>
    </row>
    <row r="1212" spans="2:17" x14ac:dyDescent="0.2">
      <c r="B1212" s="7"/>
      <c r="C1212" s="8"/>
      <c r="D1212" s="9"/>
      <c r="E1212" s="10"/>
      <c r="F1212" s="8"/>
      <c r="G1212" s="8"/>
      <c r="H1212" s="9"/>
      <c r="I1212" s="10"/>
      <c r="J1212" s="8"/>
      <c r="K1212" s="10"/>
      <c r="L1212" s="10"/>
      <c r="M1212" s="10"/>
      <c r="N1212" s="10"/>
      <c r="O1212" s="10"/>
      <c r="P1212" s="8"/>
      <c r="Q1212" s="9"/>
    </row>
    <row r="1213" spans="2:17" x14ac:dyDescent="0.2">
      <c r="B1213" s="7"/>
      <c r="C1213" s="8"/>
      <c r="D1213" s="9"/>
      <c r="E1213" s="10"/>
      <c r="F1213" s="8"/>
      <c r="G1213" s="8"/>
      <c r="H1213" s="9"/>
      <c r="I1213" s="10"/>
      <c r="J1213" s="8"/>
      <c r="K1213" s="10"/>
      <c r="L1213" s="10"/>
      <c r="M1213" s="10"/>
      <c r="N1213" s="10"/>
      <c r="O1213" s="10"/>
      <c r="P1213" s="8"/>
      <c r="Q1213" s="9"/>
    </row>
    <row r="1214" spans="2:17" x14ac:dyDescent="0.2">
      <c r="B1214" s="7"/>
      <c r="C1214" s="8"/>
      <c r="D1214" s="9"/>
      <c r="E1214" s="10"/>
      <c r="F1214" s="8"/>
      <c r="G1214" s="8"/>
      <c r="H1214" s="9"/>
      <c r="I1214" s="10"/>
      <c r="J1214" s="8"/>
      <c r="K1214" s="10"/>
      <c r="L1214" s="10"/>
      <c r="M1214" s="10"/>
      <c r="N1214" s="10"/>
      <c r="O1214" s="10"/>
      <c r="P1214" s="8"/>
      <c r="Q1214" s="9"/>
    </row>
    <row r="1215" spans="2:17" x14ac:dyDescent="0.2">
      <c r="B1215" s="7"/>
      <c r="C1215" s="8"/>
      <c r="D1215" s="9"/>
      <c r="E1215" s="10"/>
      <c r="F1215" s="8"/>
      <c r="G1215" s="8"/>
      <c r="H1215" s="9"/>
      <c r="I1215" s="10"/>
      <c r="J1215" s="8"/>
      <c r="K1215" s="10"/>
      <c r="L1215" s="10"/>
      <c r="M1215" s="10"/>
      <c r="N1215" s="10"/>
      <c r="O1215" s="10"/>
      <c r="P1215" s="8"/>
      <c r="Q1215" s="9"/>
    </row>
    <row r="1216" spans="2:17" x14ac:dyDescent="0.2">
      <c r="B1216" s="7"/>
      <c r="C1216" s="8"/>
      <c r="D1216" s="9"/>
      <c r="E1216" s="10"/>
      <c r="F1216" s="8"/>
      <c r="G1216" s="8"/>
      <c r="H1216" s="9"/>
      <c r="I1216" s="10"/>
      <c r="J1216" s="8"/>
      <c r="K1216" s="10"/>
      <c r="L1216" s="10"/>
      <c r="M1216" s="10"/>
      <c r="N1216" s="10"/>
      <c r="O1216" s="10"/>
      <c r="P1216" s="8"/>
      <c r="Q1216" s="9"/>
    </row>
    <row r="1217" spans="2:17" x14ac:dyDescent="0.2">
      <c r="B1217" s="7"/>
      <c r="C1217" s="8"/>
      <c r="D1217" s="9"/>
      <c r="E1217" s="10"/>
      <c r="F1217" s="8"/>
      <c r="G1217" s="8"/>
      <c r="H1217" s="9"/>
      <c r="I1217" s="10"/>
      <c r="J1217" s="8"/>
      <c r="K1217" s="10"/>
      <c r="L1217" s="10"/>
      <c r="M1217" s="10"/>
      <c r="N1217" s="10"/>
      <c r="O1217" s="10"/>
      <c r="P1217" s="8"/>
      <c r="Q1217" s="9"/>
    </row>
    <row r="1218" spans="2:17" x14ac:dyDescent="0.2">
      <c r="B1218" s="7"/>
      <c r="C1218" s="8"/>
      <c r="D1218" s="9"/>
      <c r="E1218" s="10"/>
      <c r="F1218" s="8"/>
      <c r="G1218" s="8"/>
      <c r="H1218" s="9"/>
      <c r="I1218" s="10"/>
      <c r="J1218" s="8"/>
      <c r="K1218" s="10"/>
      <c r="L1218" s="10"/>
      <c r="M1218" s="10"/>
      <c r="N1218" s="10"/>
      <c r="O1218" s="10"/>
      <c r="P1218" s="8"/>
      <c r="Q1218" s="9"/>
    </row>
    <row r="1219" spans="2:17" x14ac:dyDescent="0.2">
      <c r="B1219" s="7"/>
      <c r="C1219" s="8"/>
      <c r="D1219" s="9"/>
      <c r="E1219" s="10"/>
      <c r="F1219" s="8"/>
      <c r="G1219" s="8"/>
      <c r="H1219" s="9"/>
      <c r="I1219" s="10"/>
      <c r="J1219" s="8"/>
      <c r="K1219" s="10"/>
      <c r="L1219" s="10"/>
      <c r="M1219" s="10"/>
      <c r="N1219" s="10"/>
      <c r="O1219" s="10"/>
      <c r="P1219" s="8"/>
      <c r="Q1219" s="9"/>
    </row>
    <row r="1220" spans="2:17" x14ac:dyDescent="0.2">
      <c r="B1220" s="7"/>
      <c r="C1220" s="8"/>
      <c r="D1220" s="9"/>
      <c r="E1220" s="10"/>
      <c r="F1220" s="8"/>
      <c r="G1220" s="8"/>
      <c r="H1220" s="9"/>
      <c r="I1220" s="10"/>
      <c r="J1220" s="8"/>
      <c r="K1220" s="10"/>
      <c r="L1220" s="10"/>
      <c r="M1220" s="10"/>
      <c r="N1220" s="10"/>
      <c r="O1220" s="10"/>
      <c r="P1220" s="8"/>
      <c r="Q1220" s="9"/>
    </row>
    <row r="1221" spans="2:17" x14ac:dyDescent="0.2">
      <c r="B1221" s="7"/>
      <c r="C1221" s="8"/>
      <c r="D1221" s="9"/>
      <c r="E1221" s="10"/>
      <c r="F1221" s="8"/>
      <c r="G1221" s="8"/>
      <c r="H1221" s="9"/>
      <c r="I1221" s="10"/>
      <c r="J1221" s="8"/>
      <c r="K1221" s="10"/>
      <c r="L1221" s="10"/>
      <c r="M1221" s="10"/>
      <c r="N1221" s="10"/>
      <c r="O1221" s="10"/>
      <c r="P1221" s="8"/>
      <c r="Q1221" s="9"/>
    </row>
    <row r="1222" spans="2:17" x14ac:dyDescent="0.2">
      <c r="B1222" s="7"/>
      <c r="C1222" s="8"/>
      <c r="D1222" s="9"/>
      <c r="E1222" s="10"/>
      <c r="F1222" s="8"/>
      <c r="G1222" s="8"/>
      <c r="H1222" s="9"/>
      <c r="I1222" s="10"/>
      <c r="J1222" s="8"/>
      <c r="K1222" s="10"/>
      <c r="L1222" s="10"/>
      <c r="M1222" s="10"/>
      <c r="N1222" s="10"/>
      <c r="O1222" s="10"/>
      <c r="P1222" s="8"/>
      <c r="Q1222" s="9"/>
    </row>
    <row r="1223" spans="2:17" x14ac:dyDescent="0.2">
      <c r="B1223" s="7"/>
      <c r="C1223" s="8"/>
      <c r="D1223" s="9"/>
      <c r="E1223" s="10"/>
      <c r="F1223" s="8"/>
      <c r="G1223" s="8"/>
      <c r="H1223" s="9"/>
      <c r="I1223" s="10"/>
      <c r="J1223" s="8"/>
      <c r="K1223" s="10"/>
      <c r="L1223" s="10"/>
      <c r="M1223" s="10"/>
      <c r="N1223" s="10"/>
      <c r="O1223" s="10"/>
      <c r="P1223" s="8"/>
      <c r="Q1223" s="9"/>
    </row>
    <row r="1224" spans="2:17" x14ac:dyDescent="0.2">
      <c r="B1224" s="7"/>
      <c r="C1224" s="8"/>
      <c r="D1224" s="9"/>
      <c r="E1224" s="10"/>
      <c r="F1224" s="8"/>
      <c r="G1224" s="8"/>
      <c r="H1224" s="9"/>
      <c r="I1224" s="10"/>
      <c r="J1224" s="8"/>
      <c r="K1224" s="10"/>
      <c r="L1224" s="10"/>
      <c r="M1224" s="10"/>
      <c r="N1224" s="10"/>
      <c r="O1224" s="10"/>
      <c r="P1224" s="8"/>
      <c r="Q1224" s="9"/>
    </row>
    <row r="1225" spans="2:17" x14ac:dyDescent="0.2">
      <c r="B1225" s="7"/>
      <c r="C1225" s="8"/>
      <c r="D1225" s="9"/>
      <c r="E1225" s="10"/>
      <c r="F1225" s="8"/>
      <c r="G1225" s="8"/>
      <c r="H1225" s="9"/>
      <c r="I1225" s="10"/>
      <c r="J1225" s="8"/>
      <c r="K1225" s="10"/>
      <c r="L1225" s="10"/>
      <c r="M1225" s="10"/>
      <c r="N1225" s="10"/>
      <c r="O1225" s="10"/>
      <c r="P1225" s="8"/>
      <c r="Q1225" s="9"/>
    </row>
    <row r="1226" spans="2:17" x14ac:dyDescent="0.2">
      <c r="B1226" s="7"/>
      <c r="C1226" s="8"/>
      <c r="D1226" s="9"/>
      <c r="E1226" s="10"/>
      <c r="F1226" s="8"/>
      <c r="G1226" s="8"/>
      <c r="H1226" s="9"/>
      <c r="I1226" s="10"/>
      <c r="J1226" s="8"/>
      <c r="K1226" s="10"/>
      <c r="L1226" s="10"/>
      <c r="M1226" s="10"/>
      <c r="N1226" s="10"/>
      <c r="O1226" s="10"/>
      <c r="P1226" s="8"/>
      <c r="Q1226" s="9"/>
    </row>
    <row r="1227" spans="2:17" x14ac:dyDescent="0.2">
      <c r="B1227" s="7"/>
      <c r="C1227" s="8"/>
      <c r="D1227" s="9"/>
      <c r="E1227" s="10"/>
      <c r="F1227" s="8"/>
      <c r="G1227" s="8"/>
      <c r="H1227" s="9"/>
      <c r="I1227" s="10"/>
      <c r="J1227" s="8"/>
      <c r="K1227" s="10"/>
      <c r="L1227" s="10"/>
      <c r="M1227" s="10"/>
      <c r="N1227" s="10"/>
      <c r="O1227" s="10"/>
      <c r="P1227" s="8"/>
      <c r="Q1227" s="9"/>
    </row>
    <row r="1228" spans="2:17" x14ac:dyDescent="0.2">
      <c r="B1228" s="7"/>
      <c r="C1228" s="8"/>
      <c r="D1228" s="9"/>
      <c r="E1228" s="10"/>
      <c r="F1228" s="8"/>
      <c r="G1228" s="8"/>
      <c r="H1228" s="9"/>
      <c r="I1228" s="10"/>
      <c r="J1228" s="8"/>
      <c r="K1228" s="10"/>
      <c r="L1228" s="10"/>
      <c r="M1228" s="10"/>
      <c r="N1228" s="10"/>
      <c r="O1228" s="10"/>
      <c r="P1228" s="8"/>
      <c r="Q1228" s="9"/>
    </row>
    <row r="1229" spans="2:17" x14ac:dyDescent="0.2">
      <c r="B1229" s="7"/>
      <c r="C1229" s="8"/>
      <c r="D1229" s="9"/>
      <c r="E1229" s="10"/>
      <c r="F1229" s="8"/>
      <c r="G1229" s="8"/>
      <c r="H1229" s="9"/>
      <c r="I1229" s="10"/>
      <c r="J1229" s="8"/>
      <c r="K1229" s="10"/>
      <c r="L1229" s="10"/>
      <c r="M1229" s="10"/>
      <c r="N1229" s="10"/>
      <c r="O1229" s="10"/>
      <c r="P1229" s="8"/>
      <c r="Q1229" s="9"/>
    </row>
    <row r="1230" spans="2:17" x14ac:dyDescent="0.2">
      <c r="B1230" s="7"/>
      <c r="C1230" s="8"/>
      <c r="D1230" s="9"/>
      <c r="E1230" s="10"/>
      <c r="F1230" s="8"/>
      <c r="G1230" s="8"/>
      <c r="H1230" s="9"/>
      <c r="I1230" s="10"/>
      <c r="J1230" s="8"/>
      <c r="K1230" s="10"/>
      <c r="L1230" s="10"/>
      <c r="M1230" s="10"/>
      <c r="N1230" s="10"/>
      <c r="O1230" s="10"/>
      <c r="P1230" s="8"/>
      <c r="Q1230" s="9"/>
    </row>
    <row r="1231" spans="2:17" x14ac:dyDescent="0.2">
      <c r="B1231" s="7"/>
      <c r="C1231" s="8"/>
      <c r="D1231" s="9"/>
      <c r="E1231" s="10"/>
      <c r="F1231" s="8"/>
      <c r="G1231" s="8"/>
      <c r="H1231" s="9"/>
      <c r="I1231" s="10"/>
      <c r="J1231" s="8"/>
      <c r="K1231" s="10"/>
      <c r="L1231" s="10"/>
      <c r="M1231" s="10"/>
      <c r="N1231" s="10"/>
      <c r="O1231" s="10"/>
      <c r="P1231" s="8"/>
      <c r="Q1231" s="9"/>
    </row>
    <row r="1232" spans="2:17" x14ac:dyDescent="0.2">
      <c r="B1232" s="7"/>
      <c r="C1232" s="8"/>
      <c r="D1232" s="9"/>
      <c r="E1232" s="10"/>
      <c r="F1232" s="8"/>
      <c r="G1232" s="8"/>
      <c r="H1232" s="9"/>
      <c r="I1232" s="10"/>
      <c r="J1232" s="8"/>
      <c r="K1232" s="10"/>
      <c r="L1232" s="10"/>
      <c r="M1232" s="10"/>
      <c r="N1232" s="10"/>
      <c r="O1232" s="10"/>
      <c r="P1232" s="8"/>
      <c r="Q1232" s="9"/>
    </row>
    <row r="1233" spans="2:17" x14ac:dyDescent="0.2">
      <c r="B1233" s="7"/>
      <c r="C1233" s="8"/>
      <c r="D1233" s="9"/>
      <c r="E1233" s="10"/>
      <c r="F1233" s="8"/>
      <c r="G1233" s="8"/>
      <c r="H1233" s="9"/>
      <c r="I1233" s="10"/>
      <c r="J1233" s="8"/>
      <c r="K1233" s="10"/>
      <c r="L1233" s="10"/>
      <c r="M1233" s="10"/>
      <c r="N1233" s="10"/>
      <c r="O1233" s="10"/>
      <c r="P1233" s="8"/>
      <c r="Q1233" s="9"/>
    </row>
    <row r="1234" spans="2:17" x14ac:dyDescent="0.2">
      <c r="B1234" s="7"/>
      <c r="C1234" s="8"/>
      <c r="D1234" s="9"/>
      <c r="E1234" s="10"/>
      <c r="F1234" s="8"/>
      <c r="G1234" s="8"/>
      <c r="H1234" s="9"/>
      <c r="I1234" s="10"/>
      <c r="J1234" s="8"/>
      <c r="K1234" s="10"/>
      <c r="L1234" s="10"/>
      <c r="M1234" s="10"/>
      <c r="N1234" s="10"/>
      <c r="O1234" s="10"/>
      <c r="P1234" s="8"/>
      <c r="Q1234" s="9"/>
    </row>
    <row r="1235" spans="2:17" x14ac:dyDescent="0.2">
      <c r="B1235" s="7"/>
      <c r="C1235" s="8"/>
      <c r="D1235" s="9"/>
      <c r="E1235" s="10"/>
      <c r="F1235" s="8"/>
      <c r="G1235" s="8"/>
      <c r="H1235" s="9"/>
      <c r="I1235" s="10"/>
      <c r="J1235" s="8"/>
      <c r="K1235" s="10"/>
      <c r="L1235" s="10"/>
      <c r="M1235" s="10"/>
      <c r="N1235" s="10"/>
      <c r="O1235" s="10"/>
      <c r="P1235" s="8"/>
      <c r="Q1235" s="9"/>
    </row>
    <row r="1236" spans="2:17" x14ac:dyDescent="0.2">
      <c r="B1236" s="7"/>
      <c r="C1236" s="8"/>
      <c r="D1236" s="9"/>
      <c r="E1236" s="10"/>
      <c r="F1236" s="8"/>
      <c r="G1236" s="8"/>
      <c r="H1236" s="9"/>
      <c r="I1236" s="10"/>
      <c r="J1236" s="8"/>
      <c r="K1236" s="10"/>
      <c r="L1236" s="10"/>
      <c r="M1236" s="10"/>
      <c r="N1236" s="10"/>
      <c r="O1236" s="10"/>
      <c r="P1236" s="8"/>
      <c r="Q1236" s="9"/>
    </row>
    <row r="1237" spans="2:17" x14ac:dyDescent="0.2">
      <c r="B1237" s="7"/>
      <c r="C1237" s="8"/>
      <c r="D1237" s="9"/>
      <c r="E1237" s="10"/>
      <c r="F1237" s="8"/>
      <c r="G1237" s="8"/>
      <c r="H1237" s="9"/>
      <c r="I1237" s="10"/>
      <c r="J1237" s="8"/>
      <c r="K1237" s="10"/>
      <c r="L1237" s="10"/>
      <c r="M1237" s="10"/>
      <c r="N1237" s="10"/>
      <c r="O1237" s="10"/>
      <c r="P1237" s="8"/>
      <c r="Q1237" s="9"/>
    </row>
    <row r="1238" spans="2:17" x14ac:dyDescent="0.2">
      <c r="B1238" s="7"/>
      <c r="C1238" s="8"/>
      <c r="D1238" s="9"/>
      <c r="E1238" s="10"/>
      <c r="F1238" s="8"/>
      <c r="G1238" s="8"/>
      <c r="H1238" s="9"/>
      <c r="I1238" s="10"/>
      <c r="J1238" s="8"/>
      <c r="K1238" s="10"/>
      <c r="L1238" s="10"/>
      <c r="M1238" s="10"/>
      <c r="N1238" s="10"/>
      <c r="O1238" s="10"/>
      <c r="P1238" s="8"/>
      <c r="Q1238" s="9"/>
    </row>
    <row r="1239" spans="2:17" x14ac:dyDescent="0.2">
      <c r="B1239" s="7"/>
      <c r="C1239" s="8"/>
      <c r="D1239" s="9"/>
      <c r="E1239" s="10"/>
      <c r="F1239" s="8"/>
      <c r="G1239" s="8"/>
      <c r="H1239" s="9"/>
      <c r="I1239" s="10"/>
      <c r="J1239" s="8"/>
      <c r="K1239" s="10"/>
      <c r="L1239" s="10"/>
      <c r="M1239" s="10"/>
      <c r="N1239" s="10"/>
      <c r="O1239" s="10"/>
      <c r="P1239" s="8"/>
      <c r="Q1239" s="9"/>
    </row>
    <row r="1240" spans="2:17" x14ac:dyDescent="0.2">
      <c r="B1240" s="7"/>
      <c r="C1240" s="8"/>
      <c r="D1240" s="9"/>
      <c r="E1240" s="10"/>
      <c r="F1240" s="8"/>
      <c r="G1240" s="8"/>
      <c r="H1240" s="9"/>
      <c r="I1240" s="10"/>
      <c r="J1240" s="8"/>
      <c r="K1240" s="10"/>
      <c r="L1240" s="10"/>
      <c r="M1240" s="10"/>
      <c r="N1240" s="10"/>
      <c r="O1240" s="10"/>
      <c r="P1240" s="8"/>
      <c r="Q1240" s="9"/>
    </row>
    <row r="1241" spans="2:17" x14ac:dyDescent="0.2">
      <c r="B1241" s="7"/>
      <c r="C1241" s="8"/>
      <c r="D1241" s="9"/>
      <c r="E1241" s="10"/>
      <c r="F1241" s="8"/>
      <c r="G1241" s="8"/>
      <c r="H1241" s="9"/>
      <c r="I1241" s="10"/>
      <c r="J1241" s="8"/>
      <c r="K1241" s="10"/>
      <c r="L1241" s="10"/>
      <c r="M1241" s="10"/>
      <c r="N1241" s="10"/>
      <c r="O1241" s="10"/>
      <c r="P1241" s="8"/>
      <c r="Q1241" s="9"/>
    </row>
    <row r="1242" spans="2:17" x14ac:dyDescent="0.2">
      <c r="B1242" s="7"/>
      <c r="C1242" s="8"/>
      <c r="D1242" s="9"/>
      <c r="E1242" s="10"/>
      <c r="F1242" s="8"/>
      <c r="G1242" s="8"/>
      <c r="H1242" s="9"/>
      <c r="I1242" s="10"/>
      <c r="J1242" s="8"/>
      <c r="K1242" s="10"/>
      <c r="L1242" s="10"/>
      <c r="M1242" s="10"/>
      <c r="N1242" s="10"/>
      <c r="O1242" s="10"/>
      <c r="P1242" s="8"/>
      <c r="Q1242" s="9"/>
    </row>
    <row r="1243" spans="2:17" x14ac:dyDescent="0.2">
      <c r="B1243" s="7"/>
      <c r="C1243" s="8"/>
      <c r="D1243" s="9"/>
      <c r="E1243" s="10"/>
      <c r="F1243" s="8"/>
      <c r="G1243" s="8"/>
      <c r="H1243" s="9"/>
      <c r="I1243" s="10"/>
      <c r="J1243" s="8"/>
      <c r="K1243" s="10"/>
      <c r="L1243" s="10"/>
      <c r="M1243" s="10"/>
      <c r="N1243" s="10"/>
      <c r="O1243" s="10"/>
      <c r="P1243" s="8"/>
      <c r="Q1243" s="9"/>
    </row>
    <row r="1244" spans="2:17" x14ac:dyDescent="0.2">
      <c r="B1244" s="7"/>
      <c r="C1244" s="8"/>
      <c r="D1244" s="9"/>
      <c r="E1244" s="10"/>
      <c r="F1244" s="8"/>
      <c r="G1244" s="8"/>
      <c r="H1244" s="9"/>
      <c r="I1244" s="10"/>
      <c r="J1244" s="8"/>
      <c r="K1244" s="10"/>
      <c r="L1244" s="10"/>
      <c r="M1244" s="10"/>
      <c r="N1244" s="10"/>
      <c r="O1244" s="10"/>
      <c r="P1244" s="8"/>
      <c r="Q1244" s="9"/>
    </row>
    <row r="1245" spans="2:17" x14ac:dyDescent="0.2">
      <c r="B1245" s="7"/>
      <c r="C1245" s="8"/>
      <c r="D1245" s="9"/>
      <c r="E1245" s="10"/>
      <c r="F1245" s="8"/>
      <c r="G1245" s="8"/>
      <c r="H1245" s="9"/>
      <c r="I1245" s="10"/>
      <c r="J1245" s="8"/>
      <c r="K1245" s="10"/>
      <c r="L1245" s="10"/>
      <c r="M1245" s="10"/>
      <c r="N1245" s="10"/>
      <c r="O1245" s="10"/>
      <c r="P1245" s="8"/>
      <c r="Q1245" s="9"/>
    </row>
    <row r="1246" spans="2:17" x14ac:dyDescent="0.2">
      <c r="B1246" s="7"/>
      <c r="C1246" s="8"/>
      <c r="D1246" s="9"/>
      <c r="E1246" s="10"/>
      <c r="F1246" s="8"/>
      <c r="G1246" s="8"/>
      <c r="H1246" s="9"/>
      <c r="I1246" s="10"/>
      <c r="J1246" s="8"/>
      <c r="K1246" s="10"/>
      <c r="L1246" s="10"/>
      <c r="M1246" s="10"/>
      <c r="N1246" s="10"/>
      <c r="O1246" s="10"/>
      <c r="P1246" s="8"/>
      <c r="Q1246" s="9"/>
    </row>
    <row r="1247" spans="2:17" x14ac:dyDescent="0.2">
      <c r="B1247" s="7"/>
      <c r="C1247" s="8"/>
      <c r="D1247" s="9"/>
      <c r="E1247" s="10"/>
      <c r="F1247" s="8"/>
      <c r="G1247" s="8"/>
      <c r="H1247" s="9"/>
      <c r="I1247" s="10"/>
      <c r="J1247" s="8"/>
      <c r="K1247" s="10"/>
      <c r="L1247" s="10"/>
      <c r="M1247" s="10"/>
      <c r="N1247" s="10"/>
      <c r="O1247" s="10"/>
      <c r="P1247" s="8"/>
      <c r="Q1247" s="9"/>
    </row>
    <row r="1248" spans="2:17" x14ac:dyDescent="0.2">
      <c r="B1248" s="7"/>
      <c r="C1248" s="8"/>
      <c r="D1248" s="9"/>
      <c r="E1248" s="10"/>
      <c r="F1248" s="8"/>
      <c r="G1248" s="8"/>
      <c r="H1248" s="9"/>
      <c r="I1248" s="10"/>
      <c r="J1248" s="8"/>
      <c r="K1248" s="10"/>
      <c r="L1248" s="10"/>
      <c r="M1248" s="10"/>
      <c r="N1248" s="10"/>
      <c r="O1248" s="10"/>
      <c r="P1248" s="8"/>
      <c r="Q1248" s="9"/>
    </row>
    <row r="1249" spans="2:17" x14ac:dyDescent="0.2">
      <c r="B1249" s="7"/>
      <c r="C1249" s="8"/>
      <c r="D1249" s="9"/>
      <c r="E1249" s="10"/>
      <c r="F1249" s="8"/>
      <c r="G1249" s="8"/>
      <c r="H1249" s="9"/>
      <c r="I1249" s="10"/>
      <c r="J1249" s="8"/>
      <c r="K1249" s="10"/>
      <c r="L1249" s="10"/>
      <c r="M1249" s="10"/>
      <c r="N1249" s="10"/>
      <c r="O1249" s="10"/>
      <c r="P1249" s="8"/>
      <c r="Q1249" s="9"/>
    </row>
    <row r="1250" spans="2:17" x14ac:dyDescent="0.2">
      <c r="B1250" s="7"/>
      <c r="C1250" s="8"/>
      <c r="D1250" s="9"/>
      <c r="E1250" s="10"/>
      <c r="F1250" s="8"/>
      <c r="G1250" s="8"/>
      <c r="H1250" s="9"/>
      <c r="I1250" s="10"/>
      <c r="J1250" s="8"/>
      <c r="K1250" s="10"/>
      <c r="L1250" s="10"/>
      <c r="M1250" s="10"/>
      <c r="N1250" s="10"/>
      <c r="O1250" s="10"/>
      <c r="P1250" s="8"/>
      <c r="Q1250" s="9"/>
    </row>
    <row r="1251" spans="2:17" x14ac:dyDescent="0.2">
      <c r="B1251" s="7"/>
      <c r="C1251" s="8"/>
      <c r="D1251" s="9"/>
      <c r="E1251" s="10"/>
      <c r="F1251" s="8"/>
      <c r="G1251" s="8"/>
      <c r="H1251" s="9"/>
      <c r="I1251" s="10"/>
      <c r="J1251" s="8"/>
      <c r="K1251" s="10"/>
      <c r="L1251" s="10"/>
      <c r="M1251" s="10"/>
      <c r="N1251" s="10"/>
      <c r="O1251" s="10"/>
      <c r="P1251" s="8"/>
      <c r="Q1251" s="9"/>
    </row>
    <row r="1252" spans="2:17" x14ac:dyDescent="0.2">
      <c r="B1252" s="7"/>
      <c r="C1252" s="8"/>
      <c r="D1252" s="9"/>
      <c r="E1252" s="10"/>
      <c r="F1252" s="8"/>
      <c r="G1252" s="8"/>
      <c r="H1252" s="9"/>
      <c r="I1252" s="10"/>
      <c r="J1252" s="8"/>
      <c r="K1252" s="10"/>
      <c r="L1252" s="10"/>
      <c r="M1252" s="10"/>
      <c r="N1252" s="10"/>
      <c r="O1252" s="10"/>
      <c r="P1252" s="8"/>
      <c r="Q1252" s="9"/>
    </row>
    <row r="1253" spans="2:17" x14ac:dyDescent="0.2">
      <c r="B1253" s="7"/>
      <c r="C1253" s="8"/>
      <c r="D1253" s="9"/>
      <c r="E1253" s="10"/>
      <c r="F1253" s="8"/>
      <c r="G1253" s="8"/>
      <c r="H1253" s="9"/>
      <c r="I1253" s="10"/>
      <c r="J1253" s="8"/>
      <c r="K1253" s="10"/>
      <c r="L1253" s="10"/>
      <c r="M1253" s="10"/>
      <c r="N1253" s="10"/>
      <c r="O1253" s="10"/>
      <c r="P1253" s="8"/>
      <c r="Q1253" s="9"/>
    </row>
    <row r="1254" spans="2:17" x14ac:dyDescent="0.2">
      <c r="B1254" s="7"/>
      <c r="C1254" s="8"/>
      <c r="D1254" s="9"/>
      <c r="E1254" s="10"/>
      <c r="F1254" s="8"/>
      <c r="G1254" s="8"/>
      <c r="H1254" s="9"/>
      <c r="I1254" s="10"/>
      <c r="J1254" s="8"/>
      <c r="K1254" s="10"/>
      <c r="L1254" s="10"/>
      <c r="M1254" s="10"/>
      <c r="N1254" s="10"/>
      <c r="O1254" s="10"/>
      <c r="P1254" s="8"/>
      <c r="Q1254" s="9"/>
    </row>
    <row r="1255" spans="2:17" x14ac:dyDescent="0.2">
      <c r="B1255" s="7"/>
      <c r="C1255" s="8"/>
      <c r="D1255" s="9"/>
      <c r="E1255" s="10"/>
      <c r="F1255" s="8"/>
      <c r="G1255" s="8"/>
      <c r="H1255" s="9"/>
      <c r="I1255" s="10"/>
      <c r="J1255" s="8"/>
      <c r="K1255" s="10"/>
      <c r="L1255" s="10"/>
      <c r="M1255" s="10"/>
      <c r="N1255" s="10"/>
      <c r="O1255" s="10"/>
      <c r="P1255" s="8"/>
      <c r="Q1255" s="9"/>
    </row>
    <row r="1256" spans="2:17" x14ac:dyDescent="0.2">
      <c r="B1256" s="7"/>
      <c r="C1256" s="8"/>
      <c r="D1256" s="9"/>
      <c r="E1256" s="10"/>
      <c r="F1256" s="8"/>
      <c r="G1256" s="8"/>
      <c r="H1256" s="9"/>
      <c r="I1256" s="10"/>
      <c r="J1256" s="8"/>
      <c r="K1256" s="10"/>
      <c r="L1256" s="10"/>
      <c r="M1256" s="10"/>
      <c r="N1256" s="10"/>
      <c r="O1256" s="10"/>
      <c r="P1256" s="8"/>
      <c r="Q1256" s="9"/>
    </row>
    <row r="1257" spans="2:17" x14ac:dyDescent="0.2">
      <c r="B1257" s="7"/>
      <c r="C1257" s="8"/>
      <c r="D1257" s="9"/>
      <c r="E1257" s="10"/>
      <c r="F1257" s="8"/>
      <c r="G1257" s="8"/>
      <c r="H1257" s="9"/>
      <c r="I1257" s="10"/>
      <c r="J1257" s="8"/>
      <c r="K1257" s="10"/>
      <c r="L1257" s="10"/>
      <c r="M1257" s="10"/>
      <c r="N1257" s="10"/>
      <c r="O1257" s="10"/>
      <c r="P1257" s="8"/>
      <c r="Q1257" s="9"/>
    </row>
    <row r="1258" spans="2:17" x14ac:dyDescent="0.2">
      <c r="B1258" s="7"/>
      <c r="C1258" s="8"/>
      <c r="D1258" s="9"/>
      <c r="E1258" s="10"/>
      <c r="F1258" s="8"/>
      <c r="G1258" s="8"/>
      <c r="H1258" s="9"/>
      <c r="I1258" s="10"/>
      <c r="J1258" s="8"/>
      <c r="K1258" s="10"/>
      <c r="L1258" s="10"/>
      <c r="M1258" s="10"/>
      <c r="N1258" s="10"/>
      <c r="O1258" s="10"/>
      <c r="P1258" s="8"/>
      <c r="Q1258" s="9"/>
    </row>
    <row r="1259" spans="2:17" x14ac:dyDescent="0.2">
      <c r="B1259" s="7"/>
      <c r="C1259" s="8"/>
      <c r="D1259" s="9"/>
      <c r="E1259" s="10"/>
      <c r="F1259" s="8"/>
      <c r="G1259" s="8"/>
      <c r="H1259" s="9"/>
      <c r="I1259" s="10"/>
      <c r="J1259" s="8"/>
      <c r="K1259" s="10"/>
      <c r="L1259" s="10"/>
      <c r="M1259" s="10"/>
      <c r="N1259" s="10"/>
      <c r="O1259" s="10"/>
      <c r="P1259" s="8"/>
      <c r="Q1259" s="9"/>
    </row>
    <row r="1260" spans="2:17" x14ac:dyDescent="0.2">
      <c r="B1260" s="7"/>
      <c r="C1260" s="8"/>
      <c r="D1260" s="9"/>
      <c r="E1260" s="10"/>
      <c r="F1260" s="8"/>
      <c r="G1260" s="8"/>
      <c r="H1260" s="9"/>
      <c r="I1260" s="10"/>
      <c r="J1260" s="8"/>
      <c r="K1260" s="10"/>
      <c r="L1260" s="10"/>
      <c r="M1260" s="10"/>
      <c r="N1260" s="10"/>
      <c r="O1260" s="10"/>
      <c r="P1260" s="8"/>
      <c r="Q1260" s="9"/>
    </row>
    <row r="1261" spans="2:17" x14ac:dyDescent="0.2">
      <c r="B1261" s="7"/>
      <c r="C1261" s="8"/>
      <c r="D1261" s="9"/>
      <c r="E1261" s="10"/>
      <c r="F1261" s="8"/>
      <c r="G1261" s="8"/>
      <c r="H1261" s="9"/>
      <c r="I1261" s="10"/>
      <c r="J1261" s="8"/>
      <c r="K1261" s="10"/>
      <c r="L1261" s="10"/>
      <c r="M1261" s="10"/>
      <c r="N1261" s="10"/>
      <c r="O1261" s="10"/>
      <c r="P1261" s="8"/>
      <c r="Q1261" s="9"/>
    </row>
    <row r="1262" spans="2:17" x14ac:dyDescent="0.2">
      <c r="B1262" s="7"/>
      <c r="C1262" s="8"/>
      <c r="D1262" s="9"/>
      <c r="E1262" s="10"/>
      <c r="F1262" s="8"/>
      <c r="G1262" s="8"/>
      <c r="H1262" s="9"/>
      <c r="I1262" s="10"/>
      <c r="J1262" s="8"/>
      <c r="K1262" s="10"/>
      <c r="L1262" s="10"/>
      <c r="M1262" s="10"/>
      <c r="N1262" s="10"/>
      <c r="O1262" s="10"/>
      <c r="P1262" s="8"/>
      <c r="Q1262" s="9"/>
    </row>
    <row r="1263" spans="2:17" x14ac:dyDescent="0.2">
      <c r="B1263" s="7"/>
      <c r="C1263" s="8"/>
      <c r="D1263" s="9"/>
      <c r="E1263" s="10"/>
      <c r="F1263" s="8"/>
      <c r="G1263" s="8"/>
      <c r="H1263" s="9"/>
      <c r="I1263" s="10"/>
      <c r="J1263" s="8"/>
      <c r="K1263" s="10"/>
      <c r="L1263" s="10"/>
      <c r="M1263" s="10"/>
      <c r="N1263" s="10"/>
      <c r="O1263" s="10"/>
      <c r="P1263" s="8"/>
      <c r="Q1263" s="9"/>
    </row>
    <row r="1264" spans="2:17" x14ac:dyDescent="0.2">
      <c r="B1264" s="7"/>
      <c r="C1264" s="8"/>
      <c r="D1264" s="9"/>
      <c r="E1264" s="10"/>
      <c r="F1264" s="8"/>
      <c r="G1264" s="8"/>
      <c r="H1264" s="9"/>
      <c r="I1264" s="10"/>
      <c r="J1264" s="8"/>
      <c r="K1264" s="10"/>
      <c r="L1264" s="10"/>
      <c r="M1264" s="10"/>
      <c r="N1264" s="10"/>
      <c r="O1264" s="10"/>
      <c r="P1264" s="8"/>
      <c r="Q1264" s="9"/>
    </row>
    <row r="1265" spans="2:17" x14ac:dyDescent="0.2">
      <c r="B1265" s="7"/>
      <c r="C1265" s="8"/>
      <c r="D1265" s="9"/>
      <c r="E1265" s="10"/>
      <c r="F1265" s="8"/>
      <c r="G1265" s="8"/>
      <c r="H1265" s="9"/>
      <c r="I1265" s="10"/>
      <c r="J1265" s="8"/>
      <c r="K1265" s="10"/>
      <c r="L1265" s="10"/>
      <c r="M1265" s="10"/>
      <c r="N1265" s="10"/>
      <c r="O1265" s="10"/>
      <c r="P1265" s="8"/>
      <c r="Q1265" s="9"/>
    </row>
    <row r="1266" spans="2:17" x14ac:dyDescent="0.2">
      <c r="B1266" s="7"/>
      <c r="C1266" s="8"/>
      <c r="D1266" s="9"/>
      <c r="E1266" s="10"/>
      <c r="F1266" s="8"/>
      <c r="G1266" s="8"/>
      <c r="H1266" s="9"/>
      <c r="I1266" s="10"/>
      <c r="J1266" s="8"/>
      <c r="K1266" s="10"/>
      <c r="L1266" s="10"/>
      <c r="M1266" s="10"/>
      <c r="N1266" s="10"/>
      <c r="O1266" s="10"/>
      <c r="P1266" s="8"/>
      <c r="Q1266" s="9"/>
    </row>
    <row r="1267" spans="2:17" x14ac:dyDescent="0.2">
      <c r="B1267" s="7"/>
      <c r="C1267" s="8"/>
      <c r="D1267" s="9"/>
      <c r="E1267" s="10"/>
      <c r="F1267" s="8"/>
      <c r="G1267" s="8"/>
      <c r="H1267" s="9"/>
      <c r="I1267" s="10"/>
      <c r="J1267" s="8"/>
      <c r="K1267" s="10"/>
      <c r="L1267" s="10"/>
      <c r="M1267" s="10"/>
      <c r="N1267" s="10"/>
      <c r="O1267" s="10"/>
      <c r="P1267" s="8"/>
      <c r="Q1267" s="9"/>
    </row>
    <row r="1268" spans="2:17" x14ac:dyDescent="0.2">
      <c r="B1268" s="7"/>
      <c r="C1268" s="8"/>
      <c r="D1268" s="9"/>
      <c r="E1268" s="10"/>
      <c r="F1268" s="8"/>
      <c r="G1268" s="8"/>
      <c r="H1268" s="9"/>
      <c r="I1268" s="10"/>
      <c r="J1268" s="8"/>
      <c r="K1268" s="10"/>
      <c r="L1268" s="10"/>
      <c r="M1268" s="10"/>
      <c r="N1268" s="10"/>
      <c r="O1268" s="10"/>
      <c r="P1268" s="8"/>
      <c r="Q1268" s="9"/>
    </row>
    <row r="1269" spans="2:17" x14ac:dyDescent="0.2">
      <c r="B1269" s="7"/>
      <c r="C1269" s="8"/>
      <c r="D1269" s="9"/>
      <c r="E1269" s="10"/>
      <c r="F1269" s="8"/>
      <c r="G1269" s="8"/>
      <c r="H1269" s="9"/>
      <c r="I1269" s="10"/>
      <c r="J1269" s="8"/>
      <c r="K1269" s="10"/>
      <c r="L1269" s="10"/>
      <c r="M1269" s="10"/>
      <c r="N1269" s="10"/>
      <c r="O1269" s="10"/>
      <c r="P1269" s="8"/>
      <c r="Q1269" s="9"/>
    </row>
    <row r="1270" spans="2:17" x14ac:dyDescent="0.2">
      <c r="B1270" s="7"/>
      <c r="C1270" s="8"/>
      <c r="D1270" s="9"/>
      <c r="E1270" s="10"/>
      <c r="F1270" s="8"/>
      <c r="G1270" s="8"/>
      <c r="H1270" s="9"/>
      <c r="I1270" s="10"/>
      <c r="J1270" s="8"/>
      <c r="K1270" s="10"/>
      <c r="L1270" s="10"/>
      <c r="M1270" s="10"/>
      <c r="N1270" s="10"/>
      <c r="O1270" s="10"/>
      <c r="P1270" s="8"/>
      <c r="Q1270" s="9"/>
    </row>
    <row r="1271" spans="2:17" x14ac:dyDescent="0.2">
      <c r="B1271" s="7"/>
      <c r="C1271" s="8"/>
      <c r="D1271" s="9"/>
      <c r="E1271" s="10"/>
      <c r="F1271" s="8"/>
      <c r="G1271" s="8"/>
      <c r="H1271" s="9"/>
      <c r="I1271" s="10"/>
      <c r="J1271" s="8"/>
      <c r="K1271" s="10"/>
      <c r="L1271" s="10"/>
      <c r="M1271" s="10"/>
      <c r="N1271" s="10"/>
      <c r="O1271" s="10"/>
      <c r="P1271" s="8"/>
      <c r="Q1271" s="9"/>
    </row>
    <row r="1272" spans="2:17" x14ac:dyDescent="0.2">
      <c r="B1272" s="7"/>
      <c r="C1272" s="8"/>
      <c r="D1272" s="9"/>
      <c r="E1272" s="10"/>
      <c r="F1272" s="8"/>
      <c r="G1272" s="8"/>
      <c r="H1272" s="9"/>
      <c r="I1272" s="10"/>
      <c r="J1272" s="8"/>
      <c r="K1272" s="10"/>
      <c r="L1272" s="10"/>
      <c r="M1272" s="10"/>
      <c r="N1272" s="10"/>
      <c r="O1272" s="10"/>
      <c r="P1272" s="8"/>
      <c r="Q1272" s="9"/>
    </row>
    <row r="1273" spans="2:17" x14ac:dyDescent="0.2">
      <c r="B1273" s="7"/>
      <c r="C1273" s="8"/>
      <c r="D1273" s="9"/>
      <c r="E1273" s="10"/>
      <c r="F1273" s="8"/>
      <c r="G1273" s="8"/>
      <c r="H1273" s="9"/>
      <c r="I1273" s="10"/>
      <c r="J1273" s="8"/>
      <c r="K1273" s="10"/>
      <c r="L1273" s="10"/>
      <c r="M1273" s="10"/>
      <c r="N1273" s="10"/>
      <c r="O1273" s="10"/>
      <c r="P1273" s="8"/>
      <c r="Q1273" s="9"/>
    </row>
    <row r="1274" spans="2:17" x14ac:dyDescent="0.2">
      <c r="B1274" s="7"/>
      <c r="C1274" s="8"/>
      <c r="D1274" s="9"/>
      <c r="E1274" s="10"/>
      <c r="F1274" s="8"/>
      <c r="G1274" s="8"/>
      <c r="H1274" s="9"/>
      <c r="I1274" s="10"/>
      <c r="J1274" s="8"/>
      <c r="K1274" s="10"/>
      <c r="L1274" s="10"/>
      <c r="M1274" s="10"/>
      <c r="N1274" s="10"/>
      <c r="O1274" s="10"/>
      <c r="P1274" s="8"/>
      <c r="Q1274" s="9"/>
    </row>
    <row r="1275" spans="2:17" x14ac:dyDescent="0.2">
      <c r="B1275" s="7"/>
      <c r="C1275" s="8"/>
      <c r="D1275" s="9"/>
      <c r="E1275" s="10"/>
      <c r="F1275" s="8"/>
      <c r="G1275" s="8"/>
      <c r="H1275" s="9"/>
      <c r="I1275" s="10"/>
      <c r="J1275" s="8"/>
      <c r="K1275" s="10"/>
      <c r="L1275" s="10"/>
      <c r="M1275" s="10"/>
      <c r="N1275" s="10"/>
      <c r="O1275" s="10"/>
      <c r="P1275" s="8"/>
      <c r="Q1275" s="9"/>
    </row>
    <row r="1276" spans="2:17" x14ac:dyDescent="0.2">
      <c r="B1276" s="7"/>
      <c r="C1276" s="8"/>
      <c r="D1276" s="9"/>
      <c r="E1276" s="10"/>
      <c r="F1276" s="8"/>
      <c r="G1276" s="8"/>
      <c r="H1276" s="9"/>
      <c r="I1276" s="10"/>
      <c r="J1276" s="8"/>
      <c r="K1276" s="10"/>
      <c r="L1276" s="10"/>
      <c r="M1276" s="10"/>
      <c r="N1276" s="10"/>
      <c r="O1276" s="10"/>
      <c r="P1276" s="8"/>
      <c r="Q1276" s="9"/>
    </row>
    <row r="1277" spans="2:17" x14ac:dyDescent="0.2">
      <c r="B1277" s="7"/>
      <c r="C1277" s="8"/>
      <c r="D1277" s="9"/>
      <c r="E1277" s="10"/>
      <c r="F1277" s="8"/>
      <c r="G1277" s="8"/>
      <c r="H1277" s="9"/>
      <c r="I1277" s="10"/>
      <c r="J1277" s="8"/>
      <c r="K1277" s="10"/>
      <c r="L1277" s="10"/>
      <c r="M1277" s="10"/>
      <c r="N1277" s="10"/>
      <c r="O1277" s="10"/>
      <c r="P1277" s="8"/>
      <c r="Q1277" s="9"/>
    </row>
    <row r="1278" spans="2:17" x14ac:dyDescent="0.2">
      <c r="B1278" s="7"/>
      <c r="C1278" s="8"/>
      <c r="D1278" s="9"/>
      <c r="E1278" s="10"/>
      <c r="F1278" s="8"/>
      <c r="G1278" s="8"/>
      <c r="H1278" s="9"/>
      <c r="I1278" s="10"/>
      <c r="J1278" s="8"/>
      <c r="K1278" s="10"/>
      <c r="L1278" s="10"/>
      <c r="M1278" s="10"/>
      <c r="N1278" s="10"/>
      <c r="O1278" s="10"/>
      <c r="P1278" s="8"/>
      <c r="Q1278" s="9"/>
    </row>
    <row r="1279" spans="2:17" x14ac:dyDescent="0.2">
      <c r="B1279" s="7"/>
      <c r="C1279" s="8"/>
      <c r="D1279" s="9"/>
      <c r="E1279" s="10"/>
      <c r="F1279" s="8"/>
      <c r="G1279" s="8"/>
      <c r="H1279" s="9"/>
      <c r="I1279" s="10"/>
      <c r="J1279" s="8"/>
      <c r="K1279" s="10"/>
      <c r="L1279" s="10"/>
      <c r="M1279" s="10"/>
      <c r="N1279" s="10"/>
      <c r="O1279" s="10"/>
      <c r="P1279" s="8"/>
      <c r="Q1279" s="9"/>
    </row>
    <row r="1280" spans="2:17" x14ac:dyDescent="0.2">
      <c r="B1280" s="7"/>
      <c r="C1280" s="8"/>
      <c r="D1280" s="9"/>
      <c r="E1280" s="10"/>
      <c r="F1280" s="8"/>
      <c r="G1280" s="8"/>
      <c r="H1280" s="9"/>
      <c r="I1280" s="10"/>
      <c r="J1280" s="8"/>
      <c r="K1280" s="10"/>
      <c r="L1280" s="10"/>
      <c r="M1280" s="10"/>
      <c r="N1280" s="10"/>
      <c r="O1280" s="10"/>
      <c r="P1280" s="8"/>
      <c r="Q1280" s="9"/>
    </row>
    <row r="1281" spans="2:17" x14ac:dyDescent="0.2">
      <c r="B1281" s="7"/>
      <c r="C1281" s="8"/>
      <c r="D1281" s="9"/>
      <c r="E1281" s="10"/>
      <c r="F1281" s="8"/>
      <c r="G1281" s="8"/>
      <c r="H1281" s="9"/>
      <c r="I1281" s="10"/>
      <c r="J1281" s="8"/>
      <c r="K1281" s="10"/>
      <c r="L1281" s="10"/>
      <c r="M1281" s="10"/>
      <c r="N1281" s="10"/>
      <c r="O1281" s="10"/>
      <c r="P1281" s="8"/>
      <c r="Q1281" s="9"/>
    </row>
    <row r="1282" spans="2:17" x14ac:dyDescent="0.2">
      <c r="B1282" s="7"/>
      <c r="C1282" s="8"/>
      <c r="D1282" s="9"/>
      <c r="E1282" s="10"/>
      <c r="F1282" s="8"/>
      <c r="G1282" s="8"/>
      <c r="H1282" s="9"/>
      <c r="I1282" s="10"/>
      <c r="J1282" s="8"/>
      <c r="K1282" s="10"/>
      <c r="L1282" s="10"/>
      <c r="M1282" s="10"/>
      <c r="N1282" s="10"/>
      <c r="O1282" s="10"/>
      <c r="P1282" s="8"/>
      <c r="Q1282" s="9"/>
    </row>
    <row r="1283" spans="2:17" x14ac:dyDescent="0.2">
      <c r="B1283" s="7"/>
      <c r="C1283" s="8"/>
      <c r="D1283" s="9"/>
      <c r="E1283" s="10"/>
      <c r="F1283" s="8"/>
      <c r="G1283" s="8"/>
      <c r="H1283" s="9"/>
      <c r="I1283" s="10"/>
      <c r="J1283" s="8"/>
      <c r="K1283" s="10"/>
      <c r="L1283" s="10"/>
      <c r="M1283" s="10"/>
      <c r="N1283" s="10"/>
      <c r="O1283" s="10"/>
      <c r="P1283" s="8"/>
      <c r="Q1283" s="9"/>
    </row>
    <row r="1284" spans="2:17" x14ac:dyDescent="0.2">
      <c r="B1284" s="7"/>
      <c r="C1284" s="8"/>
      <c r="D1284" s="9"/>
      <c r="E1284" s="10"/>
      <c r="F1284" s="8"/>
      <c r="G1284" s="8"/>
      <c r="H1284" s="9"/>
      <c r="I1284" s="10"/>
      <c r="J1284" s="8"/>
      <c r="K1284" s="10"/>
      <c r="L1284" s="10"/>
      <c r="M1284" s="10"/>
      <c r="N1284" s="10"/>
      <c r="O1284" s="10"/>
      <c r="P1284" s="8"/>
      <c r="Q1284" s="9"/>
    </row>
    <row r="1285" spans="2:17" x14ac:dyDescent="0.2">
      <c r="B1285" s="7"/>
      <c r="C1285" s="8"/>
      <c r="D1285" s="9"/>
      <c r="E1285" s="10"/>
      <c r="F1285" s="8"/>
      <c r="G1285" s="8"/>
      <c r="H1285" s="9"/>
      <c r="I1285" s="10"/>
      <c r="J1285" s="8"/>
      <c r="K1285" s="10"/>
      <c r="L1285" s="10"/>
      <c r="M1285" s="10"/>
      <c r="N1285" s="10"/>
      <c r="O1285" s="10"/>
      <c r="P1285" s="8"/>
      <c r="Q1285" s="9"/>
    </row>
    <row r="1286" spans="2:17" x14ac:dyDescent="0.2">
      <c r="B1286" s="7"/>
      <c r="C1286" s="8"/>
      <c r="D1286" s="9"/>
      <c r="E1286" s="10"/>
      <c r="F1286" s="8"/>
      <c r="G1286" s="8"/>
      <c r="H1286" s="9"/>
      <c r="I1286" s="10"/>
      <c r="J1286" s="8"/>
      <c r="K1286" s="10"/>
      <c r="L1286" s="10"/>
      <c r="M1286" s="10"/>
      <c r="N1286" s="10"/>
      <c r="O1286" s="10"/>
      <c r="P1286" s="8"/>
      <c r="Q1286" s="9"/>
    </row>
    <row r="1287" spans="2:17" x14ac:dyDescent="0.2">
      <c r="B1287" s="7"/>
      <c r="C1287" s="8"/>
      <c r="D1287" s="9"/>
      <c r="E1287" s="10"/>
      <c r="F1287" s="8"/>
      <c r="G1287" s="8"/>
      <c r="H1287" s="9"/>
      <c r="I1287" s="10"/>
      <c r="J1287" s="8"/>
      <c r="K1287" s="10"/>
      <c r="L1287" s="10"/>
      <c r="M1287" s="10"/>
      <c r="N1287" s="10"/>
      <c r="O1287" s="10"/>
      <c r="P1287" s="8"/>
      <c r="Q1287" s="9"/>
    </row>
    <row r="1288" spans="2:17" x14ac:dyDescent="0.2">
      <c r="B1288" s="7"/>
      <c r="C1288" s="8"/>
      <c r="D1288" s="9"/>
      <c r="E1288" s="10"/>
      <c r="F1288" s="8"/>
      <c r="G1288" s="8"/>
      <c r="H1288" s="9"/>
      <c r="I1288" s="10"/>
      <c r="J1288" s="8"/>
      <c r="K1288" s="10"/>
      <c r="L1288" s="10"/>
      <c r="M1288" s="10"/>
      <c r="N1288" s="10"/>
      <c r="O1288" s="10"/>
      <c r="P1288" s="8"/>
      <c r="Q1288" s="9"/>
    </row>
    <row r="1289" spans="2:17" x14ac:dyDescent="0.2">
      <c r="B1289" s="7"/>
      <c r="C1289" s="8"/>
      <c r="D1289" s="9"/>
      <c r="E1289" s="10"/>
      <c r="F1289" s="8"/>
      <c r="G1289" s="8"/>
      <c r="H1289" s="9"/>
      <c r="I1289" s="10"/>
      <c r="J1289" s="8"/>
      <c r="K1289" s="10"/>
      <c r="L1289" s="10"/>
      <c r="M1289" s="10"/>
      <c r="N1289" s="10"/>
      <c r="O1289" s="10"/>
      <c r="P1289" s="8"/>
      <c r="Q1289" s="9"/>
    </row>
    <row r="1290" spans="2:17" x14ac:dyDescent="0.2">
      <c r="B1290" s="7"/>
      <c r="C1290" s="8"/>
      <c r="D1290" s="9"/>
      <c r="E1290" s="10"/>
      <c r="F1290" s="8"/>
      <c r="G1290" s="8"/>
      <c r="H1290" s="9"/>
      <c r="I1290" s="10"/>
      <c r="J1290" s="8"/>
      <c r="K1290" s="10"/>
      <c r="L1290" s="10"/>
      <c r="M1290" s="10"/>
      <c r="N1290" s="10"/>
      <c r="O1290" s="10"/>
      <c r="P1290" s="8"/>
      <c r="Q1290" s="9"/>
    </row>
    <row r="1291" spans="2:17" x14ac:dyDescent="0.2">
      <c r="B1291" s="7"/>
      <c r="C1291" s="8"/>
      <c r="D1291" s="9"/>
      <c r="E1291" s="10"/>
      <c r="F1291" s="8"/>
      <c r="G1291" s="8"/>
      <c r="H1291" s="9"/>
      <c r="I1291" s="10"/>
      <c r="J1291" s="8"/>
      <c r="K1291" s="10"/>
      <c r="L1291" s="10"/>
      <c r="M1291" s="10"/>
      <c r="N1291" s="10"/>
      <c r="O1291" s="10"/>
      <c r="P1291" s="8"/>
      <c r="Q1291" s="9"/>
    </row>
    <row r="1292" spans="2:17" x14ac:dyDescent="0.2">
      <c r="B1292" s="7"/>
      <c r="C1292" s="8"/>
      <c r="D1292" s="9"/>
      <c r="E1292" s="10"/>
      <c r="F1292" s="8"/>
      <c r="G1292" s="8"/>
      <c r="H1292" s="9"/>
      <c r="I1292" s="10"/>
      <c r="J1292" s="8"/>
      <c r="K1292" s="10"/>
      <c r="L1292" s="10"/>
      <c r="M1292" s="10"/>
      <c r="N1292" s="10"/>
      <c r="O1292" s="10"/>
      <c r="P1292" s="8"/>
      <c r="Q1292" s="9"/>
    </row>
    <row r="1293" spans="2:17" x14ac:dyDescent="0.2">
      <c r="B1293" s="7"/>
      <c r="C1293" s="8"/>
      <c r="D1293" s="9"/>
      <c r="E1293" s="10"/>
      <c r="F1293" s="8"/>
      <c r="G1293" s="8"/>
      <c r="H1293" s="9"/>
      <c r="I1293" s="10"/>
      <c r="J1293" s="8"/>
      <c r="K1293" s="10"/>
      <c r="L1293" s="10"/>
      <c r="M1293" s="10"/>
      <c r="N1293" s="10"/>
      <c r="O1293" s="10"/>
      <c r="P1293" s="8"/>
      <c r="Q1293" s="9"/>
    </row>
    <row r="1294" spans="2:17" x14ac:dyDescent="0.2">
      <c r="B1294" s="7"/>
      <c r="C1294" s="8"/>
      <c r="D1294" s="9"/>
      <c r="E1294" s="10"/>
      <c r="F1294" s="8"/>
      <c r="G1294" s="8"/>
      <c r="H1294" s="9"/>
      <c r="I1294" s="10"/>
      <c r="J1294" s="8"/>
      <c r="K1294" s="10"/>
      <c r="L1294" s="10"/>
      <c r="M1294" s="10"/>
      <c r="N1294" s="10"/>
      <c r="O1294" s="10"/>
      <c r="P1294" s="8"/>
      <c r="Q1294" s="9"/>
    </row>
    <row r="1295" spans="2:17" x14ac:dyDescent="0.2">
      <c r="B1295" s="7"/>
      <c r="C1295" s="8"/>
      <c r="D1295" s="9"/>
      <c r="E1295" s="10"/>
      <c r="F1295" s="8"/>
      <c r="G1295" s="8"/>
      <c r="H1295" s="9"/>
      <c r="I1295" s="10"/>
      <c r="J1295" s="8"/>
      <c r="K1295" s="10"/>
      <c r="L1295" s="10"/>
      <c r="M1295" s="10"/>
      <c r="N1295" s="10"/>
      <c r="O1295" s="10"/>
      <c r="P1295" s="8"/>
      <c r="Q1295" s="9"/>
    </row>
    <row r="1296" spans="2:17" x14ac:dyDescent="0.2">
      <c r="B1296" s="7"/>
      <c r="C1296" s="8"/>
      <c r="D1296" s="9"/>
      <c r="E1296" s="10"/>
      <c r="F1296" s="8"/>
      <c r="G1296" s="8"/>
      <c r="H1296" s="9"/>
      <c r="I1296" s="10"/>
      <c r="J1296" s="8"/>
      <c r="K1296" s="10"/>
      <c r="L1296" s="10"/>
      <c r="M1296" s="10"/>
      <c r="N1296" s="10"/>
      <c r="O1296" s="10"/>
      <c r="P1296" s="8"/>
      <c r="Q1296" s="9"/>
    </row>
    <row r="1297" spans="2:17" x14ac:dyDescent="0.2">
      <c r="B1297" s="7"/>
      <c r="C1297" s="8"/>
      <c r="D1297" s="9"/>
      <c r="E1297" s="10"/>
      <c r="F1297" s="8"/>
      <c r="G1297" s="8"/>
      <c r="H1297" s="9"/>
      <c r="I1297" s="10"/>
      <c r="J1297" s="8"/>
      <c r="K1297" s="10"/>
      <c r="L1297" s="10"/>
      <c r="M1297" s="10"/>
      <c r="N1297" s="10"/>
      <c r="O1297" s="10"/>
      <c r="P1297" s="8"/>
      <c r="Q1297" s="9"/>
    </row>
    <row r="1298" spans="2:17" x14ac:dyDescent="0.2">
      <c r="B1298" s="7"/>
      <c r="C1298" s="8"/>
      <c r="D1298" s="9"/>
      <c r="E1298" s="10"/>
      <c r="F1298" s="8"/>
      <c r="G1298" s="8"/>
      <c r="H1298" s="9"/>
      <c r="I1298" s="10"/>
      <c r="J1298" s="8"/>
      <c r="K1298" s="10"/>
      <c r="L1298" s="10"/>
      <c r="M1298" s="10"/>
      <c r="N1298" s="10"/>
      <c r="O1298" s="10"/>
      <c r="P1298" s="8"/>
      <c r="Q1298" s="9"/>
    </row>
    <row r="1299" spans="2:17" x14ac:dyDescent="0.2">
      <c r="B1299" s="7"/>
      <c r="C1299" s="8"/>
      <c r="D1299" s="9"/>
      <c r="E1299" s="10"/>
      <c r="F1299" s="8"/>
      <c r="G1299" s="8"/>
      <c r="H1299" s="9"/>
      <c r="I1299" s="10"/>
      <c r="J1299" s="8"/>
      <c r="K1299" s="10"/>
      <c r="L1299" s="10"/>
      <c r="M1299" s="10"/>
      <c r="N1299" s="10"/>
      <c r="O1299" s="10"/>
      <c r="P1299" s="8"/>
      <c r="Q1299" s="9"/>
    </row>
    <row r="1300" spans="2:17" x14ac:dyDescent="0.2">
      <c r="B1300" s="7"/>
      <c r="C1300" s="8"/>
      <c r="D1300" s="9"/>
      <c r="E1300" s="10"/>
      <c r="F1300" s="8"/>
      <c r="G1300" s="8"/>
      <c r="H1300" s="9"/>
      <c r="I1300" s="10"/>
      <c r="J1300" s="8"/>
      <c r="K1300" s="10"/>
      <c r="L1300" s="10"/>
      <c r="M1300" s="10"/>
      <c r="N1300" s="10"/>
      <c r="O1300" s="10"/>
      <c r="P1300" s="8"/>
      <c r="Q1300" s="9"/>
    </row>
    <row r="1301" spans="2:17" x14ac:dyDescent="0.2">
      <c r="B1301" s="7"/>
      <c r="C1301" s="8"/>
      <c r="D1301" s="9"/>
      <c r="E1301" s="10"/>
      <c r="F1301" s="8"/>
      <c r="G1301" s="8"/>
      <c r="H1301" s="9"/>
      <c r="I1301" s="10"/>
      <c r="J1301" s="8"/>
      <c r="K1301" s="10"/>
      <c r="L1301" s="10"/>
      <c r="M1301" s="10"/>
      <c r="N1301" s="10"/>
      <c r="O1301" s="10"/>
      <c r="P1301" s="8"/>
      <c r="Q1301" s="9"/>
    </row>
    <row r="1302" spans="2:17" x14ac:dyDescent="0.2">
      <c r="B1302" s="7"/>
      <c r="C1302" s="8"/>
      <c r="D1302" s="9"/>
      <c r="E1302" s="10"/>
      <c r="F1302" s="8"/>
      <c r="G1302" s="8"/>
      <c r="H1302" s="9"/>
      <c r="I1302" s="10"/>
      <c r="J1302" s="8"/>
      <c r="K1302" s="10"/>
      <c r="L1302" s="10"/>
      <c r="M1302" s="10"/>
      <c r="N1302" s="10"/>
      <c r="O1302" s="10"/>
      <c r="P1302" s="8"/>
      <c r="Q1302" s="9"/>
    </row>
    <row r="1303" spans="2:17" x14ac:dyDescent="0.2">
      <c r="B1303" s="7"/>
      <c r="C1303" s="8"/>
      <c r="D1303" s="9"/>
      <c r="E1303" s="10"/>
      <c r="F1303" s="8"/>
      <c r="G1303" s="8"/>
      <c r="H1303" s="9"/>
      <c r="I1303" s="10"/>
      <c r="J1303" s="8"/>
      <c r="K1303" s="10"/>
      <c r="L1303" s="10"/>
      <c r="M1303" s="10"/>
      <c r="N1303" s="10"/>
      <c r="O1303" s="10"/>
      <c r="P1303" s="8"/>
      <c r="Q1303" s="9"/>
    </row>
    <row r="1304" spans="2:17" x14ac:dyDescent="0.2">
      <c r="B1304" s="7"/>
      <c r="C1304" s="8"/>
      <c r="D1304" s="9"/>
      <c r="E1304" s="10"/>
      <c r="F1304" s="8"/>
      <c r="G1304" s="8"/>
      <c r="H1304" s="9"/>
      <c r="I1304" s="10"/>
      <c r="J1304" s="8"/>
      <c r="K1304" s="10"/>
      <c r="L1304" s="10"/>
      <c r="M1304" s="10"/>
      <c r="N1304" s="10"/>
      <c r="O1304" s="10"/>
      <c r="P1304" s="8"/>
      <c r="Q1304" s="9"/>
    </row>
    <row r="1305" spans="2:17" x14ac:dyDescent="0.2">
      <c r="B1305" s="7"/>
      <c r="C1305" s="8"/>
      <c r="D1305" s="9"/>
      <c r="E1305" s="10"/>
      <c r="F1305" s="8"/>
      <c r="G1305" s="8"/>
      <c r="H1305" s="9"/>
      <c r="I1305" s="10"/>
      <c r="J1305" s="8"/>
      <c r="K1305" s="10"/>
      <c r="L1305" s="10"/>
      <c r="M1305" s="10"/>
      <c r="N1305" s="10"/>
      <c r="O1305" s="10"/>
      <c r="P1305" s="8"/>
      <c r="Q1305" s="9"/>
    </row>
    <row r="1306" spans="2:17" x14ac:dyDescent="0.2">
      <c r="B1306" s="7"/>
      <c r="C1306" s="8"/>
      <c r="D1306" s="9"/>
      <c r="E1306" s="10"/>
      <c r="F1306" s="8"/>
      <c r="G1306" s="8"/>
      <c r="H1306" s="9"/>
      <c r="I1306" s="10"/>
      <c r="J1306" s="8"/>
      <c r="K1306" s="10"/>
      <c r="L1306" s="10"/>
      <c r="M1306" s="10"/>
      <c r="N1306" s="10"/>
      <c r="O1306" s="10"/>
      <c r="P1306" s="8"/>
      <c r="Q1306" s="9"/>
    </row>
    <row r="1307" spans="2:17" x14ac:dyDescent="0.2">
      <c r="B1307" s="7"/>
      <c r="C1307" s="8"/>
      <c r="D1307" s="9"/>
      <c r="E1307" s="10"/>
      <c r="F1307" s="8"/>
      <c r="G1307" s="8"/>
      <c r="H1307" s="9"/>
      <c r="I1307" s="10"/>
      <c r="J1307" s="8"/>
      <c r="K1307" s="10"/>
      <c r="L1307" s="10"/>
      <c r="M1307" s="10"/>
      <c r="N1307" s="10"/>
      <c r="O1307" s="10"/>
      <c r="P1307" s="8"/>
      <c r="Q1307" s="9"/>
    </row>
    <row r="1308" spans="2:17" x14ac:dyDescent="0.2">
      <c r="B1308" s="7"/>
      <c r="C1308" s="8"/>
      <c r="D1308" s="9"/>
      <c r="E1308" s="10"/>
      <c r="F1308" s="8"/>
      <c r="G1308" s="8"/>
      <c r="H1308" s="9"/>
      <c r="I1308" s="10"/>
      <c r="J1308" s="8"/>
      <c r="K1308" s="10"/>
      <c r="L1308" s="10"/>
      <c r="M1308" s="10"/>
      <c r="N1308" s="10"/>
      <c r="O1308" s="10"/>
      <c r="P1308" s="8"/>
      <c r="Q1308" s="9"/>
    </row>
    <row r="1309" spans="2:17" x14ac:dyDescent="0.2">
      <c r="B1309" s="7"/>
      <c r="C1309" s="8"/>
      <c r="D1309" s="9"/>
      <c r="E1309" s="10"/>
      <c r="F1309" s="8"/>
      <c r="G1309" s="8"/>
      <c r="H1309" s="9"/>
      <c r="I1309" s="10"/>
      <c r="J1309" s="8"/>
      <c r="K1309" s="10"/>
      <c r="L1309" s="10"/>
      <c r="M1309" s="10"/>
      <c r="N1309" s="10"/>
      <c r="O1309" s="10"/>
      <c r="P1309" s="8"/>
      <c r="Q1309" s="9"/>
    </row>
    <row r="1310" spans="2:17" x14ac:dyDescent="0.2">
      <c r="B1310" s="7"/>
      <c r="C1310" s="8"/>
      <c r="D1310" s="9"/>
      <c r="E1310" s="10"/>
      <c r="F1310" s="8"/>
      <c r="G1310" s="8"/>
      <c r="H1310" s="9"/>
      <c r="I1310" s="10"/>
      <c r="J1310" s="8"/>
      <c r="K1310" s="10"/>
      <c r="L1310" s="10"/>
      <c r="M1310" s="10"/>
      <c r="N1310" s="10"/>
      <c r="O1310" s="10"/>
      <c r="P1310" s="8"/>
      <c r="Q1310" s="9"/>
    </row>
    <row r="1311" spans="2:17" x14ac:dyDescent="0.2">
      <c r="B1311" s="7"/>
      <c r="C1311" s="8"/>
      <c r="D1311" s="9"/>
      <c r="E1311" s="10"/>
      <c r="F1311" s="8"/>
      <c r="G1311" s="8"/>
      <c r="H1311" s="9"/>
      <c r="I1311" s="10"/>
      <c r="J1311" s="8"/>
      <c r="K1311" s="10"/>
      <c r="L1311" s="10"/>
      <c r="M1311" s="10"/>
      <c r="N1311" s="10"/>
      <c r="O1311" s="10"/>
      <c r="P1311" s="8"/>
      <c r="Q1311" s="9"/>
    </row>
    <row r="1312" spans="2:17" x14ac:dyDescent="0.2">
      <c r="B1312" s="7"/>
      <c r="C1312" s="8"/>
      <c r="D1312" s="9"/>
      <c r="E1312" s="10"/>
      <c r="F1312" s="8"/>
      <c r="G1312" s="8"/>
      <c r="H1312" s="9"/>
      <c r="I1312" s="10"/>
      <c r="J1312" s="8"/>
      <c r="K1312" s="10"/>
      <c r="L1312" s="10"/>
      <c r="M1312" s="10"/>
      <c r="N1312" s="10"/>
      <c r="O1312" s="10"/>
      <c r="P1312" s="8"/>
      <c r="Q1312" s="9"/>
    </row>
    <row r="1313" spans="2:17" x14ac:dyDescent="0.2">
      <c r="B1313" s="7"/>
      <c r="C1313" s="8"/>
      <c r="D1313" s="9"/>
      <c r="E1313" s="10"/>
      <c r="F1313" s="8"/>
      <c r="G1313" s="8"/>
      <c r="H1313" s="9"/>
      <c r="I1313" s="10"/>
      <c r="J1313" s="8"/>
      <c r="K1313" s="10"/>
      <c r="L1313" s="10"/>
      <c r="M1313" s="10"/>
      <c r="N1313" s="10"/>
      <c r="O1313" s="10"/>
      <c r="P1313" s="8"/>
      <c r="Q1313" s="9"/>
    </row>
    <row r="1314" spans="2:17" x14ac:dyDescent="0.2">
      <c r="B1314" s="7"/>
      <c r="C1314" s="8"/>
      <c r="D1314" s="9"/>
      <c r="E1314" s="10"/>
      <c r="F1314" s="8"/>
      <c r="G1314" s="8"/>
      <c r="H1314" s="9"/>
      <c r="I1314" s="10"/>
      <c r="J1314" s="8"/>
      <c r="K1314" s="10"/>
      <c r="L1314" s="10"/>
      <c r="M1314" s="10"/>
      <c r="N1314" s="10"/>
      <c r="O1314" s="10"/>
      <c r="P1314" s="8"/>
      <c r="Q1314" s="9"/>
    </row>
    <row r="1315" spans="2:17" x14ac:dyDescent="0.2">
      <c r="B1315" s="7"/>
      <c r="C1315" s="8"/>
      <c r="D1315" s="9"/>
      <c r="E1315" s="10"/>
      <c r="F1315" s="8"/>
      <c r="G1315" s="8"/>
      <c r="H1315" s="9"/>
      <c r="I1315" s="10"/>
      <c r="J1315" s="8"/>
      <c r="K1315" s="10"/>
      <c r="L1315" s="10"/>
      <c r="M1315" s="10"/>
      <c r="N1315" s="10"/>
      <c r="O1315" s="10"/>
      <c r="P1315" s="8"/>
      <c r="Q1315" s="9"/>
    </row>
    <row r="1316" spans="2:17" x14ac:dyDescent="0.2">
      <c r="B1316" s="7"/>
      <c r="C1316" s="8"/>
      <c r="D1316" s="9"/>
      <c r="E1316" s="10"/>
      <c r="F1316" s="8"/>
      <c r="G1316" s="8"/>
      <c r="H1316" s="9"/>
      <c r="I1316" s="10"/>
      <c r="J1316" s="8"/>
      <c r="K1316" s="10"/>
      <c r="L1316" s="10"/>
      <c r="M1316" s="10"/>
      <c r="N1316" s="10"/>
      <c r="O1316" s="10"/>
      <c r="P1316" s="8"/>
      <c r="Q1316" s="9"/>
    </row>
    <row r="1317" spans="2:17" x14ac:dyDescent="0.2">
      <c r="B1317" s="7"/>
      <c r="C1317" s="8"/>
      <c r="D1317" s="9"/>
      <c r="E1317" s="10"/>
      <c r="F1317" s="8"/>
      <c r="G1317" s="8"/>
      <c r="H1317" s="9"/>
      <c r="I1317" s="10"/>
      <c r="J1317" s="8"/>
      <c r="K1317" s="10"/>
      <c r="L1317" s="10"/>
      <c r="M1317" s="10"/>
      <c r="N1317" s="10"/>
      <c r="O1317" s="10"/>
      <c r="P1317" s="8"/>
      <c r="Q1317" s="9"/>
    </row>
    <row r="1318" spans="2:17" x14ac:dyDescent="0.2">
      <c r="B1318" s="7"/>
      <c r="C1318" s="8"/>
      <c r="D1318" s="9"/>
      <c r="E1318" s="10"/>
      <c r="F1318" s="8"/>
      <c r="G1318" s="8"/>
      <c r="H1318" s="9"/>
      <c r="I1318" s="10"/>
      <c r="J1318" s="8"/>
      <c r="K1318" s="10"/>
      <c r="L1318" s="10"/>
      <c r="M1318" s="10"/>
      <c r="N1318" s="10"/>
      <c r="O1318" s="10"/>
      <c r="P1318" s="8"/>
      <c r="Q1318" s="9"/>
    </row>
    <row r="1319" spans="2:17" x14ac:dyDescent="0.2">
      <c r="B1319" s="7"/>
      <c r="C1319" s="8"/>
      <c r="D1319" s="9"/>
      <c r="E1319" s="10"/>
      <c r="F1319" s="8"/>
      <c r="G1319" s="8"/>
      <c r="H1319" s="9"/>
      <c r="I1319" s="10"/>
      <c r="J1319" s="8"/>
      <c r="K1319" s="10"/>
      <c r="L1319" s="10"/>
      <c r="M1319" s="10"/>
      <c r="N1319" s="10"/>
      <c r="O1319" s="10"/>
      <c r="P1319" s="8"/>
      <c r="Q1319" s="9"/>
    </row>
    <row r="1320" spans="2:17" x14ac:dyDescent="0.2">
      <c r="B1320" s="7"/>
      <c r="C1320" s="8"/>
      <c r="D1320" s="9"/>
      <c r="E1320" s="10"/>
      <c r="F1320" s="8"/>
      <c r="G1320" s="8"/>
      <c r="H1320" s="9"/>
      <c r="I1320" s="10"/>
      <c r="J1320" s="8"/>
      <c r="K1320" s="10"/>
      <c r="L1320" s="10"/>
      <c r="M1320" s="10"/>
      <c r="N1320" s="10"/>
      <c r="O1320" s="10"/>
      <c r="P1320" s="8"/>
      <c r="Q1320" s="9"/>
    </row>
    <row r="1321" spans="2:17" x14ac:dyDescent="0.2">
      <c r="B1321" s="7"/>
      <c r="C1321" s="8"/>
      <c r="D1321" s="9"/>
      <c r="E1321" s="10"/>
      <c r="F1321" s="8"/>
      <c r="G1321" s="8"/>
      <c r="H1321" s="9"/>
      <c r="I1321" s="10"/>
      <c r="J1321" s="8"/>
      <c r="K1321" s="10"/>
      <c r="L1321" s="10"/>
      <c r="M1321" s="10"/>
      <c r="N1321" s="10"/>
      <c r="O1321" s="10"/>
      <c r="P1321" s="8"/>
      <c r="Q1321" s="9"/>
    </row>
    <row r="1322" spans="2:17" x14ac:dyDescent="0.2">
      <c r="B1322" s="7"/>
      <c r="C1322" s="8"/>
      <c r="D1322" s="9"/>
      <c r="E1322" s="10"/>
      <c r="F1322" s="8"/>
      <c r="G1322" s="8"/>
      <c r="H1322" s="9"/>
      <c r="I1322" s="10"/>
      <c r="J1322" s="8"/>
      <c r="K1322" s="10"/>
      <c r="L1322" s="10"/>
      <c r="M1322" s="10"/>
      <c r="N1322" s="10"/>
      <c r="O1322" s="10"/>
      <c r="P1322" s="8"/>
      <c r="Q1322" s="9"/>
    </row>
    <row r="1323" spans="2:17" x14ac:dyDescent="0.2">
      <c r="B1323" s="7"/>
      <c r="C1323" s="8"/>
      <c r="D1323" s="9"/>
      <c r="E1323" s="10"/>
      <c r="F1323" s="8"/>
      <c r="G1323" s="8"/>
      <c r="H1323" s="9"/>
      <c r="I1323" s="10"/>
      <c r="J1323" s="8"/>
      <c r="K1323" s="10"/>
      <c r="L1323" s="10"/>
      <c r="M1323" s="10"/>
      <c r="N1323" s="10"/>
      <c r="O1323" s="10"/>
      <c r="P1323" s="8"/>
      <c r="Q1323" s="9"/>
    </row>
    <row r="1324" spans="2:17" x14ac:dyDescent="0.2">
      <c r="B1324" s="7"/>
      <c r="C1324" s="8"/>
      <c r="D1324" s="9"/>
      <c r="E1324" s="10"/>
      <c r="F1324" s="8"/>
      <c r="G1324" s="8"/>
      <c r="H1324" s="9"/>
      <c r="I1324" s="10"/>
      <c r="J1324" s="8"/>
      <c r="K1324" s="10"/>
      <c r="L1324" s="10"/>
      <c r="M1324" s="10"/>
      <c r="N1324" s="10"/>
      <c r="O1324" s="10"/>
      <c r="P1324" s="8"/>
      <c r="Q1324" s="9"/>
    </row>
    <row r="1325" spans="2:17" x14ac:dyDescent="0.2">
      <c r="B1325" s="7"/>
      <c r="C1325" s="8"/>
      <c r="D1325" s="9"/>
      <c r="E1325" s="10"/>
      <c r="F1325" s="8"/>
      <c r="G1325" s="8"/>
      <c r="H1325" s="9"/>
      <c r="I1325" s="10"/>
      <c r="J1325" s="8"/>
      <c r="K1325" s="10"/>
      <c r="L1325" s="10"/>
      <c r="M1325" s="10"/>
      <c r="N1325" s="10"/>
      <c r="O1325" s="10"/>
      <c r="P1325" s="8"/>
      <c r="Q1325" s="9"/>
    </row>
    <row r="1326" spans="2:17" x14ac:dyDescent="0.2">
      <c r="B1326" s="7"/>
      <c r="C1326" s="8"/>
      <c r="D1326" s="9"/>
      <c r="E1326" s="10"/>
      <c r="F1326" s="8"/>
      <c r="G1326" s="8"/>
      <c r="H1326" s="9"/>
      <c r="I1326" s="10"/>
      <c r="J1326" s="8"/>
      <c r="K1326" s="10"/>
      <c r="L1326" s="10"/>
      <c r="M1326" s="10"/>
      <c r="N1326" s="10"/>
      <c r="O1326" s="10"/>
      <c r="P1326" s="8"/>
      <c r="Q1326" s="9"/>
    </row>
    <row r="1327" spans="2:17" x14ac:dyDescent="0.2">
      <c r="B1327" s="7"/>
      <c r="C1327" s="8"/>
      <c r="D1327" s="9"/>
      <c r="E1327" s="10"/>
      <c r="F1327" s="8"/>
      <c r="G1327" s="8"/>
      <c r="H1327" s="9"/>
      <c r="I1327" s="10"/>
      <c r="J1327" s="8"/>
      <c r="K1327" s="10"/>
      <c r="L1327" s="10"/>
      <c r="M1327" s="10"/>
      <c r="N1327" s="10"/>
      <c r="O1327" s="10"/>
      <c r="P1327" s="8"/>
      <c r="Q1327" s="9"/>
    </row>
    <row r="1328" spans="2:17" x14ac:dyDescent="0.2">
      <c r="B1328" s="7"/>
      <c r="C1328" s="8"/>
      <c r="D1328" s="9"/>
      <c r="E1328" s="10"/>
      <c r="F1328" s="8"/>
      <c r="G1328" s="8"/>
      <c r="H1328" s="9"/>
      <c r="I1328" s="10"/>
      <c r="J1328" s="8"/>
      <c r="K1328" s="10"/>
      <c r="L1328" s="10"/>
      <c r="M1328" s="10"/>
      <c r="N1328" s="10"/>
      <c r="O1328" s="10"/>
      <c r="P1328" s="8"/>
      <c r="Q1328" s="9"/>
    </row>
    <row r="1329" spans="2:17" x14ac:dyDescent="0.2">
      <c r="B1329" s="7"/>
      <c r="C1329" s="8"/>
      <c r="D1329" s="9"/>
      <c r="E1329" s="10"/>
      <c r="F1329" s="8"/>
      <c r="G1329" s="8"/>
      <c r="H1329" s="9"/>
      <c r="I1329" s="10"/>
      <c r="J1329" s="8"/>
      <c r="K1329" s="10"/>
      <c r="L1329" s="10"/>
      <c r="M1329" s="10"/>
      <c r="N1329" s="10"/>
      <c r="O1329" s="10"/>
      <c r="P1329" s="8"/>
      <c r="Q1329" s="9"/>
    </row>
    <row r="1330" spans="2:17" x14ac:dyDescent="0.2">
      <c r="B1330" s="7"/>
      <c r="C1330" s="8"/>
      <c r="D1330" s="9"/>
      <c r="E1330" s="10"/>
      <c r="F1330" s="8"/>
      <c r="G1330" s="8"/>
      <c r="H1330" s="9"/>
      <c r="I1330" s="10"/>
      <c r="J1330" s="8"/>
      <c r="K1330" s="10"/>
      <c r="L1330" s="10"/>
      <c r="M1330" s="10"/>
      <c r="N1330" s="10"/>
      <c r="O1330" s="10"/>
      <c r="P1330" s="8"/>
      <c r="Q1330" s="9"/>
    </row>
    <row r="1331" spans="2:17" x14ac:dyDescent="0.2">
      <c r="B1331" s="7"/>
      <c r="C1331" s="8"/>
      <c r="D1331" s="9"/>
      <c r="E1331" s="10"/>
      <c r="F1331" s="8"/>
      <c r="G1331" s="8"/>
      <c r="H1331" s="9"/>
      <c r="I1331" s="10"/>
      <c r="J1331" s="8"/>
      <c r="K1331" s="10"/>
      <c r="L1331" s="10"/>
      <c r="M1331" s="10"/>
      <c r="N1331" s="10"/>
      <c r="O1331" s="10"/>
      <c r="P1331" s="8"/>
      <c r="Q1331" s="9"/>
    </row>
    <row r="1332" spans="2:17" x14ac:dyDescent="0.2">
      <c r="B1332" s="7"/>
      <c r="C1332" s="8"/>
      <c r="D1332" s="9"/>
      <c r="E1332" s="10"/>
      <c r="F1332" s="8"/>
      <c r="G1332" s="8"/>
      <c r="H1332" s="9"/>
      <c r="I1332" s="10"/>
      <c r="J1332" s="8"/>
      <c r="K1332" s="10"/>
      <c r="L1332" s="10"/>
      <c r="M1332" s="10"/>
      <c r="N1332" s="10"/>
      <c r="O1332" s="10"/>
      <c r="P1332" s="8"/>
      <c r="Q1332" s="9"/>
    </row>
    <row r="1333" spans="2:17" x14ac:dyDescent="0.2">
      <c r="B1333" s="7"/>
      <c r="C1333" s="8"/>
      <c r="D1333" s="9"/>
      <c r="E1333" s="10"/>
      <c r="F1333" s="8"/>
      <c r="G1333" s="8"/>
      <c r="H1333" s="9"/>
      <c r="I1333" s="10"/>
      <c r="J1333" s="8"/>
      <c r="K1333" s="10"/>
      <c r="L1333" s="10"/>
      <c r="M1333" s="10"/>
      <c r="N1333" s="10"/>
      <c r="O1333" s="10"/>
      <c r="P1333" s="8"/>
      <c r="Q1333" s="9"/>
    </row>
    <row r="1334" spans="2:17" x14ac:dyDescent="0.2">
      <c r="B1334" s="7"/>
      <c r="C1334" s="8"/>
      <c r="D1334" s="9"/>
      <c r="E1334" s="10"/>
      <c r="F1334" s="8"/>
      <c r="G1334" s="8"/>
      <c r="H1334" s="9"/>
      <c r="I1334" s="10"/>
      <c r="J1334" s="8"/>
      <c r="K1334" s="10"/>
      <c r="L1334" s="10"/>
      <c r="M1334" s="10"/>
      <c r="N1334" s="10"/>
      <c r="O1334" s="10"/>
      <c r="P1334" s="8"/>
      <c r="Q1334" s="9"/>
    </row>
    <row r="1335" spans="2:17" x14ac:dyDescent="0.2">
      <c r="B1335" s="7"/>
      <c r="C1335" s="8"/>
      <c r="D1335" s="9"/>
      <c r="E1335" s="10"/>
      <c r="F1335" s="8"/>
      <c r="G1335" s="8"/>
      <c r="H1335" s="9"/>
      <c r="I1335" s="10"/>
      <c r="J1335" s="8"/>
      <c r="K1335" s="10"/>
      <c r="L1335" s="10"/>
      <c r="M1335" s="10"/>
      <c r="N1335" s="10"/>
      <c r="O1335" s="10"/>
      <c r="P1335" s="8"/>
      <c r="Q1335" s="9"/>
    </row>
    <row r="1336" spans="2:17" x14ac:dyDescent="0.2">
      <c r="B1336" s="7"/>
      <c r="C1336" s="8"/>
      <c r="D1336" s="9"/>
      <c r="E1336" s="10"/>
      <c r="F1336" s="8"/>
      <c r="G1336" s="8"/>
      <c r="H1336" s="9"/>
      <c r="I1336" s="10"/>
      <c r="J1336" s="8"/>
      <c r="K1336" s="10"/>
      <c r="L1336" s="10"/>
      <c r="M1336" s="10"/>
      <c r="N1336" s="10"/>
      <c r="O1336" s="10"/>
      <c r="P1336" s="8"/>
      <c r="Q1336" s="9"/>
    </row>
    <row r="1337" spans="2:17" x14ac:dyDescent="0.2">
      <c r="B1337" s="7"/>
      <c r="C1337" s="8"/>
      <c r="D1337" s="9"/>
      <c r="E1337" s="10"/>
      <c r="F1337" s="8"/>
      <c r="G1337" s="8"/>
      <c r="H1337" s="9"/>
      <c r="I1337" s="10"/>
      <c r="J1337" s="8"/>
      <c r="K1337" s="10"/>
      <c r="L1337" s="10"/>
      <c r="M1337" s="10"/>
      <c r="N1337" s="10"/>
      <c r="O1337" s="10"/>
      <c r="P1337" s="8"/>
      <c r="Q1337" s="9"/>
    </row>
    <row r="1338" spans="2:17" x14ac:dyDescent="0.2">
      <c r="B1338" s="7"/>
      <c r="C1338" s="8"/>
      <c r="D1338" s="9"/>
      <c r="E1338" s="10"/>
      <c r="F1338" s="8"/>
      <c r="G1338" s="8"/>
      <c r="H1338" s="9"/>
      <c r="I1338" s="10"/>
      <c r="J1338" s="8"/>
      <c r="K1338" s="10"/>
      <c r="L1338" s="10"/>
      <c r="M1338" s="10"/>
      <c r="N1338" s="10"/>
      <c r="O1338" s="10"/>
      <c r="P1338" s="8"/>
      <c r="Q1338" s="9"/>
    </row>
    <row r="1339" spans="2:17" x14ac:dyDescent="0.2">
      <c r="B1339" s="7"/>
      <c r="C1339" s="8"/>
      <c r="D1339" s="9"/>
      <c r="E1339" s="10"/>
      <c r="F1339" s="8"/>
      <c r="G1339" s="8"/>
      <c r="H1339" s="9"/>
      <c r="I1339" s="10"/>
      <c r="J1339" s="8"/>
      <c r="K1339" s="10"/>
      <c r="L1339" s="10"/>
      <c r="M1339" s="10"/>
      <c r="N1339" s="10"/>
      <c r="O1339" s="10"/>
      <c r="P1339" s="8"/>
      <c r="Q1339" s="9"/>
    </row>
    <row r="1340" spans="2:17" x14ac:dyDescent="0.2">
      <c r="B1340" s="7"/>
      <c r="C1340" s="8"/>
      <c r="D1340" s="9"/>
      <c r="E1340" s="10"/>
      <c r="F1340" s="8"/>
      <c r="G1340" s="8"/>
      <c r="H1340" s="9"/>
      <c r="I1340" s="10"/>
      <c r="J1340" s="8"/>
      <c r="K1340" s="10"/>
      <c r="L1340" s="10"/>
      <c r="M1340" s="10"/>
      <c r="N1340" s="10"/>
      <c r="O1340" s="10"/>
      <c r="P1340" s="8"/>
      <c r="Q1340" s="9"/>
    </row>
    <row r="1341" spans="2:17" x14ac:dyDescent="0.2">
      <c r="B1341" s="7"/>
      <c r="C1341" s="8"/>
      <c r="D1341" s="9"/>
      <c r="E1341" s="10"/>
      <c r="F1341" s="8"/>
      <c r="G1341" s="8"/>
      <c r="H1341" s="9"/>
      <c r="I1341" s="10"/>
      <c r="J1341" s="8"/>
      <c r="K1341" s="10"/>
      <c r="L1341" s="10"/>
      <c r="M1341" s="10"/>
      <c r="N1341" s="10"/>
      <c r="O1341" s="10"/>
      <c r="P1341" s="8"/>
      <c r="Q1341" s="9"/>
    </row>
    <row r="1342" spans="2:17" x14ac:dyDescent="0.2">
      <c r="B1342" s="7"/>
      <c r="C1342" s="8"/>
      <c r="D1342" s="9"/>
      <c r="E1342" s="10"/>
      <c r="F1342" s="8"/>
      <c r="G1342" s="8"/>
      <c r="H1342" s="9"/>
      <c r="I1342" s="10"/>
      <c r="J1342" s="8"/>
      <c r="K1342" s="10"/>
      <c r="L1342" s="10"/>
      <c r="M1342" s="10"/>
      <c r="N1342" s="10"/>
      <c r="O1342" s="10"/>
      <c r="P1342" s="8"/>
      <c r="Q1342" s="9"/>
    </row>
    <row r="1343" spans="2:17" x14ac:dyDescent="0.2">
      <c r="B1343" s="7"/>
      <c r="C1343" s="8"/>
      <c r="D1343" s="9"/>
      <c r="E1343" s="10"/>
      <c r="F1343" s="8"/>
      <c r="G1343" s="8"/>
      <c r="H1343" s="9"/>
      <c r="I1343" s="10"/>
      <c r="J1343" s="8"/>
      <c r="K1343" s="10"/>
      <c r="L1343" s="10"/>
      <c r="M1343" s="10"/>
      <c r="N1343" s="10"/>
      <c r="O1343" s="10"/>
      <c r="P1343" s="8"/>
      <c r="Q1343" s="9"/>
    </row>
    <row r="1344" spans="2:17" x14ac:dyDescent="0.2">
      <c r="B1344" s="7"/>
      <c r="C1344" s="8"/>
      <c r="D1344" s="9"/>
      <c r="E1344" s="10"/>
      <c r="F1344" s="8"/>
      <c r="G1344" s="8"/>
      <c r="H1344" s="9"/>
      <c r="I1344" s="10"/>
      <c r="J1344" s="8"/>
      <c r="K1344" s="10"/>
      <c r="L1344" s="10"/>
      <c r="M1344" s="10"/>
      <c r="N1344" s="10"/>
      <c r="O1344" s="10"/>
      <c r="P1344" s="8"/>
      <c r="Q1344" s="9"/>
    </row>
    <row r="1345" spans="2:17" x14ac:dyDescent="0.2">
      <c r="B1345" s="7"/>
      <c r="C1345" s="8"/>
      <c r="D1345" s="9"/>
      <c r="E1345" s="10"/>
      <c r="F1345" s="8"/>
      <c r="G1345" s="8"/>
      <c r="H1345" s="9"/>
      <c r="I1345" s="10"/>
      <c r="J1345" s="8"/>
      <c r="K1345" s="10"/>
      <c r="L1345" s="10"/>
      <c r="M1345" s="10"/>
      <c r="N1345" s="10"/>
      <c r="O1345" s="10"/>
      <c r="P1345" s="8"/>
      <c r="Q1345" s="9"/>
    </row>
    <row r="1346" spans="2:17" x14ac:dyDescent="0.2">
      <c r="B1346" s="7"/>
      <c r="C1346" s="8"/>
      <c r="D1346" s="9"/>
      <c r="E1346" s="10"/>
      <c r="F1346" s="8"/>
      <c r="G1346" s="8"/>
      <c r="H1346" s="9"/>
      <c r="I1346" s="10"/>
      <c r="J1346" s="8"/>
      <c r="K1346" s="10"/>
      <c r="L1346" s="10"/>
      <c r="M1346" s="10"/>
      <c r="N1346" s="10"/>
      <c r="O1346" s="10"/>
      <c r="P1346" s="8"/>
      <c r="Q1346" s="9"/>
    </row>
    <row r="1347" spans="2:17" x14ac:dyDescent="0.2">
      <c r="B1347" s="7"/>
      <c r="C1347" s="8"/>
      <c r="D1347" s="9"/>
      <c r="E1347" s="10"/>
      <c r="F1347" s="8"/>
      <c r="G1347" s="8"/>
      <c r="H1347" s="9"/>
      <c r="I1347" s="10"/>
      <c r="J1347" s="8"/>
      <c r="K1347" s="10"/>
      <c r="L1347" s="10"/>
      <c r="M1347" s="10"/>
      <c r="N1347" s="10"/>
      <c r="O1347" s="10"/>
      <c r="P1347" s="8"/>
      <c r="Q1347" s="9"/>
    </row>
    <row r="1348" spans="2:17" x14ac:dyDescent="0.2">
      <c r="B1348" s="7"/>
      <c r="C1348" s="8"/>
      <c r="D1348" s="9"/>
      <c r="E1348" s="10"/>
      <c r="F1348" s="8"/>
      <c r="G1348" s="8"/>
      <c r="H1348" s="9"/>
      <c r="I1348" s="10"/>
      <c r="J1348" s="8"/>
      <c r="K1348" s="10"/>
      <c r="L1348" s="10"/>
      <c r="M1348" s="10"/>
      <c r="N1348" s="10"/>
      <c r="O1348" s="10"/>
      <c r="P1348" s="8"/>
      <c r="Q1348" s="9"/>
    </row>
    <row r="1349" spans="2:17" x14ac:dyDescent="0.2">
      <c r="B1349" s="7"/>
      <c r="C1349" s="8"/>
      <c r="D1349" s="9"/>
      <c r="E1349" s="10"/>
      <c r="F1349" s="8"/>
      <c r="G1349" s="8"/>
      <c r="H1349" s="9"/>
      <c r="I1349" s="10"/>
      <c r="J1349" s="8"/>
      <c r="K1349" s="10"/>
      <c r="L1349" s="10"/>
      <c r="M1349" s="10"/>
      <c r="N1349" s="10"/>
      <c r="O1349" s="10"/>
      <c r="P1349" s="8"/>
      <c r="Q1349" s="9"/>
    </row>
    <row r="1350" spans="2:17" x14ac:dyDescent="0.2">
      <c r="B1350" s="7"/>
      <c r="C1350" s="8"/>
      <c r="D1350" s="9"/>
      <c r="E1350" s="10"/>
      <c r="F1350" s="8"/>
      <c r="G1350" s="8"/>
      <c r="H1350" s="9"/>
      <c r="I1350" s="10"/>
      <c r="J1350" s="8"/>
      <c r="K1350" s="10"/>
      <c r="L1350" s="10"/>
      <c r="M1350" s="10"/>
      <c r="N1350" s="10"/>
      <c r="O1350" s="10"/>
      <c r="P1350" s="8"/>
      <c r="Q1350" s="9"/>
    </row>
    <row r="1351" spans="2:17" x14ac:dyDescent="0.2">
      <c r="B1351" s="7"/>
      <c r="C1351" s="8"/>
      <c r="D1351" s="9"/>
      <c r="E1351" s="10"/>
      <c r="F1351" s="8"/>
      <c r="G1351" s="8"/>
      <c r="H1351" s="9"/>
      <c r="I1351" s="10"/>
      <c r="J1351" s="8"/>
      <c r="K1351" s="10"/>
      <c r="L1351" s="10"/>
      <c r="M1351" s="10"/>
      <c r="N1351" s="10"/>
      <c r="O1351" s="10"/>
      <c r="P1351" s="8"/>
      <c r="Q1351" s="9"/>
    </row>
    <row r="1352" spans="2:17" x14ac:dyDescent="0.2">
      <c r="B1352" s="7"/>
      <c r="C1352" s="8"/>
      <c r="D1352" s="9"/>
      <c r="E1352" s="10"/>
      <c r="F1352" s="8"/>
      <c r="G1352" s="8"/>
      <c r="H1352" s="9"/>
      <c r="I1352" s="10"/>
      <c r="J1352" s="8"/>
      <c r="K1352" s="10"/>
      <c r="L1352" s="10"/>
      <c r="M1352" s="10"/>
      <c r="N1352" s="10"/>
      <c r="O1352" s="10"/>
      <c r="P1352" s="8"/>
      <c r="Q1352" s="9"/>
    </row>
    <row r="1353" spans="2:17" x14ac:dyDescent="0.2">
      <c r="B1353" s="7"/>
      <c r="C1353" s="8"/>
      <c r="D1353" s="9"/>
      <c r="E1353" s="10"/>
      <c r="F1353" s="8"/>
      <c r="G1353" s="8"/>
      <c r="H1353" s="9"/>
      <c r="I1353" s="10"/>
      <c r="J1353" s="8"/>
      <c r="K1353" s="10"/>
      <c r="L1353" s="10"/>
      <c r="M1353" s="10"/>
      <c r="N1353" s="10"/>
      <c r="O1353" s="10"/>
      <c r="P1353" s="8"/>
      <c r="Q1353" s="9"/>
    </row>
    <row r="1354" spans="2:17" x14ac:dyDescent="0.2">
      <c r="B1354" s="7"/>
      <c r="C1354" s="8"/>
      <c r="D1354" s="9"/>
      <c r="E1354" s="10"/>
      <c r="F1354" s="8"/>
      <c r="G1354" s="8"/>
      <c r="H1354" s="9"/>
      <c r="I1354" s="10"/>
      <c r="J1354" s="8"/>
      <c r="K1354" s="10"/>
      <c r="L1354" s="10"/>
      <c r="M1354" s="10"/>
      <c r="N1354" s="10"/>
      <c r="O1354" s="10"/>
      <c r="P1354" s="8"/>
      <c r="Q1354" s="9"/>
    </row>
    <row r="1355" spans="2:17" x14ac:dyDescent="0.2">
      <c r="B1355" s="7"/>
      <c r="C1355" s="8"/>
      <c r="D1355" s="9"/>
      <c r="E1355" s="10"/>
      <c r="F1355" s="8"/>
      <c r="G1355" s="8"/>
      <c r="H1355" s="9"/>
      <c r="I1355" s="10"/>
      <c r="J1355" s="8"/>
      <c r="K1355" s="10"/>
      <c r="L1355" s="10"/>
      <c r="M1355" s="10"/>
      <c r="N1355" s="10"/>
      <c r="O1355" s="10"/>
      <c r="P1355" s="8"/>
      <c r="Q1355" s="9"/>
    </row>
    <row r="1356" spans="2:17" x14ac:dyDescent="0.2">
      <c r="B1356" s="7"/>
      <c r="C1356" s="8"/>
      <c r="D1356" s="9"/>
      <c r="E1356" s="10"/>
      <c r="F1356" s="8"/>
      <c r="G1356" s="8"/>
      <c r="H1356" s="9"/>
      <c r="I1356" s="10"/>
      <c r="J1356" s="8"/>
      <c r="K1356" s="10"/>
      <c r="L1356" s="10"/>
      <c r="M1356" s="10"/>
      <c r="N1356" s="10"/>
      <c r="O1356" s="10"/>
      <c r="P1356" s="8"/>
      <c r="Q1356" s="9"/>
    </row>
    <row r="1357" spans="2:17" x14ac:dyDescent="0.2">
      <c r="B1357" s="7"/>
      <c r="C1357" s="8"/>
      <c r="D1357" s="9"/>
      <c r="E1357" s="10"/>
      <c r="F1357" s="8"/>
      <c r="G1357" s="8"/>
      <c r="H1357" s="9"/>
      <c r="I1357" s="10"/>
      <c r="J1357" s="8"/>
      <c r="K1357" s="10"/>
      <c r="L1357" s="10"/>
      <c r="M1357" s="10"/>
      <c r="N1357" s="10"/>
      <c r="O1357" s="10"/>
      <c r="P1357" s="8"/>
      <c r="Q1357" s="9"/>
    </row>
    <row r="1358" spans="2:17" x14ac:dyDescent="0.2">
      <c r="B1358" s="7"/>
      <c r="C1358" s="8"/>
      <c r="D1358" s="9"/>
      <c r="E1358" s="10"/>
      <c r="F1358" s="8"/>
      <c r="G1358" s="8"/>
      <c r="H1358" s="9"/>
      <c r="I1358" s="10"/>
      <c r="J1358" s="8"/>
      <c r="K1358" s="10"/>
      <c r="L1358" s="10"/>
      <c r="M1358" s="10"/>
      <c r="N1358" s="10"/>
      <c r="O1358" s="10"/>
      <c r="P1358" s="8"/>
      <c r="Q1358" s="9"/>
    </row>
    <row r="1359" spans="2:17" x14ac:dyDescent="0.2">
      <c r="B1359" s="7"/>
      <c r="C1359" s="8"/>
      <c r="D1359" s="9"/>
      <c r="E1359" s="10"/>
      <c r="F1359" s="8"/>
      <c r="G1359" s="8"/>
      <c r="H1359" s="9"/>
      <c r="I1359" s="10"/>
      <c r="J1359" s="8"/>
      <c r="K1359" s="10"/>
      <c r="L1359" s="10"/>
      <c r="M1359" s="10"/>
      <c r="N1359" s="10"/>
      <c r="O1359" s="10"/>
      <c r="P1359" s="8"/>
      <c r="Q1359" s="9"/>
    </row>
    <row r="1360" spans="2:17" x14ac:dyDescent="0.2">
      <c r="B1360" s="7"/>
      <c r="C1360" s="8"/>
      <c r="D1360" s="9"/>
      <c r="E1360" s="10"/>
      <c r="F1360" s="8"/>
      <c r="G1360" s="8"/>
      <c r="H1360" s="9"/>
      <c r="I1360" s="10"/>
      <c r="J1360" s="8"/>
      <c r="K1360" s="10"/>
      <c r="L1360" s="10"/>
      <c r="M1360" s="10"/>
      <c r="N1360" s="10"/>
      <c r="O1360" s="10"/>
      <c r="P1360" s="8"/>
      <c r="Q1360" s="9"/>
    </row>
    <row r="1361" spans="2:17" x14ac:dyDescent="0.2">
      <c r="B1361" s="7"/>
      <c r="C1361" s="8"/>
      <c r="D1361" s="9"/>
      <c r="E1361" s="10"/>
      <c r="F1361" s="8"/>
      <c r="G1361" s="8"/>
      <c r="H1361" s="9"/>
      <c r="I1361" s="10"/>
      <c r="J1361" s="8"/>
      <c r="K1361" s="10"/>
      <c r="L1361" s="10"/>
      <c r="M1361" s="10"/>
      <c r="N1361" s="10"/>
      <c r="O1361" s="10"/>
      <c r="P1361" s="8"/>
      <c r="Q1361" s="9"/>
    </row>
    <row r="1362" spans="2:17" x14ac:dyDescent="0.2">
      <c r="B1362" s="7"/>
      <c r="C1362" s="8"/>
      <c r="D1362" s="9"/>
      <c r="E1362" s="10"/>
      <c r="F1362" s="8"/>
      <c r="G1362" s="8"/>
      <c r="H1362" s="9"/>
      <c r="I1362" s="10"/>
      <c r="J1362" s="8"/>
      <c r="K1362" s="10"/>
      <c r="L1362" s="10"/>
      <c r="M1362" s="10"/>
      <c r="N1362" s="10"/>
      <c r="O1362" s="10"/>
      <c r="P1362" s="8"/>
      <c r="Q1362" s="9"/>
    </row>
    <row r="1363" spans="2:17" x14ac:dyDescent="0.2">
      <c r="B1363" s="7"/>
      <c r="C1363" s="8"/>
      <c r="D1363" s="9"/>
      <c r="E1363" s="10"/>
      <c r="F1363" s="8"/>
      <c r="G1363" s="8"/>
      <c r="H1363" s="9"/>
      <c r="I1363" s="10"/>
      <c r="J1363" s="8"/>
      <c r="K1363" s="10"/>
      <c r="L1363" s="10"/>
      <c r="M1363" s="10"/>
      <c r="N1363" s="10"/>
      <c r="O1363" s="10"/>
      <c r="P1363" s="8"/>
      <c r="Q1363" s="9"/>
    </row>
    <row r="1364" spans="2:17" x14ac:dyDescent="0.2">
      <c r="B1364" s="7"/>
      <c r="C1364" s="8"/>
      <c r="D1364" s="9"/>
      <c r="E1364" s="10"/>
      <c r="F1364" s="8"/>
      <c r="G1364" s="8"/>
      <c r="H1364" s="9"/>
      <c r="I1364" s="10"/>
      <c r="J1364" s="8"/>
      <c r="K1364" s="10"/>
      <c r="L1364" s="10"/>
      <c r="M1364" s="10"/>
      <c r="N1364" s="10"/>
      <c r="O1364" s="10"/>
      <c r="P1364" s="8"/>
      <c r="Q1364" s="9"/>
    </row>
    <row r="1365" spans="2:17" x14ac:dyDescent="0.2">
      <c r="B1365" s="7"/>
      <c r="C1365" s="8"/>
      <c r="D1365" s="9"/>
      <c r="E1365" s="10"/>
      <c r="F1365" s="8"/>
      <c r="G1365" s="8"/>
      <c r="H1365" s="9"/>
      <c r="I1365" s="10"/>
      <c r="J1365" s="8"/>
      <c r="K1365" s="10"/>
      <c r="L1365" s="10"/>
      <c r="M1365" s="10"/>
      <c r="N1365" s="10"/>
      <c r="O1365" s="10"/>
      <c r="P1365" s="8"/>
      <c r="Q1365" s="9"/>
    </row>
    <row r="1366" spans="2:17" x14ac:dyDescent="0.2">
      <c r="B1366" s="7"/>
      <c r="C1366" s="8"/>
      <c r="D1366" s="9"/>
      <c r="E1366" s="10"/>
      <c r="F1366" s="8"/>
      <c r="G1366" s="8"/>
      <c r="H1366" s="9"/>
      <c r="I1366" s="10"/>
      <c r="J1366" s="8"/>
      <c r="K1366" s="10"/>
      <c r="L1366" s="10"/>
      <c r="M1366" s="10"/>
      <c r="N1366" s="10"/>
      <c r="O1366" s="10"/>
      <c r="P1366" s="8"/>
      <c r="Q1366" s="9"/>
    </row>
    <row r="1367" spans="2:17" x14ac:dyDescent="0.2">
      <c r="B1367" s="7"/>
      <c r="C1367" s="8"/>
      <c r="D1367" s="9"/>
      <c r="E1367" s="10"/>
      <c r="F1367" s="8"/>
      <c r="G1367" s="8"/>
      <c r="H1367" s="9"/>
      <c r="I1367" s="10"/>
      <c r="J1367" s="8"/>
      <c r="K1367" s="10"/>
      <c r="L1367" s="10"/>
      <c r="M1367" s="10"/>
      <c r="N1367" s="10"/>
      <c r="O1367" s="10"/>
      <c r="P1367" s="8"/>
      <c r="Q1367" s="9"/>
    </row>
    <row r="1368" spans="2:17" x14ac:dyDescent="0.2">
      <c r="B1368" s="7"/>
      <c r="C1368" s="8"/>
      <c r="D1368" s="9"/>
      <c r="E1368" s="10"/>
      <c r="F1368" s="8"/>
      <c r="G1368" s="8"/>
      <c r="H1368" s="9"/>
      <c r="I1368" s="10"/>
      <c r="J1368" s="8"/>
      <c r="K1368" s="10"/>
      <c r="L1368" s="10"/>
      <c r="M1368" s="10"/>
      <c r="N1368" s="10"/>
      <c r="O1368" s="10"/>
      <c r="P1368" s="8"/>
      <c r="Q1368" s="9"/>
    </row>
    <row r="1369" spans="2:17" x14ac:dyDescent="0.2">
      <c r="B1369" s="7"/>
      <c r="C1369" s="8"/>
      <c r="D1369" s="9"/>
      <c r="E1369" s="10"/>
      <c r="F1369" s="8"/>
      <c r="G1369" s="8"/>
      <c r="H1369" s="9"/>
      <c r="I1369" s="10"/>
      <c r="J1369" s="8"/>
      <c r="K1369" s="10"/>
      <c r="L1369" s="10"/>
      <c r="M1369" s="10"/>
      <c r="N1369" s="10"/>
      <c r="O1369" s="10"/>
      <c r="P1369" s="8"/>
      <c r="Q1369" s="9"/>
    </row>
    <row r="1370" spans="2:17" x14ac:dyDescent="0.2">
      <c r="B1370" s="7"/>
      <c r="C1370" s="8"/>
      <c r="D1370" s="9"/>
      <c r="E1370" s="10"/>
      <c r="F1370" s="8"/>
      <c r="G1370" s="8"/>
      <c r="H1370" s="9"/>
      <c r="I1370" s="10"/>
      <c r="J1370" s="8"/>
      <c r="K1370" s="10"/>
      <c r="L1370" s="10"/>
      <c r="M1370" s="10"/>
      <c r="N1370" s="10"/>
      <c r="O1370" s="10"/>
      <c r="P1370" s="8"/>
      <c r="Q1370" s="9"/>
    </row>
    <row r="1371" spans="2:17" x14ac:dyDescent="0.2">
      <c r="B1371" s="7"/>
      <c r="C1371" s="8"/>
      <c r="D1371" s="9"/>
      <c r="E1371" s="10"/>
      <c r="F1371" s="8"/>
      <c r="G1371" s="8"/>
      <c r="H1371" s="9"/>
      <c r="I1371" s="10"/>
      <c r="J1371" s="8"/>
      <c r="K1371" s="10"/>
      <c r="L1371" s="10"/>
      <c r="M1371" s="10"/>
      <c r="N1371" s="10"/>
      <c r="O1371" s="10"/>
      <c r="P1371" s="8"/>
      <c r="Q1371" s="9"/>
    </row>
    <row r="1372" spans="2:17" x14ac:dyDescent="0.2">
      <c r="B1372" s="7"/>
      <c r="C1372" s="8"/>
      <c r="D1372" s="9"/>
      <c r="E1372" s="10"/>
      <c r="F1372" s="8"/>
      <c r="G1372" s="8"/>
      <c r="H1372" s="9"/>
      <c r="I1372" s="10"/>
      <c r="J1372" s="8"/>
      <c r="K1372" s="10"/>
      <c r="L1372" s="10"/>
      <c r="M1372" s="10"/>
      <c r="N1372" s="10"/>
      <c r="O1372" s="10"/>
      <c r="P1372" s="8"/>
      <c r="Q1372" s="9"/>
    </row>
    <row r="1373" spans="2:17" x14ac:dyDescent="0.2">
      <c r="B1373" s="7"/>
      <c r="C1373" s="8"/>
      <c r="D1373" s="9"/>
      <c r="E1373" s="10"/>
      <c r="F1373" s="8"/>
      <c r="G1373" s="8"/>
      <c r="H1373" s="9"/>
      <c r="I1373" s="10"/>
      <c r="J1373" s="8"/>
      <c r="K1373" s="10"/>
      <c r="L1373" s="10"/>
      <c r="M1373" s="10"/>
      <c r="N1373" s="10"/>
      <c r="O1373" s="10"/>
      <c r="P1373" s="8"/>
      <c r="Q1373" s="9"/>
    </row>
    <row r="1374" spans="2:17" x14ac:dyDescent="0.2">
      <c r="B1374" s="7"/>
      <c r="C1374" s="8"/>
      <c r="D1374" s="9"/>
      <c r="E1374" s="10"/>
      <c r="F1374" s="8"/>
      <c r="G1374" s="8"/>
      <c r="H1374" s="9"/>
      <c r="I1374" s="10"/>
      <c r="J1374" s="8"/>
      <c r="K1374" s="10"/>
      <c r="L1374" s="10"/>
      <c r="M1374" s="10"/>
      <c r="N1374" s="10"/>
      <c r="O1374" s="10"/>
      <c r="P1374" s="8"/>
      <c r="Q1374" s="9"/>
    </row>
    <row r="1375" spans="2:17" x14ac:dyDescent="0.2">
      <c r="B1375" s="7"/>
      <c r="C1375" s="8"/>
      <c r="D1375" s="9"/>
      <c r="E1375" s="10"/>
      <c r="F1375" s="8"/>
      <c r="G1375" s="8"/>
      <c r="H1375" s="9"/>
      <c r="I1375" s="10"/>
      <c r="J1375" s="8"/>
      <c r="K1375" s="10"/>
      <c r="L1375" s="10"/>
      <c r="M1375" s="10"/>
      <c r="N1375" s="10"/>
      <c r="O1375" s="10"/>
      <c r="P1375" s="8"/>
      <c r="Q1375" s="9"/>
    </row>
    <row r="1376" spans="2:17" x14ac:dyDescent="0.2">
      <c r="B1376" s="7"/>
      <c r="C1376" s="8"/>
      <c r="D1376" s="9"/>
      <c r="E1376" s="10"/>
      <c r="F1376" s="8"/>
      <c r="G1376" s="8"/>
      <c r="H1376" s="9"/>
      <c r="I1376" s="10"/>
      <c r="J1376" s="8"/>
      <c r="K1376" s="10"/>
      <c r="L1376" s="10"/>
      <c r="M1376" s="10"/>
      <c r="N1376" s="10"/>
      <c r="O1376" s="10"/>
      <c r="P1376" s="8"/>
      <c r="Q1376" s="9"/>
    </row>
    <row r="1377" spans="2:17" x14ac:dyDescent="0.2">
      <c r="B1377" s="7"/>
      <c r="C1377" s="8"/>
      <c r="D1377" s="9"/>
      <c r="E1377" s="10"/>
      <c r="F1377" s="8"/>
      <c r="G1377" s="8"/>
      <c r="H1377" s="9"/>
      <c r="I1377" s="10"/>
      <c r="J1377" s="8"/>
      <c r="K1377" s="10"/>
      <c r="L1377" s="10"/>
      <c r="M1377" s="10"/>
      <c r="N1377" s="10"/>
      <c r="O1377" s="10"/>
      <c r="P1377" s="8"/>
      <c r="Q1377" s="9"/>
    </row>
    <row r="1378" spans="2:17" x14ac:dyDescent="0.2">
      <c r="B1378" s="7"/>
      <c r="C1378" s="8"/>
      <c r="D1378" s="9"/>
      <c r="E1378" s="10"/>
      <c r="F1378" s="8"/>
      <c r="G1378" s="8"/>
      <c r="H1378" s="9"/>
      <c r="I1378" s="10"/>
      <c r="J1378" s="8"/>
      <c r="K1378" s="10"/>
      <c r="L1378" s="10"/>
      <c r="M1378" s="10"/>
      <c r="N1378" s="10"/>
      <c r="O1378" s="10"/>
      <c r="P1378" s="8"/>
      <c r="Q1378" s="9"/>
    </row>
    <row r="1379" spans="2:17" x14ac:dyDescent="0.2">
      <c r="B1379" s="7"/>
      <c r="C1379" s="8"/>
      <c r="D1379" s="9"/>
      <c r="E1379" s="10"/>
      <c r="F1379" s="8"/>
      <c r="G1379" s="8"/>
      <c r="H1379" s="9"/>
      <c r="I1379" s="10"/>
      <c r="J1379" s="8"/>
      <c r="K1379" s="10"/>
      <c r="L1379" s="10"/>
      <c r="M1379" s="10"/>
      <c r="N1379" s="10"/>
      <c r="O1379" s="10"/>
      <c r="P1379" s="8"/>
      <c r="Q1379" s="9"/>
    </row>
    <row r="1380" spans="2:17" x14ac:dyDescent="0.2">
      <c r="B1380" s="7"/>
      <c r="C1380" s="8"/>
      <c r="D1380" s="9"/>
      <c r="E1380" s="10"/>
      <c r="F1380" s="8"/>
      <c r="G1380" s="8"/>
      <c r="H1380" s="9"/>
      <c r="I1380" s="10"/>
      <c r="J1380" s="8"/>
      <c r="K1380" s="10"/>
      <c r="L1380" s="10"/>
      <c r="M1380" s="10"/>
      <c r="N1380" s="10"/>
      <c r="O1380" s="10"/>
      <c r="P1380" s="8"/>
      <c r="Q1380" s="9"/>
    </row>
    <row r="1381" spans="2:17" x14ac:dyDescent="0.2">
      <c r="B1381" s="7"/>
      <c r="C1381" s="8"/>
      <c r="D1381" s="9"/>
      <c r="E1381" s="10"/>
      <c r="F1381" s="8"/>
      <c r="G1381" s="8"/>
      <c r="H1381" s="9"/>
      <c r="I1381" s="10"/>
      <c r="J1381" s="8"/>
      <c r="K1381" s="10"/>
      <c r="L1381" s="10"/>
      <c r="M1381" s="10"/>
      <c r="N1381" s="10"/>
      <c r="O1381" s="10"/>
      <c r="P1381" s="8"/>
      <c r="Q1381" s="9"/>
    </row>
    <row r="1382" spans="2:17" x14ac:dyDescent="0.2">
      <c r="B1382" s="7"/>
      <c r="C1382" s="8"/>
      <c r="D1382" s="9"/>
      <c r="E1382" s="10"/>
      <c r="F1382" s="8"/>
      <c r="G1382" s="8"/>
      <c r="H1382" s="9"/>
      <c r="I1382" s="10"/>
      <c r="J1382" s="8"/>
      <c r="K1382" s="10"/>
      <c r="L1382" s="10"/>
      <c r="M1382" s="10"/>
      <c r="N1382" s="10"/>
      <c r="O1382" s="10"/>
      <c r="P1382" s="8"/>
      <c r="Q1382" s="9"/>
    </row>
    <row r="1383" spans="2:17" x14ac:dyDescent="0.2">
      <c r="B1383" s="7"/>
      <c r="C1383" s="8"/>
      <c r="D1383" s="9"/>
      <c r="E1383" s="10"/>
      <c r="F1383" s="8"/>
      <c r="G1383" s="8"/>
      <c r="H1383" s="9"/>
      <c r="I1383" s="10"/>
      <c r="J1383" s="8"/>
      <c r="K1383" s="10"/>
      <c r="L1383" s="10"/>
      <c r="M1383" s="10"/>
      <c r="N1383" s="10"/>
      <c r="O1383" s="10"/>
      <c r="P1383" s="8"/>
      <c r="Q1383" s="9"/>
    </row>
    <row r="1384" spans="2:17" x14ac:dyDescent="0.2">
      <c r="B1384" s="7"/>
      <c r="C1384" s="8"/>
      <c r="D1384" s="9"/>
      <c r="E1384" s="10"/>
      <c r="F1384" s="8"/>
      <c r="G1384" s="8"/>
      <c r="H1384" s="9"/>
      <c r="I1384" s="10"/>
      <c r="J1384" s="8"/>
      <c r="K1384" s="10"/>
      <c r="L1384" s="10"/>
      <c r="M1384" s="10"/>
      <c r="N1384" s="10"/>
      <c r="O1384" s="10"/>
      <c r="P1384" s="8"/>
      <c r="Q1384" s="9"/>
    </row>
    <row r="1385" spans="2:17" x14ac:dyDescent="0.2">
      <c r="B1385" s="7"/>
      <c r="C1385" s="8"/>
      <c r="D1385" s="9"/>
      <c r="E1385" s="10"/>
      <c r="F1385" s="8"/>
      <c r="G1385" s="8"/>
      <c r="H1385" s="9"/>
      <c r="I1385" s="10"/>
      <c r="J1385" s="8"/>
      <c r="K1385" s="10"/>
      <c r="L1385" s="10"/>
      <c r="M1385" s="10"/>
      <c r="N1385" s="10"/>
      <c r="O1385" s="10"/>
      <c r="P1385" s="8"/>
      <c r="Q1385" s="9"/>
    </row>
    <row r="1386" spans="2:17" x14ac:dyDescent="0.2">
      <c r="B1386" s="7"/>
      <c r="C1386" s="8"/>
      <c r="D1386" s="9"/>
      <c r="E1386" s="10"/>
      <c r="F1386" s="8"/>
      <c r="G1386" s="8"/>
      <c r="H1386" s="9"/>
      <c r="I1386" s="10"/>
      <c r="J1386" s="8"/>
      <c r="K1386" s="10"/>
      <c r="L1386" s="10"/>
      <c r="M1386" s="10"/>
      <c r="N1386" s="10"/>
      <c r="O1386" s="10"/>
      <c r="P1386" s="8"/>
      <c r="Q1386" s="9"/>
    </row>
    <row r="1387" spans="2:17" x14ac:dyDescent="0.2">
      <c r="B1387" s="7"/>
      <c r="C1387" s="8"/>
      <c r="D1387" s="9"/>
      <c r="E1387" s="10"/>
      <c r="F1387" s="8"/>
      <c r="G1387" s="8"/>
      <c r="H1387" s="9"/>
      <c r="I1387" s="10"/>
      <c r="J1387" s="8"/>
      <c r="K1387" s="10"/>
      <c r="L1387" s="10"/>
      <c r="M1387" s="10"/>
      <c r="N1387" s="10"/>
      <c r="O1387" s="10"/>
      <c r="P1387" s="8"/>
      <c r="Q1387" s="9"/>
    </row>
    <row r="1388" spans="2:17" x14ac:dyDescent="0.2">
      <c r="B1388" s="7"/>
      <c r="C1388" s="8"/>
      <c r="D1388" s="9"/>
      <c r="E1388" s="10"/>
      <c r="F1388" s="8"/>
      <c r="G1388" s="8"/>
      <c r="H1388" s="9"/>
      <c r="I1388" s="10"/>
      <c r="J1388" s="8"/>
      <c r="K1388" s="10"/>
      <c r="L1388" s="10"/>
      <c r="M1388" s="10"/>
      <c r="N1388" s="10"/>
      <c r="O1388" s="10"/>
      <c r="P1388" s="8"/>
      <c r="Q1388" s="9"/>
    </row>
    <row r="1389" spans="2:17" x14ac:dyDescent="0.2">
      <c r="B1389" s="7"/>
      <c r="C1389" s="8"/>
      <c r="D1389" s="9"/>
      <c r="E1389" s="10"/>
      <c r="F1389" s="8"/>
      <c r="G1389" s="8"/>
      <c r="H1389" s="9"/>
      <c r="I1389" s="10"/>
      <c r="J1389" s="8"/>
      <c r="K1389" s="10"/>
      <c r="L1389" s="10"/>
      <c r="M1389" s="10"/>
      <c r="N1389" s="10"/>
      <c r="O1389" s="10"/>
      <c r="P1389" s="8"/>
      <c r="Q1389" s="9"/>
    </row>
    <row r="1390" spans="2:17" x14ac:dyDescent="0.2">
      <c r="B1390" s="7"/>
      <c r="C1390" s="8"/>
      <c r="D1390" s="9"/>
      <c r="E1390" s="10"/>
      <c r="F1390" s="8"/>
      <c r="G1390" s="8"/>
      <c r="H1390" s="9"/>
      <c r="I1390" s="10"/>
      <c r="J1390" s="8"/>
      <c r="K1390" s="10"/>
      <c r="L1390" s="10"/>
      <c r="M1390" s="10"/>
      <c r="N1390" s="10"/>
      <c r="O1390" s="10"/>
      <c r="P1390" s="8"/>
      <c r="Q1390" s="9"/>
    </row>
    <row r="1391" spans="2:17" x14ac:dyDescent="0.2">
      <c r="B1391" s="7"/>
      <c r="C1391" s="8"/>
      <c r="D1391" s="9"/>
      <c r="E1391" s="10"/>
      <c r="F1391" s="8"/>
      <c r="G1391" s="8"/>
      <c r="H1391" s="9"/>
      <c r="I1391" s="10"/>
      <c r="J1391" s="8"/>
      <c r="K1391" s="10"/>
      <c r="L1391" s="10"/>
      <c r="M1391" s="10"/>
      <c r="N1391" s="10"/>
      <c r="O1391" s="10"/>
      <c r="P1391" s="8"/>
      <c r="Q1391" s="9"/>
    </row>
    <row r="1392" spans="2:17" x14ac:dyDescent="0.2">
      <c r="B1392" s="7"/>
      <c r="C1392" s="8"/>
      <c r="D1392" s="9"/>
      <c r="E1392" s="10"/>
      <c r="F1392" s="8"/>
      <c r="G1392" s="8"/>
      <c r="H1392" s="9"/>
      <c r="I1392" s="10"/>
      <c r="J1392" s="8"/>
      <c r="K1392" s="10"/>
      <c r="L1392" s="10"/>
      <c r="M1392" s="10"/>
      <c r="N1392" s="10"/>
      <c r="O1392" s="10"/>
      <c r="P1392" s="8"/>
      <c r="Q1392" s="9"/>
    </row>
    <row r="1393" spans="2:17" x14ac:dyDescent="0.2">
      <c r="B1393" s="7"/>
      <c r="C1393" s="8"/>
      <c r="D1393" s="9"/>
      <c r="E1393" s="10"/>
      <c r="F1393" s="8"/>
      <c r="G1393" s="8"/>
      <c r="H1393" s="9"/>
      <c r="I1393" s="10"/>
      <c r="J1393" s="8"/>
      <c r="K1393" s="10"/>
      <c r="L1393" s="10"/>
      <c r="M1393" s="10"/>
      <c r="N1393" s="10"/>
      <c r="O1393" s="10"/>
      <c r="P1393" s="8"/>
      <c r="Q1393" s="9"/>
    </row>
    <row r="1394" spans="2:17" x14ac:dyDescent="0.2">
      <c r="B1394" s="7"/>
      <c r="C1394" s="8"/>
      <c r="D1394" s="9"/>
      <c r="E1394" s="10"/>
      <c r="F1394" s="8"/>
      <c r="G1394" s="8"/>
      <c r="H1394" s="9"/>
      <c r="I1394" s="10"/>
      <c r="J1394" s="8"/>
      <c r="K1394" s="10"/>
      <c r="L1394" s="10"/>
      <c r="M1394" s="10"/>
      <c r="N1394" s="10"/>
      <c r="O1394" s="10"/>
      <c r="P1394" s="8"/>
      <c r="Q1394" s="9"/>
    </row>
    <row r="1395" spans="2:17" x14ac:dyDescent="0.2">
      <c r="B1395" s="7"/>
      <c r="C1395" s="8"/>
      <c r="D1395" s="9"/>
      <c r="E1395" s="10"/>
      <c r="F1395" s="8"/>
      <c r="G1395" s="8"/>
      <c r="H1395" s="9"/>
      <c r="I1395" s="10"/>
      <c r="J1395" s="8"/>
      <c r="K1395" s="10"/>
      <c r="L1395" s="10"/>
      <c r="M1395" s="10"/>
      <c r="N1395" s="10"/>
      <c r="O1395" s="10"/>
      <c r="P1395" s="8"/>
      <c r="Q1395" s="9"/>
    </row>
    <row r="1396" spans="2:17" x14ac:dyDescent="0.2">
      <c r="B1396" s="7"/>
      <c r="C1396" s="8"/>
      <c r="D1396" s="9"/>
      <c r="E1396" s="10"/>
      <c r="F1396" s="8"/>
      <c r="G1396" s="8"/>
      <c r="H1396" s="9"/>
      <c r="I1396" s="10"/>
      <c r="J1396" s="8"/>
      <c r="K1396" s="10"/>
      <c r="L1396" s="10"/>
      <c r="M1396" s="10"/>
      <c r="N1396" s="10"/>
      <c r="O1396" s="10"/>
      <c r="P1396" s="8"/>
      <c r="Q1396" s="9"/>
    </row>
    <row r="1397" spans="2:17" x14ac:dyDescent="0.2">
      <c r="B1397" s="7"/>
      <c r="C1397" s="8"/>
      <c r="D1397" s="9"/>
      <c r="E1397" s="10"/>
      <c r="F1397" s="8"/>
      <c r="G1397" s="8"/>
      <c r="H1397" s="9"/>
      <c r="I1397" s="10"/>
      <c r="J1397" s="8"/>
      <c r="K1397" s="10"/>
      <c r="L1397" s="10"/>
      <c r="M1397" s="10"/>
      <c r="N1397" s="10"/>
      <c r="O1397" s="10"/>
      <c r="P1397" s="8"/>
      <c r="Q1397" s="9"/>
    </row>
    <row r="1398" spans="2:17" x14ac:dyDescent="0.2">
      <c r="B1398" s="7"/>
      <c r="C1398" s="8"/>
      <c r="D1398" s="9"/>
      <c r="E1398" s="10"/>
      <c r="F1398" s="8"/>
      <c r="G1398" s="8"/>
      <c r="H1398" s="9"/>
      <c r="I1398" s="10"/>
      <c r="J1398" s="8"/>
      <c r="K1398" s="10"/>
      <c r="L1398" s="10"/>
      <c r="M1398" s="10"/>
      <c r="N1398" s="10"/>
      <c r="O1398" s="10"/>
      <c r="P1398" s="8"/>
      <c r="Q1398" s="9"/>
    </row>
    <row r="1399" spans="2:17" x14ac:dyDescent="0.2">
      <c r="B1399" s="7"/>
      <c r="C1399" s="8"/>
      <c r="D1399" s="9"/>
      <c r="E1399" s="10"/>
      <c r="F1399" s="8"/>
      <c r="G1399" s="8"/>
      <c r="H1399" s="9"/>
      <c r="I1399" s="10"/>
      <c r="J1399" s="8"/>
      <c r="K1399" s="10"/>
      <c r="L1399" s="10"/>
      <c r="M1399" s="10"/>
      <c r="N1399" s="10"/>
      <c r="O1399" s="10"/>
      <c r="P1399" s="8"/>
      <c r="Q1399" s="9"/>
    </row>
    <row r="1400" spans="2:17" x14ac:dyDescent="0.2">
      <c r="B1400" s="7"/>
      <c r="C1400" s="8"/>
      <c r="D1400" s="9"/>
      <c r="E1400" s="10"/>
      <c r="F1400" s="8"/>
      <c r="G1400" s="8"/>
      <c r="H1400" s="9"/>
      <c r="I1400" s="10"/>
      <c r="J1400" s="8"/>
      <c r="K1400" s="10"/>
      <c r="L1400" s="10"/>
      <c r="M1400" s="10"/>
      <c r="N1400" s="10"/>
      <c r="O1400" s="10"/>
      <c r="P1400" s="8"/>
      <c r="Q1400" s="9"/>
    </row>
    <row r="1401" spans="2:17" x14ac:dyDescent="0.2">
      <c r="B1401" s="7"/>
      <c r="C1401" s="8"/>
      <c r="D1401" s="9"/>
      <c r="E1401" s="10"/>
      <c r="F1401" s="8"/>
      <c r="G1401" s="8"/>
      <c r="H1401" s="9"/>
      <c r="I1401" s="10"/>
      <c r="J1401" s="8"/>
      <c r="K1401" s="10"/>
      <c r="L1401" s="10"/>
      <c r="M1401" s="10"/>
      <c r="N1401" s="10"/>
      <c r="O1401" s="10"/>
      <c r="P1401" s="8"/>
      <c r="Q1401" s="9"/>
    </row>
    <row r="1402" spans="2:17" x14ac:dyDescent="0.2">
      <c r="B1402" s="7"/>
      <c r="C1402" s="8"/>
      <c r="D1402" s="9"/>
      <c r="E1402" s="10"/>
      <c r="F1402" s="8"/>
      <c r="G1402" s="8"/>
      <c r="H1402" s="9"/>
      <c r="I1402" s="10"/>
      <c r="J1402" s="8"/>
      <c r="K1402" s="10"/>
      <c r="L1402" s="10"/>
      <c r="M1402" s="10"/>
      <c r="N1402" s="10"/>
      <c r="O1402" s="10"/>
      <c r="P1402" s="8"/>
      <c r="Q1402" s="9"/>
    </row>
    <row r="1403" spans="2:17" x14ac:dyDescent="0.2">
      <c r="B1403" s="7"/>
      <c r="C1403" s="8"/>
      <c r="D1403" s="9"/>
      <c r="E1403" s="10"/>
      <c r="F1403" s="8"/>
      <c r="G1403" s="8"/>
      <c r="H1403" s="9"/>
      <c r="I1403" s="10"/>
      <c r="J1403" s="8"/>
      <c r="K1403" s="10"/>
      <c r="L1403" s="10"/>
      <c r="M1403" s="10"/>
      <c r="N1403" s="10"/>
      <c r="O1403" s="10"/>
      <c r="P1403" s="8"/>
      <c r="Q1403" s="9"/>
    </row>
    <row r="1404" spans="2:17" x14ac:dyDescent="0.2">
      <c r="B1404" s="7"/>
      <c r="C1404" s="8"/>
      <c r="D1404" s="9"/>
      <c r="E1404" s="10"/>
      <c r="F1404" s="8"/>
      <c r="G1404" s="8"/>
      <c r="H1404" s="9"/>
      <c r="I1404" s="10"/>
      <c r="J1404" s="8"/>
      <c r="K1404" s="10"/>
      <c r="L1404" s="10"/>
      <c r="M1404" s="10"/>
      <c r="N1404" s="10"/>
      <c r="O1404" s="10"/>
      <c r="P1404" s="8"/>
      <c r="Q1404" s="9"/>
    </row>
    <row r="1405" spans="2:17" x14ac:dyDescent="0.2">
      <c r="B1405" s="7"/>
      <c r="C1405" s="8"/>
      <c r="D1405" s="9"/>
      <c r="E1405" s="10"/>
      <c r="F1405" s="8"/>
      <c r="G1405" s="8"/>
      <c r="H1405" s="9"/>
      <c r="I1405" s="10"/>
      <c r="J1405" s="8"/>
      <c r="K1405" s="10"/>
      <c r="L1405" s="10"/>
      <c r="M1405" s="10"/>
      <c r="N1405" s="10"/>
      <c r="O1405" s="10"/>
      <c r="P1405" s="8"/>
      <c r="Q1405" s="9"/>
    </row>
    <row r="1406" spans="2:17" x14ac:dyDescent="0.2">
      <c r="B1406" s="7"/>
      <c r="C1406" s="8"/>
      <c r="D1406" s="9"/>
      <c r="E1406" s="10"/>
      <c r="F1406" s="8"/>
      <c r="G1406" s="8"/>
      <c r="H1406" s="9"/>
      <c r="I1406" s="10"/>
      <c r="J1406" s="8"/>
      <c r="K1406" s="10"/>
      <c r="L1406" s="10"/>
      <c r="M1406" s="10"/>
      <c r="N1406" s="10"/>
      <c r="O1406" s="10"/>
      <c r="P1406" s="8"/>
      <c r="Q1406" s="9"/>
    </row>
    <row r="1407" spans="2:17" x14ac:dyDescent="0.2">
      <c r="B1407" s="7"/>
      <c r="C1407" s="8"/>
      <c r="D1407" s="9"/>
      <c r="E1407" s="10"/>
      <c r="F1407" s="8"/>
      <c r="G1407" s="8"/>
      <c r="H1407" s="9"/>
      <c r="I1407" s="10"/>
      <c r="J1407" s="8"/>
      <c r="K1407" s="10"/>
      <c r="L1407" s="10"/>
      <c r="M1407" s="10"/>
      <c r="N1407" s="10"/>
      <c r="O1407" s="10"/>
      <c r="P1407" s="8"/>
      <c r="Q1407" s="9"/>
    </row>
    <row r="1408" spans="2:17" x14ac:dyDescent="0.2">
      <c r="B1408" s="7"/>
      <c r="C1408" s="8"/>
      <c r="D1408" s="9"/>
      <c r="E1408" s="10"/>
      <c r="F1408" s="8"/>
      <c r="G1408" s="8"/>
      <c r="H1408" s="9"/>
      <c r="I1408" s="10"/>
      <c r="J1408" s="8"/>
      <c r="K1408" s="10"/>
      <c r="L1408" s="10"/>
      <c r="M1408" s="10"/>
      <c r="N1408" s="10"/>
      <c r="O1408" s="10"/>
      <c r="P1408" s="8"/>
      <c r="Q1408" s="9"/>
    </row>
    <row r="1409" spans="2:17" x14ac:dyDescent="0.2">
      <c r="B1409" s="7"/>
      <c r="C1409" s="8"/>
      <c r="D1409" s="9"/>
      <c r="E1409" s="10"/>
      <c r="F1409" s="8"/>
      <c r="G1409" s="8"/>
      <c r="H1409" s="9"/>
      <c r="I1409" s="10"/>
      <c r="J1409" s="8"/>
      <c r="K1409" s="10"/>
      <c r="L1409" s="10"/>
      <c r="M1409" s="10"/>
      <c r="N1409" s="10"/>
      <c r="O1409" s="10"/>
      <c r="P1409" s="8"/>
      <c r="Q1409" s="9"/>
    </row>
    <row r="1410" spans="2:17" x14ac:dyDescent="0.2">
      <c r="B1410" s="7"/>
      <c r="C1410" s="8"/>
      <c r="D1410" s="9"/>
      <c r="E1410" s="10"/>
      <c r="F1410" s="8"/>
      <c r="G1410" s="8"/>
      <c r="H1410" s="9"/>
      <c r="I1410" s="10"/>
      <c r="J1410" s="8"/>
      <c r="K1410" s="10"/>
      <c r="L1410" s="10"/>
      <c r="M1410" s="10"/>
      <c r="N1410" s="10"/>
      <c r="O1410" s="10"/>
      <c r="P1410" s="8"/>
      <c r="Q1410" s="9"/>
    </row>
    <row r="1411" spans="2:17" x14ac:dyDescent="0.2">
      <c r="B1411" s="7"/>
      <c r="C1411" s="8"/>
      <c r="D1411" s="9"/>
      <c r="E1411" s="10"/>
      <c r="F1411" s="8"/>
      <c r="G1411" s="8"/>
      <c r="H1411" s="9"/>
      <c r="I1411" s="10"/>
      <c r="J1411" s="8"/>
      <c r="K1411" s="10"/>
      <c r="L1411" s="10"/>
      <c r="M1411" s="10"/>
      <c r="N1411" s="10"/>
      <c r="O1411" s="10"/>
      <c r="P1411" s="8"/>
      <c r="Q1411" s="9"/>
    </row>
    <row r="1412" spans="2:17" x14ac:dyDescent="0.2">
      <c r="B1412" s="7"/>
      <c r="C1412" s="8"/>
      <c r="D1412" s="9"/>
      <c r="E1412" s="10"/>
      <c r="F1412" s="8"/>
      <c r="G1412" s="8"/>
      <c r="H1412" s="9"/>
      <c r="I1412" s="10"/>
      <c r="J1412" s="8"/>
      <c r="K1412" s="10"/>
      <c r="L1412" s="10"/>
      <c r="M1412" s="10"/>
      <c r="N1412" s="10"/>
      <c r="O1412" s="10"/>
      <c r="P1412" s="8"/>
      <c r="Q1412" s="9"/>
    </row>
    <row r="1413" spans="2:17" x14ac:dyDescent="0.2">
      <c r="B1413" s="7"/>
      <c r="C1413" s="8"/>
      <c r="D1413" s="9"/>
      <c r="E1413" s="10"/>
      <c r="F1413" s="8"/>
      <c r="G1413" s="8"/>
      <c r="H1413" s="9"/>
      <c r="I1413" s="10"/>
      <c r="J1413" s="8"/>
      <c r="K1413" s="10"/>
      <c r="L1413" s="10"/>
      <c r="M1413" s="10"/>
      <c r="N1413" s="10"/>
      <c r="O1413" s="10"/>
      <c r="P1413" s="8"/>
      <c r="Q1413" s="9"/>
    </row>
    <row r="1414" spans="2:17" x14ac:dyDescent="0.2">
      <c r="B1414" s="7"/>
      <c r="C1414" s="8"/>
      <c r="D1414" s="9"/>
      <c r="E1414" s="10"/>
      <c r="F1414" s="8"/>
      <c r="G1414" s="8"/>
      <c r="H1414" s="9"/>
      <c r="I1414" s="10"/>
      <c r="J1414" s="8"/>
      <c r="K1414" s="10"/>
      <c r="L1414" s="10"/>
      <c r="M1414" s="10"/>
      <c r="N1414" s="10"/>
      <c r="O1414" s="10"/>
      <c r="P1414" s="8"/>
      <c r="Q1414" s="9"/>
    </row>
    <row r="1415" spans="2:17" x14ac:dyDescent="0.2">
      <c r="B1415" s="7"/>
      <c r="C1415" s="8"/>
      <c r="D1415" s="9"/>
      <c r="E1415" s="10"/>
      <c r="F1415" s="8"/>
      <c r="G1415" s="8"/>
      <c r="H1415" s="9"/>
      <c r="I1415" s="10"/>
      <c r="J1415" s="8"/>
      <c r="K1415" s="10"/>
      <c r="L1415" s="10"/>
      <c r="M1415" s="10"/>
      <c r="N1415" s="10"/>
      <c r="O1415" s="10"/>
      <c r="P1415" s="8"/>
      <c r="Q1415" s="9"/>
    </row>
    <row r="1416" spans="2:17" x14ac:dyDescent="0.2">
      <c r="B1416" s="7"/>
      <c r="C1416" s="8"/>
      <c r="D1416" s="9"/>
      <c r="E1416" s="10"/>
      <c r="F1416" s="8"/>
      <c r="G1416" s="8"/>
      <c r="H1416" s="9"/>
      <c r="I1416" s="10"/>
      <c r="J1416" s="8"/>
      <c r="K1416" s="10"/>
      <c r="L1416" s="10"/>
      <c r="M1416" s="10"/>
      <c r="N1416" s="10"/>
      <c r="O1416" s="10"/>
      <c r="P1416" s="8"/>
      <c r="Q1416" s="9"/>
    </row>
    <row r="1417" spans="2:17" x14ac:dyDescent="0.2">
      <c r="B1417" s="7"/>
      <c r="C1417" s="8"/>
      <c r="D1417" s="9"/>
      <c r="E1417" s="10"/>
      <c r="F1417" s="8"/>
      <c r="G1417" s="8"/>
      <c r="H1417" s="9"/>
      <c r="I1417" s="10"/>
      <c r="J1417" s="8"/>
      <c r="K1417" s="10"/>
      <c r="L1417" s="10"/>
      <c r="M1417" s="10"/>
      <c r="N1417" s="10"/>
      <c r="O1417" s="10"/>
      <c r="P1417" s="8"/>
      <c r="Q1417" s="9"/>
    </row>
    <row r="1418" spans="2:17" x14ac:dyDescent="0.2">
      <c r="B1418" s="7"/>
      <c r="C1418" s="8"/>
      <c r="D1418" s="9"/>
      <c r="E1418" s="10"/>
      <c r="F1418" s="8"/>
      <c r="G1418" s="8"/>
      <c r="H1418" s="9"/>
      <c r="I1418" s="10"/>
      <c r="J1418" s="8"/>
      <c r="K1418" s="10"/>
      <c r="L1418" s="10"/>
      <c r="M1418" s="10"/>
      <c r="N1418" s="10"/>
      <c r="O1418" s="10"/>
      <c r="P1418" s="8"/>
      <c r="Q1418" s="9"/>
    </row>
    <row r="1419" spans="2:17" x14ac:dyDescent="0.2">
      <c r="B1419" s="7"/>
      <c r="C1419" s="8"/>
      <c r="D1419" s="9"/>
      <c r="E1419" s="10"/>
      <c r="F1419" s="8"/>
      <c r="G1419" s="8"/>
      <c r="H1419" s="9"/>
      <c r="I1419" s="10"/>
      <c r="J1419" s="8"/>
      <c r="K1419" s="10"/>
      <c r="L1419" s="10"/>
      <c r="M1419" s="10"/>
      <c r="N1419" s="10"/>
      <c r="O1419" s="10"/>
      <c r="P1419" s="8"/>
      <c r="Q1419" s="9"/>
    </row>
    <row r="1420" spans="2:17" x14ac:dyDescent="0.2">
      <c r="B1420" s="7"/>
      <c r="C1420" s="8"/>
      <c r="D1420" s="9"/>
      <c r="E1420" s="10"/>
      <c r="F1420" s="8"/>
      <c r="G1420" s="8"/>
      <c r="H1420" s="9"/>
      <c r="I1420" s="10"/>
      <c r="J1420" s="8"/>
      <c r="K1420" s="10"/>
      <c r="L1420" s="10"/>
      <c r="M1420" s="10"/>
      <c r="N1420" s="10"/>
      <c r="O1420" s="10"/>
      <c r="P1420" s="8"/>
      <c r="Q1420" s="9"/>
    </row>
    <row r="1421" spans="2:17" x14ac:dyDescent="0.2">
      <c r="B1421" s="7"/>
      <c r="C1421" s="8"/>
      <c r="D1421" s="9"/>
      <c r="E1421" s="10"/>
      <c r="F1421" s="8"/>
      <c r="G1421" s="8"/>
      <c r="H1421" s="9"/>
      <c r="I1421" s="10"/>
      <c r="J1421" s="8"/>
      <c r="K1421" s="10"/>
      <c r="L1421" s="10"/>
      <c r="M1421" s="10"/>
      <c r="N1421" s="10"/>
      <c r="O1421" s="10"/>
      <c r="P1421" s="8"/>
      <c r="Q1421" s="9"/>
    </row>
    <row r="1422" spans="2:17" x14ac:dyDescent="0.2">
      <c r="B1422" s="7"/>
      <c r="C1422" s="8"/>
      <c r="D1422" s="9"/>
      <c r="E1422" s="10"/>
      <c r="F1422" s="8"/>
      <c r="G1422" s="8"/>
      <c r="H1422" s="9"/>
      <c r="I1422" s="10"/>
      <c r="J1422" s="8"/>
      <c r="K1422" s="10"/>
      <c r="L1422" s="10"/>
      <c r="M1422" s="10"/>
      <c r="N1422" s="10"/>
      <c r="O1422" s="10"/>
      <c r="P1422" s="8"/>
      <c r="Q1422" s="9"/>
    </row>
    <row r="1423" spans="2:17" x14ac:dyDescent="0.2">
      <c r="B1423" s="7"/>
      <c r="C1423" s="8"/>
      <c r="D1423" s="9"/>
      <c r="E1423" s="10"/>
      <c r="F1423" s="8"/>
      <c r="G1423" s="8"/>
      <c r="H1423" s="9"/>
      <c r="I1423" s="10"/>
      <c r="J1423" s="8"/>
      <c r="K1423" s="10"/>
      <c r="L1423" s="10"/>
      <c r="M1423" s="10"/>
      <c r="N1423" s="10"/>
      <c r="O1423" s="10"/>
      <c r="P1423" s="8"/>
      <c r="Q1423" s="9"/>
    </row>
    <row r="1424" spans="2:17" x14ac:dyDescent="0.2">
      <c r="B1424" s="7"/>
      <c r="C1424" s="8"/>
      <c r="D1424" s="9"/>
      <c r="E1424" s="10"/>
      <c r="F1424" s="8"/>
      <c r="G1424" s="8"/>
      <c r="H1424" s="9"/>
      <c r="I1424" s="10"/>
      <c r="J1424" s="8"/>
      <c r="K1424" s="10"/>
      <c r="L1424" s="10"/>
      <c r="M1424" s="10"/>
      <c r="N1424" s="10"/>
      <c r="O1424" s="10"/>
      <c r="P1424" s="8"/>
      <c r="Q1424" s="9"/>
    </row>
    <row r="1425" spans="2:17" x14ac:dyDescent="0.2">
      <c r="B1425" s="7"/>
      <c r="C1425" s="8"/>
      <c r="D1425" s="9"/>
      <c r="E1425" s="10"/>
      <c r="F1425" s="8"/>
      <c r="G1425" s="8"/>
      <c r="H1425" s="9"/>
      <c r="I1425" s="10"/>
      <c r="J1425" s="8"/>
      <c r="K1425" s="10"/>
      <c r="L1425" s="10"/>
      <c r="M1425" s="10"/>
      <c r="N1425" s="10"/>
      <c r="O1425" s="10"/>
      <c r="P1425" s="8"/>
      <c r="Q1425" s="9"/>
    </row>
    <row r="1426" spans="2:17" x14ac:dyDescent="0.2">
      <c r="B1426" s="7"/>
      <c r="C1426" s="8"/>
      <c r="D1426" s="9"/>
      <c r="E1426" s="10"/>
      <c r="F1426" s="8"/>
      <c r="G1426" s="8"/>
      <c r="H1426" s="9"/>
      <c r="I1426" s="10"/>
      <c r="J1426" s="8"/>
      <c r="K1426" s="10"/>
      <c r="L1426" s="10"/>
      <c r="M1426" s="10"/>
      <c r="N1426" s="10"/>
      <c r="O1426" s="10"/>
      <c r="P1426" s="8"/>
      <c r="Q1426" s="9"/>
    </row>
    <row r="1427" spans="2:17" x14ac:dyDescent="0.2">
      <c r="B1427" s="7"/>
      <c r="C1427" s="8"/>
      <c r="D1427" s="9"/>
      <c r="E1427" s="10"/>
      <c r="F1427" s="8"/>
      <c r="G1427" s="8"/>
      <c r="H1427" s="9"/>
      <c r="I1427" s="10"/>
      <c r="J1427" s="8"/>
      <c r="K1427" s="10"/>
      <c r="L1427" s="10"/>
      <c r="M1427" s="10"/>
      <c r="N1427" s="10"/>
      <c r="O1427" s="10"/>
      <c r="P1427" s="8"/>
      <c r="Q1427" s="9"/>
    </row>
    <row r="1428" spans="2:17" x14ac:dyDescent="0.2">
      <c r="B1428" s="7"/>
      <c r="C1428" s="8"/>
      <c r="D1428" s="9"/>
      <c r="E1428" s="10"/>
      <c r="F1428" s="8"/>
      <c r="G1428" s="8"/>
      <c r="H1428" s="9"/>
      <c r="I1428" s="10"/>
      <c r="J1428" s="8"/>
      <c r="K1428" s="10"/>
      <c r="L1428" s="10"/>
      <c r="M1428" s="10"/>
      <c r="N1428" s="10"/>
      <c r="O1428" s="10"/>
      <c r="P1428" s="8"/>
      <c r="Q1428" s="9"/>
    </row>
    <row r="1429" spans="2:17" x14ac:dyDescent="0.2">
      <c r="B1429" s="7"/>
      <c r="C1429" s="8"/>
      <c r="D1429" s="9"/>
      <c r="E1429" s="10"/>
      <c r="F1429" s="8"/>
      <c r="G1429" s="8"/>
      <c r="H1429" s="9"/>
      <c r="I1429" s="10"/>
      <c r="J1429" s="8"/>
      <c r="K1429" s="10"/>
      <c r="L1429" s="10"/>
      <c r="M1429" s="10"/>
      <c r="N1429" s="10"/>
      <c r="O1429" s="10"/>
      <c r="P1429" s="8"/>
      <c r="Q1429" s="9"/>
    </row>
    <row r="1430" spans="2:17" x14ac:dyDescent="0.2">
      <c r="B1430" s="7"/>
      <c r="C1430" s="8"/>
      <c r="D1430" s="9"/>
      <c r="E1430" s="10"/>
      <c r="F1430" s="8"/>
      <c r="G1430" s="8"/>
      <c r="H1430" s="9"/>
      <c r="I1430" s="10"/>
      <c r="J1430" s="8"/>
      <c r="K1430" s="10"/>
      <c r="L1430" s="10"/>
      <c r="M1430" s="10"/>
      <c r="N1430" s="10"/>
      <c r="O1430" s="10"/>
      <c r="P1430" s="8"/>
      <c r="Q1430" s="9"/>
    </row>
    <row r="1431" spans="2:17" x14ac:dyDescent="0.2">
      <c r="B1431" s="7"/>
      <c r="C1431" s="8"/>
      <c r="D1431" s="9"/>
      <c r="E1431" s="10"/>
      <c r="F1431" s="8"/>
      <c r="G1431" s="8"/>
      <c r="H1431" s="9"/>
      <c r="I1431" s="10"/>
      <c r="J1431" s="8"/>
      <c r="K1431" s="10"/>
      <c r="L1431" s="10"/>
      <c r="M1431" s="10"/>
      <c r="N1431" s="10"/>
      <c r="O1431" s="10"/>
      <c r="P1431" s="8"/>
      <c r="Q1431" s="9"/>
    </row>
    <row r="1432" spans="2:17" x14ac:dyDescent="0.2">
      <c r="B1432" s="7"/>
      <c r="C1432" s="8"/>
      <c r="D1432" s="9"/>
      <c r="E1432" s="10"/>
      <c r="F1432" s="8"/>
      <c r="G1432" s="8"/>
      <c r="H1432" s="9"/>
      <c r="I1432" s="10"/>
      <c r="J1432" s="8"/>
      <c r="K1432" s="10"/>
      <c r="L1432" s="10"/>
      <c r="M1432" s="10"/>
      <c r="N1432" s="10"/>
      <c r="O1432" s="10"/>
      <c r="P1432" s="8"/>
      <c r="Q1432" s="9"/>
    </row>
    <row r="1433" spans="2:17" x14ac:dyDescent="0.2">
      <c r="B1433" s="7"/>
      <c r="C1433" s="8"/>
      <c r="D1433" s="9"/>
      <c r="E1433" s="10"/>
      <c r="F1433" s="8"/>
      <c r="G1433" s="8"/>
      <c r="H1433" s="9"/>
      <c r="I1433" s="10"/>
      <c r="J1433" s="8"/>
      <c r="K1433" s="10"/>
      <c r="L1433" s="10"/>
      <c r="M1433" s="10"/>
      <c r="N1433" s="10"/>
      <c r="O1433" s="10"/>
      <c r="P1433" s="8"/>
      <c r="Q1433" s="9"/>
    </row>
    <row r="1434" spans="2:17" x14ac:dyDescent="0.2">
      <c r="B1434" s="7"/>
      <c r="C1434" s="8"/>
      <c r="D1434" s="9"/>
      <c r="E1434" s="10"/>
      <c r="F1434" s="8"/>
      <c r="G1434" s="8"/>
      <c r="H1434" s="9"/>
      <c r="I1434" s="10"/>
      <c r="J1434" s="8"/>
      <c r="K1434" s="10"/>
      <c r="L1434" s="10"/>
      <c r="M1434" s="10"/>
      <c r="N1434" s="10"/>
      <c r="O1434" s="10"/>
      <c r="P1434" s="8"/>
      <c r="Q1434" s="9"/>
    </row>
    <row r="1435" spans="2:17" x14ac:dyDescent="0.2">
      <c r="B1435" s="7"/>
      <c r="C1435" s="8"/>
      <c r="D1435" s="9"/>
      <c r="E1435" s="10"/>
      <c r="F1435" s="8"/>
      <c r="G1435" s="8"/>
      <c r="H1435" s="9"/>
      <c r="I1435" s="10"/>
      <c r="J1435" s="8"/>
      <c r="K1435" s="10"/>
      <c r="L1435" s="10"/>
      <c r="M1435" s="10"/>
      <c r="N1435" s="10"/>
      <c r="O1435" s="10"/>
      <c r="P1435" s="8"/>
      <c r="Q1435" s="9"/>
    </row>
    <row r="1436" spans="2:17" x14ac:dyDescent="0.2">
      <c r="B1436" s="7"/>
      <c r="C1436" s="8"/>
      <c r="D1436" s="9"/>
      <c r="E1436" s="10"/>
      <c r="F1436" s="8"/>
      <c r="G1436" s="8"/>
      <c r="H1436" s="9"/>
      <c r="I1436" s="10"/>
      <c r="J1436" s="8"/>
      <c r="K1436" s="10"/>
      <c r="L1436" s="10"/>
      <c r="M1436" s="10"/>
      <c r="N1436" s="10"/>
      <c r="O1436" s="10"/>
      <c r="P1436" s="8"/>
      <c r="Q1436" s="9"/>
    </row>
    <row r="1437" spans="2:17" x14ac:dyDescent="0.2">
      <c r="B1437" s="7"/>
      <c r="C1437" s="8"/>
      <c r="D1437" s="9"/>
      <c r="E1437" s="10"/>
      <c r="F1437" s="8"/>
      <c r="G1437" s="8"/>
      <c r="H1437" s="9"/>
      <c r="I1437" s="10"/>
      <c r="J1437" s="8"/>
      <c r="K1437" s="10"/>
      <c r="L1437" s="10"/>
      <c r="M1437" s="10"/>
      <c r="N1437" s="10"/>
      <c r="O1437" s="10"/>
      <c r="P1437" s="8"/>
      <c r="Q1437" s="9"/>
    </row>
    <row r="1438" spans="2:17" x14ac:dyDescent="0.2">
      <c r="B1438" s="7"/>
      <c r="C1438" s="8"/>
      <c r="D1438" s="9"/>
      <c r="E1438" s="10"/>
      <c r="F1438" s="8"/>
      <c r="G1438" s="8"/>
      <c r="H1438" s="9"/>
      <c r="I1438" s="10"/>
      <c r="J1438" s="8"/>
      <c r="K1438" s="10"/>
      <c r="L1438" s="10"/>
      <c r="M1438" s="10"/>
      <c r="N1438" s="10"/>
      <c r="O1438" s="10"/>
      <c r="P1438" s="8"/>
      <c r="Q1438" s="9"/>
    </row>
    <row r="1439" spans="2:17" x14ac:dyDescent="0.2">
      <c r="B1439" s="7"/>
      <c r="C1439" s="8"/>
      <c r="D1439" s="9"/>
      <c r="E1439" s="10"/>
      <c r="F1439" s="8"/>
      <c r="G1439" s="8"/>
      <c r="H1439" s="9"/>
      <c r="I1439" s="10"/>
      <c r="J1439" s="8"/>
      <c r="K1439" s="10"/>
      <c r="L1439" s="10"/>
      <c r="M1439" s="10"/>
      <c r="N1439" s="10"/>
      <c r="O1439" s="10"/>
      <c r="P1439" s="8"/>
      <c r="Q1439" s="9"/>
    </row>
    <row r="1440" spans="2:17" x14ac:dyDescent="0.2">
      <c r="B1440" s="7"/>
      <c r="C1440" s="8"/>
      <c r="D1440" s="9"/>
      <c r="E1440" s="10"/>
      <c r="F1440" s="8"/>
      <c r="G1440" s="8"/>
      <c r="H1440" s="9"/>
      <c r="I1440" s="10"/>
      <c r="J1440" s="8"/>
      <c r="K1440" s="10"/>
      <c r="L1440" s="10"/>
      <c r="M1440" s="10"/>
      <c r="N1440" s="10"/>
      <c r="O1440" s="10"/>
      <c r="P1440" s="8"/>
      <c r="Q1440" s="9"/>
    </row>
    <row r="1441" spans="2:17" x14ac:dyDescent="0.2">
      <c r="B1441" s="7"/>
      <c r="C1441" s="8"/>
      <c r="D1441" s="9"/>
      <c r="E1441" s="10"/>
      <c r="F1441" s="8"/>
      <c r="G1441" s="8"/>
      <c r="H1441" s="9"/>
      <c r="I1441" s="10"/>
      <c r="J1441" s="8"/>
      <c r="K1441" s="10"/>
      <c r="L1441" s="10"/>
      <c r="M1441" s="10"/>
      <c r="N1441" s="10"/>
      <c r="O1441" s="10"/>
      <c r="P1441" s="8"/>
      <c r="Q1441" s="9"/>
    </row>
    <row r="1442" spans="2:17" x14ac:dyDescent="0.2">
      <c r="B1442" s="7"/>
      <c r="C1442" s="8"/>
      <c r="D1442" s="9"/>
      <c r="E1442" s="10"/>
      <c r="F1442" s="8"/>
      <c r="G1442" s="8"/>
      <c r="H1442" s="9"/>
      <c r="I1442" s="10"/>
      <c r="J1442" s="8"/>
      <c r="K1442" s="10"/>
      <c r="L1442" s="10"/>
      <c r="M1442" s="10"/>
      <c r="N1442" s="10"/>
      <c r="O1442" s="10"/>
      <c r="P1442" s="8"/>
      <c r="Q1442" s="9"/>
    </row>
    <row r="1443" spans="2:17" x14ac:dyDescent="0.2">
      <c r="B1443" s="7"/>
      <c r="C1443" s="8"/>
      <c r="D1443" s="9"/>
      <c r="E1443" s="10"/>
      <c r="F1443" s="8"/>
      <c r="G1443" s="8"/>
      <c r="H1443" s="9"/>
      <c r="I1443" s="10"/>
      <c r="J1443" s="8"/>
      <c r="K1443" s="10"/>
      <c r="L1443" s="10"/>
      <c r="M1443" s="10"/>
      <c r="N1443" s="10"/>
      <c r="O1443" s="10"/>
      <c r="P1443" s="8"/>
      <c r="Q1443" s="9"/>
    </row>
    <row r="1444" spans="2:17" x14ac:dyDescent="0.2">
      <c r="B1444" s="7"/>
      <c r="C1444" s="8"/>
      <c r="D1444" s="9"/>
      <c r="E1444" s="10"/>
      <c r="F1444" s="8"/>
      <c r="G1444" s="8"/>
      <c r="H1444" s="9"/>
      <c r="I1444" s="10"/>
      <c r="J1444" s="8"/>
      <c r="K1444" s="10"/>
      <c r="L1444" s="10"/>
      <c r="M1444" s="10"/>
      <c r="N1444" s="10"/>
      <c r="O1444" s="10"/>
      <c r="P1444" s="8"/>
      <c r="Q1444" s="9"/>
    </row>
    <row r="1445" spans="2:17" x14ac:dyDescent="0.2">
      <c r="B1445" s="7"/>
      <c r="C1445" s="8"/>
      <c r="D1445" s="9"/>
      <c r="E1445" s="10"/>
      <c r="F1445" s="8"/>
      <c r="G1445" s="8"/>
      <c r="H1445" s="9"/>
      <c r="I1445" s="10"/>
      <c r="J1445" s="8"/>
      <c r="K1445" s="10"/>
      <c r="L1445" s="10"/>
      <c r="M1445" s="10"/>
      <c r="N1445" s="10"/>
      <c r="O1445" s="10"/>
      <c r="P1445" s="8"/>
      <c r="Q1445" s="9"/>
    </row>
    <row r="1446" spans="2:17" x14ac:dyDescent="0.2">
      <c r="B1446" s="7"/>
      <c r="C1446" s="8"/>
      <c r="D1446" s="9"/>
      <c r="E1446" s="10"/>
      <c r="F1446" s="8"/>
      <c r="G1446" s="8"/>
      <c r="H1446" s="9"/>
      <c r="I1446" s="10"/>
      <c r="J1446" s="8"/>
      <c r="K1446" s="10"/>
      <c r="L1446" s="10"/>
      <c r="M1446" s="10"/>
      <c r="N1446" s="10"/>
      <c r="O1446" s="10"/>
      <c r="P1446" s="8"/>
      <c r="Q1446" s="9"/>
    </row>
    <row r="1447" spans="2:17" x14ac:dyDescent="0.2">
      <c r="B1447" s="7"/>
      <c r="C1447" s="8"/>
      <c r="D1447" s="9"/>
      <c r="E1447" s="10"/>
      <c r="F1447" s="8"/>
      <c r="G1447" s="8"/>
      <c r="H1447" s="9"/>
      <c r="I1447" s="10"/>
      <c r="J1447" s="8"/>
      <c r="K1447" s="10"/>
      <c r="L1447" s="10"/>
      <c r="M1447" s="10"/>
      <c r="N1447" s="10"/>
      <c r="O1447" s="10"/>
      <c r="P1447" s="8"/>
      <c r="Q1447" s="9"/>
    </row>
    <row r="1448" spans="2:17" x14ac:dyDescent="0.2">
      <c r="B1448" s="7"/>
      <c r="C1448" s="8"/>
      <c r="D1448" s="9"/>
      <c r="E1448" s="10"/>
      <c r="F1448" s="8"/>
      <c r="G1448" s="8"/>
      <c r="H1448" s="9"/>
      <c r="I1448" s="10"/>
      <c r="J1448" s="8"/>
      <c r="K1448" s="10"/>
      <c r="L1448" s="10"/>
      <c r="M1448" s="10"/>
      <c r="N1448" s="10"/>
      <c r="O1448" s="10"/>
      <c r="P1448" s="8"/>
      <c r="Q1448" s="9"/>
    </row>
    <row r="1449" spans="2:17" x14ac:dyDescent="0.2">
      <c r="B1449" s="7"/>
      <c r="C1449" s="8"/>
      <c r="D1449" s="9"/>
      <c r="E1449" s="10"/>
      <c r="F1449" s="8"/>
      <c r="G1449" s="8"/>
      <c r="H1449" s="9"/>
      <c r="I1449" s="10"/>
      <c r="J1449" s="8"/>
      <c r="K1449" s="10"/>
      <c r="L1449" s="10"/>
      <c r="M1449" s="10"/>
      <c r="N1449" s="10"/>
      <c r="O1449" s="10"/>
      <c r="P1449" s="8"/>
      <c r="Q1449" s="9"/>
    </row>
    <row r="1450" spans="2:17" x14ac:dyDescent="0.2">
      <c r="B1450" s="7"/>
      <c r="C1450" s="8"/>
      <c r="D1450" s="9"/>
      <c r="E1450" s="10"/>
      <c r="F1450" s="8"/>
      <c r="G1450" s="8"/>
      <c r="H1450" s="9"/>
      <c r="I1450" s="10"/>
      <c r="J1450" s="8"/>
      <c r="K1450" s="10"/>
      <c r="L1450" s="10"/>
      <c r="M1450" s="10"/>
      <c r="N1450" s="10"/>
      <c r="O1450" s="10"/>
      <c r="P1450" s="8"/>
      <c r="Q1450" s="9"/>
    </row>
    <row r="1451" spans="2:17" x14ac:dyDescent="0.2">
      <c r="B1451" s="7"/>
      <c r="C1451" s="8"/>
      <c r="D1451" s="9"/>
      <c r="E1451" s="10"/>
      <c r="F1451" s="8"/>
      <c r="G1451" s="8"/>
      <c r="H1451" s="9"/>
      <c r="I1451" s="10"/>
      <c r="J1451" s="8"/>
      <c r="K1451" s="10"/>
      <c r="L1451" s="10"/>
      <c r="M1451" s="10"/>
      <c r="N1451" s="10"/>
      <c r="O1451" s="10"/>
      <c r="P1451" s="8"/>
      <c r="Q1451" s="9"/>
    </row>
    <row r="1452" spans="2:17" x14ac:dyDescent="0.2">
      <c r="B1452" s="7"/>
      <c r="C1452" s="8"/>
      <c r="D1452" s="9"/>
      <c r="E1452" s="10"/>
      <c r="F1452" s="8"/>
      <c r="G1452" s="8"/>
      <c r="H1452" s="9"/>
      <c r="I1452" s="10"/>
      <c r="J1452" s="8"/>
      <c r="K1452" s="10"/>
      <c r="L1452" s="10"/>
      <c r="M1452" s="10"/>
      <c r="N1452" s="10"/>
      <c r="O1452" s="10"/>
      <c r="P1452" s="8"/>
      <c r="Q1452" s="9"/>
    </row>
    <row r="1453" spans="2:17" x14ac:dyDescent="0.2">
      <c r="B1453" s="7"/>
      <c r="C1453" s="8"/>
      <c r="D1453" s="9"/>
      <c r="E1453" s="10"/>
      <c r="F1453" s="8"/>
      <c r="G1453" s="8"/>
      <c r="H1453" s="9"/>
      <c r="I1453" s="10"/>
      <c r="J1453" s="8"/>
      <c r="K1453" s="10"/>
      <c r="L1453" s="10"/>
      <c r="M1453" s="10"/>
      <c r="N1453" s="10"/>
      <c r="O1453" s="10"/>
      <c r="P1453" s="8"/>
      <c r="Q1453" s="9"/>
    </row>
    <row r="1454" spans="2:17" x14ac:dyDescent="0.2">
      <c r="B1454" s="7"/>
      <c r="C1454" s="8"/>
      <c r="D1454" s="9"/>
      <c r="E1454" s="10"/>
      <c r="F1454" s="8"/>
      <c r="G1454" s="8"/>
      <c r="H1454" s="9"/>
      <c r="I1454" s="10"/>
      <c r="J1454" s="8"/>
      <c r="K1454" s="10"/>
      <c r="L1454" s="10"/>
      <c r="M1454" s="10"/>
      <c r="N1454" s="10"/>
      <c r="O1454" s="10"/>
      <c r="P1454" s="8"/>
      <c r="Q1454" s="9"/>
    </row>
    <row r="1455" spans="2:17" x14ac:dyDescent="0.2">
      <c r="B1455" s="7"/>
      <c r="C1455" s="8"/>
      <c r="D1455" s="9"/>
      <c r="E1455" s="10"/>
      <c r="F1455" s="8"/>
      <c r="G1455" s="8"/>
      <c r="H1455" s="9"/>
      <c r="I1455" s="10"/>
      <c r="J1455" s="8"/>
      <c r="K1455" s="10"/>
      <c r="L1455" s="10"/>
      <c r="M1455" s="10"/>
      <c r="N1455" s="10"/>
      <c r="O1455" s="10"/>
      <c r="P1455" s="8"/>
      <c r="Q1455" s="9"/>
    </row>
    <row r="1456" spans="2:17" x14ac:dyDescent="0.2">
      <c r="B1456" s="7"/>
      <c r="C1456" s="8"/>
      <c r="D1456" s="9"/>
      <c r="E1456" s="10"/>
      <c r="F1456" s="8"/>
      <c r="G1456" s="8"/>
      <c r="H1456" s="9"/>
      <c r="I1456" s="10"/>
      <c r="J1456" s="8"/>
      <c r="K1456" s="10"/>
      <c r="L1456" s="10"/>
      <c r="M1456" s="10"/>
      <c r="N1456" s="10"/>
      <c r="O1456" s="10"/>
      <c r="P1456" s="8"/>
      <c r="Q1456" s="9"/>
    </row>
    <row r="1457" spans="2:17" x14ac:dyDescent="0.2">
      <c r="B1457" s="7"/>
      <c r="C1457" s="8"/>
      <c r="D1457" s="9"/>
      <c r="E1457" s="10"/>
      <c r="F1457" s="8"/>
      <c r="G1457" s="8"/>
      <c r="H1457" s="9"/>
      <c r="I1457" s="10"/>
      <c r="J1457" s="8"/>
      <c r="K1457" s="10"/>
      <c r="L1457" s="10"/>
      <c r="M1457" s="10"/>
      <c r="N1457" s="10"/>
      <c r="O1457" s="10"/>
      <c r="P1457" s="8"/>
      <c r="Q1457" s="9"/>
    </row>
    <row r="1458" spans="2:17" x14ac:dyDescent="0.2">
      <c r="B1458" s="7"/>
      <c r="C1458" s="8"/>
      <c r="D1458" s="9"/>
      <c r="E1458" s="10"/>
      <c r="F1458" s="8"/>
      <c r="G1458" s="8"/>
      <c r="H1458" s="9"/>
      <c r="I1458" s="10"/>
      <c r="J1458" s="8"/>
      <c r="K1458" s="10"/>
      <c r="L1458" s="10"/>
      <c r="M1458" s="10"/>
      <c r="N1458" s="10"/>
      <c r="O1458" s="10"/>
      <c r="P1458" s="8"/>
      <c r="Q1458" s="9"/>
    </row>
    <row r="1459" spans="2:17" x14ac:dyDescent="0.2">
      <c r="B1459" s="7"/>
      <c r="C1459" s="8"/>
      <c r="D1459" s="9"/>
      <c r="E1459" s="10"/>
      <c r="F1459" s="8"/>
      <c r="G1459" s="8"/>
      <c r="H1459" s="9"/>
      <c r="I1459" s="10"/>
      <c r="J1459" s="8"/>
      <c r="K1459" s="10"/>
      <c r="L1459" s="10"/>
      <c r="M1459" s="10"/>
      <c r="N1459" s="10"/>
      <c r="O1459" s="10"/>
      <c r="P1459" s="8"/>
      <c r="Q1459" s="9"/>
    </row>
    <row r="1460" spans="2:17" x14ac:dyDescent="0.2">
      <c r="B1460" s="7"/>
      <c r="C1460" s="8"/>
      <c r="D1460" s="9"/>
      <c r="E1460" s="10"/>
      <c r="F1460" s="8"/>
      <c r="G1460" s="8"/>
      <c r="H1460" s="9"/>
      <c r="I1460" s="10"/>
      <c r="J1460" s="8"/>
      <c r="K1460" s="10"/>
      <c r="L1460" s="10"/>
      <c r="M1460" s="10"/>
      <c r="N1460" s="10"/>
      <c r="O1460" s="10"/>
      <c r="P1460" s="8"/>
      <c r="Q1460" s="9"/>
    </row>
    <row r="1461" spans="2:17" x14ac:dyDescent="0.2">
      <c r="B1461" s="7"/>
      <c r="C1461" s="8"/>
      <c r="D1461" s="9"/>
      <c r="E1461" s="10"/>
      <c r="F1461" s="8"/>
      <c r="G1461" s="8"/>
      <c r="H1461" s="9"/>
      <c r="I1461" s="10"/>
      <c r="J1461" s="8"/>
      <c r="K1461" s="10"/>
      <c r="L1461" s="10"/>
      <c r="M1461" s="10"/>
      <c r="N1461" s="10"/>
      <c r="O1461" s="10"/>
      <c r="P1461" s="8"/>
      <c r="Q1461" s="9"/>
    </row>
    <row r="1462" spans="2:17" x14ac:dyDescent="0.2">
      <c r="B1462" s="7"/>
      <c r="C1462" s="8"/>
      <c r="D1462" s="9"/>
      <c r="E1462" s="10"/>
      <c r="F1462" s="8"/>
      <c r="G1462" s="8"/>
      <c r="H1462" s="9"/>
      <c r="I1462" s="10"/>
      <c r="J1462" s="8"/>
      <c r="K1462" s="10"/>
      <c r="L1462" s="10"/>
      <c r="M1462" s="10"/>
      <c r="N1462" s="10"/>
      <c r="O1462" s="10"/>
      <c r="P1462" s="8"/>
      <c r="Q1462" s="9"/>
    </row>
    <row r="1463" spans="2:17" x14ac:dyDescent="0.2">
      <c r="B1463" s="7"/>
      <c r="C1463" s="8"/>
      <c r="D1463" s="9"/>
      <c r="E1463" s="10"/>
      <c r="F1463" s="8"/>
      <c r="G1463" s="8"/>
      <c r="H1463" s="9"/>
      <c r="I1463" s="10"/>
      <c r="J1463" s="8"/>
      <c r="K1463" s="10"/>
      <c r="L1463" s="10"/>
      <c r="M1463" s="10"/>
      <c r="N1463" s="10"/>
      <c r="O1463" s="10"/>
      <c r="P1463" s="8"/>
      <c r="Q1463" s="9"/>
    </row>
    <row r="1464" spans="2:17" x14ac:dyDescent="0.2">
      <c r="B1464" s="7"/>
      <c r="C1464" s="8"/>
      <c r="D1464" s="9"/>
      <c r="E1464" s="10"/>
      <c r="F1464" s="8"/>
      <c r="G1464" s="8"/>
      <c r="H1464" s="9"/>
      <c r="I1464" s="10"/>
      <c r="J1464" s="8"/>
      <c r="K1464" s="10"/>
      <c r="L1464" s="10"/>
      <c r="M1464" s="10"/>
      <c r="N1464" s="10"/>
      <c r="O1464" s="10"/>
      <c r="P1464" s="8"/>
      <c r="Q1464" s="9"/>
    </row>
    <row r="1465" spans="2:17" x14ac:dyDescent="0.2">
      <c r="B1465" s="7"/>
      <c r="C1465" s="8"/>
      <c r="D1465" s="9"/>
      <c r="E1465" s="10"/>
      <c r="F1465" s="8"/>
      <c r="G1465" s="8"/>
      <c r="H1465" s="9"/>
      <c r="I1465" s="10"/>
      <c r="J1465" s="8"/>
      <c r="K1465" s="10"/>
      <c r="L1465" s="10"/>
      <c r="M1465" s="10"/>
      <c r="N1465" s="10"/>
      <c r="O1465" s="10"/>
      <c r="P1465" s="8"/>
      <c r="Q1465" s="9"/>
    </row>
    <row r="1466" spans="2:17" x14ac:dyDescent="0.2">
      <c r="B1466" s="7"/>
      <c r="C1466" s="8"/>
      <c r="D1466" s="9"/>
      <c r="E1466" s="10"/>
      <c r="F1466" s="8"/>
      <c r="G1466" s="8"/>
      <c r="H1466" s="9"/>
      <c r="I1466" s="10"/>
      <c r="J1466" s="8"/>
      <c r="K1466" s="10"/>
      <c r="L1466" s="10"/>
      <c r="M1466" s="10"/>
      <c r="N1466" s="10"/>
      <c r="O1466" s="10"/>
      <c r="P1466" s="8"/>
      <c r="Q1466" s="9"/>
    </row>
    <row r="1467" spans="2:17" x14ac:dyDescent="0.2">
      <c r="B1467" s="7"/>
      <c r="C1467" s="8"/>
      <c r="D1467" s="9"/>
      <c r="E1467" s="10"/>
      <c r="F1467" s="8"/>
      <c r="G1467" s="8"/>
      <c r="H1467" s="9"/>
      <c r="I1467" s="10"/>
      <c r="J1467" s="8"/>
      <c r="K1467" s="10"/>
      <c r="L1467" s="10"/>
      <c r="M1467" s="10"/>
      <c r="N1467" s="10"/>
      <c r="O1467" s="10"/>
      <c r="P1467" s="8"/>
      <c r="Q1467" s="9"/>
    </row>
    <row r="1468" spans="2:17" x14ac:dyDescent="0.2">
      <c r="B1468" s="7"/>
      <c r="C1468" s="8"/>
      <c r="D1468" s="9"/>
      <c r="E1468" s="10"/>
      <c r="F1468" s="8"/>
      <c r="G1468" s="8"/>
      <c r="H1468" s="9"/>
      <c r="I1468" s="10"/>
      <c r="J1468" s="8"/>
      <c r="K1468" s="10"/>
      <c r="L1468" s="10"/>
      <c r="M1468" s="10"/>
      <c r="N1468" s="10"/>
      <c r="O1468" s="10"/>
      <c r="P1468" s="8"/>
      <c r="Q1468" s="9"/>
    </row>
    <row r="1469" spans="2:17" x14ac:dyDescent="0.2">
      <c r="B1469" s="7"/>
      <c r="C1469" s="8"/>
      <c r="D1469" s="9"/>
      <c r="E1469" s="10"/>
      <c r="F1469" s="8"/>
      <c r="G1469" s="8"/>
      <c r="H1469" s="9"/>
      <c r="I1469" s="10"/>
      <c r="J1469" s="8"/>
      <c r="K1469" s="10"/>
      <c r="L1469" s="10"/>
      <c r="M1469" s="10"/>
      <c r="N1469" s="10"/>
      <c r="O1469" s="10"/>
      <c r="P1469" s="8"/>
      <c r="Q1469" s="9"/>
    </row>
    <row r="1470" spans="2:17" x14ac:dyDescent="0.2">
      <c r="B1470" s="7"/>
      <c r="C1470" s="8"/>
      <c r="D1470" s="9"/>
      <c r="E1470" s="10"/>
      <c r="F1470" s="8"/>
      <c r="G1470" s="8"/>
      <c r="H1470" s="9"/>
      <c r="I1470" s="10"/>
      <c r="J1470" s="8"/>
      <c r="K1470" s="10"/>
      <c r="L1470" s="10"/>
      <c r="M1470" s="10"/>
      <c r="N1470" s="10"/>
      <c r="O1470" s="10"/>
      <c r="P1470" s="8"/>
      <c r="Q1470" s="9"/>
    </row>
    <row r="1471" spans="2:17" x14ac:dyDescent="0.2">
      <c r="B1471" s="7"/>
      <c r="C1471" s="8"/>
      <c r="D1471" s="9"/>
      <c r="E1471" s="10"/>
      <c r="F1471" s="8"/>
      <c r="G1471" s="8"/>
      <c r="H1471" s="9"/>
      <c r="I1471" s="10"/>
      <c r="J1471" s="8"/>
      <c r="K1471" s="10"/>
      <c r="L1471" s="10"/>
      <c r="M1471" s="10"/>
      <c r="N1471" s="10"/>
      <c r="O1471" s="10"/>
      <c r="P1471" s="8"/>
      <c r="Q1471" s="9"/>
    </row>
    <row r="1472" spans="2:17" x14ac:dyDescent="0.2">
      <c r="B1472" s="7"/>
      <c r="C1472" s="8"/>
      <c r="D1472" s="9"/>
      <c r="E1472" s="10"/>
      <c r="F1472" s="8"/>
      <c r="G1472" s="8"/>
      <c r="H1472" s="9"/>
      <c r="I1472" s="10"/>
      <c r="J1472" s="8"/>
      <c r="K1472" s="10"/>
      <c r="L1472" s="10"/>
      <c r="M1472" s="10"/>
      <c r="N1472" s="10"/>
      <c r="O1472" s="10"/>
      <c r="P1472" s="8"/>
      <c r="Q1472" s="9"/>
    </row>
    <row r="1473" spans="2:17" x14ac:dyDescent="0.2">
      <c r="B1473" s="7"/>
      <c r="C1473" s="8"/>
      <c r="D1473" s="9"/>
      <c r="E1473" s="10"/>
      <c r="F1473" s="8"/>
      <c r="G1473" s="8"/>
      <c r="H1473" s="9"/>
      <c r="I1473" s="10"/>
      <c r="J1473" s="8"/>
      <c r="K1473" s="10"/>
      <c r="L1473" s="10"/>
      <c r="M1473" s="10"/>
      <c r="N1473" s="10"/>
      <c r="O1473" s="10"/>
      <c r="P1473" s="8"/>
      <c r="Q1473" s="9"/>
    </row>
    <row r="1474" spans="2:17" x14ac:dyDescent="0.2">
      <c r="B1474" s="7"/>
      <c r="C1474" s="8"/>
      <c r="D1474" s="9"/>
      <c r="E1474" s="10"/>
      <c r="F1474" s="8"/>
      <c r="G1474" s="8"/>
      <c r="H1474" s="9"/>
      <c r="I1474" s="10"/>
      <c r="J1474" s="8"/>
      <c r="K1474" s="10"/>
      <c r="L1474" s="10"/>
      <c r="M1474" s="10"/>
      <c r="N1474" s="10"/>
      <c r="O1474" s="10"/>
      <c r="P1474" s="8"/>
      <c r="Q1474" s="9"/>
    </row>
    <row r="1475" spans="2:17" x14ac:dyDescent="0.2">
      <c r="B1475" s="7"/>
      <c r="C1475" s="8"/>
      <c r="D1475" s="9"/>
      <c r="E1475" s="10"/>
      <c r="F1475" s="8"/>
      <c r="G1475" s="8"/>
      <c r="H1475" s="9"/>
      <c r="I1475" s="10"/>
      <c r="J1475" s="8"/>
      <c r="K1475" s="10"/>
      <c r="L1475" s="10"/>
      <c r="M1475" s="10"/>
      <c r="N1475" s="10"/>
      <c r="O1475" s="10"/>
      <c r="P1475" s="8"/>
      <c r="Q1475" s="9"/>
    </row>
    <row r="1476" spans="2:17" x14ac:dyDescent="0.2">
      <c r="B1476" s="7"/>
      <c r="C1476" s="8"/>
      <c r="D1476" s="9"/>
      <c r="E1476" s="10"/>
      <c r="F1476" s="8"/>
      <c r="G1476" s="8"/>
      <c r="H1476" s="9"/>
      <c r="I1476" s="10"/>
      <c r="J1476" s="8"/>
      <c r="K1476" s="10"/>
      <c r="L1476" s="10"/>
      <c r="M1476" s="10"/>
      <c r="N1476" s="10"/>
      <c r="O1476" s="10"/>
      <c r="P1476" s="8"/>
      <c r="Q1476" s="9"/>
    </row>
    <row r="1477" spans="2:17" x14ac:dyDescent="0.2">
      <c r="B1477" s="7"/>
      <c r="C1477" s="8"/>
      <c r="D1477" s="9"/>
      <c r="E1477" s="10"/>
      <c r="F1477" s="8"/>
      <c r="G1477" s="8"/>
      <c r="H1477" s="9"/>
      <c r="I1477" s="10"/>
      <c r="J1477" s="8"/>
      <c r="K1477" s="10"/>
      <c r="L1477" s="10"/>
      <c r="M1477" s="10"/>
      <c r="N1477" s="10"/>
      <c r="O1477" s="10"/>
      <c r="P1477" s="8"/>
      <c r="Q1477" s="9"/>
    </row>
    <row r="1478" spans="2:17" x14ac:dyDescent="0.2">
      <c r="B1478" s="7"/>
      <c r="C1478" s="8"/>
      <c r="D1478" s="9"/>
      <c r="E1478" s="10"/>
      <c r="F1478" s="8"/>
      <c r="G1478" s="8"/>
      <c r="H1478" s="9"/>
      <c r="I1478" s="10"/>
      <c r="J1478" s="8"/>
      <c r="K1478" s="10"/>
      <c r="L1478" s="10"/>
      <c r="M1478" s="10"/>
      <c r="N1478" s="10"/>
      <c r="O1478" s="10"/>
      <c r="P1478" s="8"/>
      <c r="Q1478" s="9"/>
    </row>
    <row r="1479" spans="2:17" x14ac:dyDescent="0.2">
      <c r="B1479" s="7"/>
      <c r="C1479" s="8"/>
      <c r="D1479" s="9"/>
      <c r="E1479" s="10"/>
      <c r="F1479" s="8"/>
      <c r="G1479" s="8"/>
      <c r="H1479" s="9"/>
      <c r="I1479" s="10"/>
      <c r="J1479" s="8"/>
      <c r="K1479" s="10"/>
      <c r="L1479" s="10"/>
      <c r="M1479" s="10"/>
      <c r="N1479" s="10"/>
      <c r="O1479" s="10"/>
      <c r="P1479" s="8"/>
      <c r="Q1479" s="9"/>
    </row>
    <row r="1480" spans="2:17" x14ac:dyDescent="0.2">
      <c r="B1480" s="7"/>
      <c r="C1480" s="8"/>
      <c r="D1480" s="9"/>
      <c r="E1480" s="10"/>
      <c r="F1480" s="8"/>
      <c r="G1480" s="8"/>
      <c r="H1480" s="9"/>
      <c r="I1480" s="10"/>
      <c r="J1480" s="8"/>
      <c r="K1480" s="10"/>
      <c r="L1480" s="10"/>
      <c r="M1480" s="10"/>
      <c r="N1480" s="10"/>
      <c r="O1480" s="10"/>
      <c r="P1480" s="8"/>
      <c r="Q1480" s="9"/>
    </row>
    <row r="1481" spans="2:17" x14ac:dyDescent="0.2">
      <c r="B1481" s="7"/>
      <c r="C1481" s="8"/>
      <c r="D1481" s="9"/>
      <c r="E1481" s="10"/>
      <c r="F1481" s="8"/>
      <c r="G1481" s="8"/>
      <c r="H1481" s="9"/>
      <c r="I1481" s="10"/>
      <c r="J1481" s="8"/>
      <c r="K1481" s="10"/>
      <c r="L1481" s="10"/>
      <c r="M1481" s="10"/>
      <c r="N1481" s="10"/>
      <c r="O1481" s="10"/>
      <c r="P1481" s="8"/>
      <c r="Q1481" s="9"/>
    </row>
    <row r="1482" spans="2:17" x14ac:dyDescent="0.2">
      <c r="B1482" s="7"/>
      <c r="C1482" s="8"/>
      <c r="D1482" s="9"/>
      <c r="E1482" s="10"/>
      <c r="F1482" s="8"/>
      <c r="G1482" s="8"/>
      <c r="H1482" s="9"/>
      <c r="I1482" s="10"/>
      <c r="J1482" s="8"/>
      <c r="K1482" s="10"/>
      <c r="L1482" s="10"/>
      <c r="M1482" s="10"/>
      <c r="N1482" s="10"/>
      <c r="O1482" s="10"/>
      <c r="P1482" s="8"/>
      <c r="Q1482" s="9"/>
    </row>
    <row r="1483" spans="2:17" x14ac:dyDescent="0.2">
      <c r="B1483" s="7"/>
      <c r="C1483" s="8"/>
      <c r="D1483" s="9"/>
      <c r="E1483" s="10"/>
      <c r="F1483" s="8"/>
      <c r="G1483" s="8"/>
      <c r="H1483" s="9"/>
      <c r="I1483" s="10"/>
      <c r="J1483" s="8"/>
      <c r="K1483" s="10"/>
      <c r="L1483" s="10"/>
      <c r="M1483" s="10"/>
      <c r="N1483" s="10"/>
      <c r="O1483" s="10"/>
      <c r="P1483" s="8"/>
      <c r="Q1483" s="9"/>
    </row>
    <row r="1484" spans="2:17" x14ac:dyDescent="0.2">
      <c r="B1484" s="7"/>
      <c r="C1484" s="8"/>
      <c r="D1484" s="9"/>
      <c r="E1484" s="10"/>
      <c r="F1484" s="8"/>
      <c r="G1484" s="8"/>
      <c r="H1484" s="9"/>
      <c r="I1484" s="10"/>
      <c r="J1484" s="8"/>
      <c r="K1484" s="10"/>
      <c r="L1484" s="10"/>
      <c r="M1484" s="10"/>
      <c r="N1484" s="10"/>
      <c r="O1484" s="10"/>
      <c r="P1484" s="8"/>
      <c r="Q1484" s="9"/>
    </row>
    <row r="1485" spans="2:17" x14ac:dyDescent="0.2">
      <c r="B1485" s="7"/>
      <c r="C1485" s="8"/>
      <c r="D1485" s="9"/>
      <c r="E1485" s="10"/>
      <c r="F1485" s="8"/>
      <c r="G1485" s="8"/>
      <c r="H1485" s="9"/>
      <c r="I1485" s="10"/>
      <c r="J1485" s="8"/>
      <c r="K1485" s="10"/>
      <c r="L1485" s="10"/>
      <c r="M1485" s="10"/>
      <c r="N1485" s="10"/>
      <c r="O1485" s="10"/>
      <c r="P1485" s="8"/>
      <c r="Q1485" s="9"/>
    </row>
    <row r="1486" spans="2:17" x14ac:dyDescent="0.2">
      <c r="B1486" s="7"/>
      <c r="C1486" s="8"/>
      <c r="D1486" s="9"/>
      <c r="E1486" s="10"/>
      <c r="F1486" s="8"/>
      <c r="G1486" s="8"/>
      <c r="H1486" s="9"/>
      <c r="I1486" s="10"/>
      <c r="J1486" s="8"/>
      <c r="K1486" s="10"/>
      <c r="L1486" s="10"/>
      <c r="M1486" s="10"/>
      <c r="N1486" s="10"/>
      <c r="O1486" s="10"/>
      <c r="P1486" s="8"/>
      <c r="Q1486" s="9"/>
    </row>
    <row r="1487" spans="2:17" x14ac:dyDescent="0.2">
      <c r="B1487" s="7"/>
      <c r="C1487" s="8"/>
      <c r="D1487" s="9"/>
      <c r="E1487" s="10"/>
      <c r="F1487" s="8"/>
      <c r="G1487" s="8"/>
      <c r="H1487" s="9"/>
      <c r="I1487" s="10"/>
      <c r="J1487" s="8"/>
      <c r="K1487" s="10"/>
      <c r="L1487" s="10"/>
      <c r="M1487" s="10"/>
      <c r="N1487" s="10"/>
      <c r="O1487" s="10"/>
      <c r="P1487" s="8"/>
      <c r="Q1487" s="9"/>
    </row>
    <row r="1488" spans="2:17" x14ac:dyDescent="0.2">
      <c r="B1488" s="7"/>
      <c r="C1488" s="8"/>
      <c r="D1488" s="9"/>
      <c r="E1488" s="10"/>
      <c r="F1488" s="8"/>
      <c r="G1488" s="8"/>
      <c r="H1488" s="9"/>
      <c r="I1488" s="10"/>
      <c r="J1488" s="8"/>
      <c r="K1488" s="10"/>
      <c r="L1488" s="10"/>
      <c r="M1488" s="10"/>
      <c r="N1488" s="10"/>
      <c r="O1488" s="10"/>
      <c r="P1488" s="8"/>
      <c r="Q1488" s="9"/>
    </row>
    <row r="1489" spans="2:17" x14ac:dyDescent="0.2">
      <c r="B1489" s="7"/>
      <c r="C1489" s="8"/>
      <c r="D1489" s="9"/>
      <c r="E1489" s="10"/>
      <c r="F1489" s="8"/>
      <c r="G1489" s="8"/>
      <c r="H1489" s="9"/>
      <c r="I1489" s="10"/>
      <c r="J1489" s="8"/>
      <c r="K1489" s="10"/>
      <c r="L1489" s="10"/>
      <c r="M1489" s="10"/>
      <c r="N1489" s="10"/>
      <c r="O1489" s="10"/>
      <c r="P1489" s="8"/>
      <c r="Q1489" s="9"/>
    </row>
    <row r="1490" spans="2:17" x14ac:dyDescent="0.2">
      <c r="B1490" s="7"/>
      <c r="C1490" s="8"/>
      <c r="D1490" s="9"/>
      <c r="E1490" s="10"/>
      <c r="F1490" s="8"/>
      <c r="G1490" s="8"/>
      <c r="H1490" s="9"/>
      <c r="I1490" s="10"/>
      <c r="J1490" s="8"/>
      <c r="K1490" s="10"/>
      <c r="L1490" s="10"/>
      <c r="M1490" s="10"/>
      <c r="N1490" s="10"/>
      <c r="O1490" s="10"/>
      <c r="P1490" s="8"/>
      <c r="Q1490" s="9"/>
    </row>
    <row r="1491" spans="2:17" x14ac:dyDescent="0.2">
      <c r="B1491" s="7"/>
      <c r="C1491" s="8"/>
      <c r="D1491" s="9"/>
      <c r="E1491" s="10"/>
      <c r="F1491" s="8"/>
      <c r="G1491" s="8"/>
      <c r="H1491" s="9"/>
      <c r="I1491" s="10"/>
      <c r="J1491" s="8"/>
      <c r="K1491" s="10"/>
      <c r="L1491" s="10"/>
      <c r="M1491" s="10"/>
      <c r="N1491" s="10"/>
      <c r="O1491" s="10"/>
      <c r="P1491" s="8"/>
      <c r="Q1491" s="9"/>
    </row>
    <row r="1492" spans="2:17" x14ac:dyDescent="0.2">
      <c r="B1492" s="7"/>
      <c r="C1492" s="8"/>
      <c r="D1492" s="9"/>
      <c r="E1492" s="10"/>
      <c r="F1492" s="8"/>
      <c r="G1492" s="8"/>
      <c r="H1492" s="9"/>
      <c r="I1492" s="10"/>
      <c r="J1492" s="8"/>
      <c r="K1492" s="10"/>
      <c r="L1492" s="10"/>
      <c r="M1492" s="10"/>
      <c r="N1492" s="10"/>
      <c r="O1492" s="10"/>
      <c r="P1492" s="8"/>
      <c r="Q1492" s="9"/>
    </row>
    <row r="1493" spans="2:17" x14ac:dyDescent="0.2">
      <c r="B1493" s="7"/>
      <c r="C1493" s="8"/>
      <c r="D1493" s="9"/>
      <c r="E1493" s="10"/>
      <c r="F1493" s="8"/>
      <c r="G1493" s="8"/>
      <c r="H1493" s="9"/>
      <c r="I1493" s="10"/>
      <c r="J1493" s="8"/>
      <c r="K1493" s="10"/>
      <c r="L1493" s="10"/>
      <c r="M1493" s="10"/>
      <c r="N1493" s="10"/>
      <c r="O1493" s="10"/>
      <c r="P1493" s="8"/>
      <c r="Q1493" s="9"/>
    </row>
    <row r="1494" spans="2:17" x14ac:dyDescent="0.2">
      <c r="B1494" s="7"/>
      <c r="C1494" s="8"/>
      <c r="D1494" s="9"/>
      <c r="E1494" s="10"/>
      <c r="F1494" s="8"/>
      <c r="G1494" s="8"/>
      <c r="H1494" s="9"/>
      <c r="I1494" s="10"/>
      <c r="J1494" s="8"/>
      <c r="K1494" s="10"/>
      <c r="L1494" s="10"/>
      <c r="M1494" s="10"/>
      <c r="N1494" s="10"/>
      <c r="O1494" s="10"/>
      <c r="P1494" s="8"/>
      <c r="Q1494" s="9"/>
    </row>
    <row r="1495" spans="2:17" x14ac:dyDescent="0.2">
      <c r="B1495" s="7"/>
      <c r="C1495" s="8"/>
      <c r="D1495" s="9"/>
      <c r="E1495" s="10"/>
      <c r="F1495" s="8"/>
      <c r="G1495" s="8"/>
      <c r="H1495" s="9"/>
      <c r="I1495" s="10"/>
      <c r="J1495" s="8"/>
      <c r="K1495" s="10"/>
      <c r="L1495" s="10"/>
      <c r="M1495" s="10"/>
      <c r="N1495" s="10"/>
      <c r="O1495" s="10"/>
      <c r="P1495" s="8"/>
      <c r="Q1495" s="9"/>
    </row>
    <row r="1496" spans="2:17" x14ac:dyDescent="0.2">
      <c r="B1496" s="7"/>
      <c r="C1496" s="8"/>
      <c r="D1496" s="9"/>
      <c r="E1496" s="10"/>
      <c r="F1496" s="8"/>
      <c r="G1496" s="8"/>
      <c r="H1496" s="9"/>
      <c r="I1496" s="10"/>
      <c r="J1496" s="8"/>
      <c r="K1496" s="10"/>
      <c r="L1496" s="10"/>
      <c r="M1496" s="10"/>
      <c r="N1496" s="10"/>
      <c r="O1496" s="10"/>
      <c r="P1496" s="8"/>
      <c r="Q1496" s="9"/>
    </row>
    <row r="1497" spans="2:17" x14ac:dyDescent="0.2">
      <c r="B1497" s="7"/>
      <c r="C1497" s="8"/>
      <c r="D1497" s="9"/>
      <c r="E1497" s="10"/>
      <c r="F1497" s="8"/>
      <c r="G1497" s="8"/>
      <c r="H1497" s="9"/>
      <c r="I1497" s="10"/>
      <c r="J1497" s="8"/>
      <c r="K1497" s="10"/>
      <c r="L1497" s="10"/>
      <c r="M1497" s="10"/>
      <c r="N1497" s="10"/>
      <c r="O1497" s="10"/>
      <c r="P1497" s="8"/>
      <c r="Q1497" s="9"/>
    </row>
    <row r="1498" spans="2:17" x14ac:dyDescent="0.2">
      <c r="B1498" s="7"/>
      <c r="C1498" s="8"/>
      <c r="D1498" s="9"/>
      <c r="E1498" s="10"/>
      <c r="F1498" s="8"/>
      <c r="G1498" s="8"/>
      <c r="H1498" s="9"/>
      <c r="I1498" s="10"/>
      <c r="J1498" s="8"/>
      <c r="K1498" s="10"/>
      <c r="L1498" s="10"/>
      <c r="M1498" s="10"/>
      <c r="N1498" s="10"/>
      <c r="O1498" s="10"/>
      <c r="P1498" s="8"/>
      <c r="Q1498" s="9"/>
    </row>
    <row r="1499" spans="2:17" x14ac:dyDescent="0.2">
      <c r="B1499" s="7"/>
      <c r="C1499" s="8"/>
      <c r="D1499" s="9"/>
      <c r="E1499" s="10"/>
      <c r="F1499" s="8"/>
      <c r="G1499" s="8"/>
      <c r="H1499" s="9"/>
      <c r="I1499" s="10"/>
      <c r="J1499" s="8"/>
      <c r="K1499" s="10"/>
      <c r="L1499" s="10"/>
      <c r="M1499" s="10"/>
      <c r="N1499" s="10"/>
      <c r="O1499" s="10"/>
      <c r="P1499" s="8"/>
      <c r="Q1499" s="9"/>
    </row>
    <row r="1500" spans="2:17" x14ac:dyDescent="0.2">
      <c r="B1500" s="7"/>
      <c r="C1500" s="8"/>
      <c r="D1500" s="9"/>
      <c r="E1500" s="10"/>
      <c r="F1500" s="8"/>
      <c r="G1500" s="8"/>
      <c r="H1500" s="9"/>
      <c r="I1500" s="10"/>
      <c r="J1500" s="8"/>
      <c r="K1500" s="10"/>
      <c r="L1500" s="10"/>
      <c r="M1500" s="10"/>
      <c r="N1500" s="10"/>
      <c r="O1500" s="10"/>
      <c r="P1500" s="8"/>
      <c r="Q1500" s="9"/>
    </row>
    <row r="1501" spans="2:17" x14ac:dyDescent="0.2">
      <c r="B1501" s="7"/>
      <c r="C1501" s="8"/>
      <c r="D1501" s="9"/>
      <c r="E1501" s="10"/>
      <c r="F1501" s="8"/>
      <c r="G1501" s="8"/>
      <c r="H1501" s="9"/>
      <c r="I1501" s="10"/>
      <c r="J1501" s="8"/>
      <c r="K1501" s="10"/>
      <c r="L1501" s="10"/>
      <c r="M1501" s="10"/>
      <c r="N1501" s="10"/>
      <c r="O1501" s="10"/>
      <c r="P1501" s="8"/>
      <c r="Q1501" s="9"/>
    </row>
    <row r="1502" spans="2:17" x14ac:dyDescent="0.2">
      <c r="B1502" s="7"/>
      <c r="C1502" s="8"/>
      <c r="D1502" s="9"/>
      <c r="E1502" s="10"/>
      <c r="F1502" s="8"/>
      <c r="G1502" s="8"/>
      <c r="H1502" s="9"/>
      <c r="I1502" s="10"/>
      <c r="J1502" s="8"/>
      <c r="K1502" s="10"/>
      <c r="L1502" s="10"/>
      <c r="M1502" s="10"/>
      <c r="N1502" s="10"/>
      <c r="O1502" s="10"/>
      <c r="P1502" s="8"/>
      <c r="Q1502" s="9"/>
    </row>
    <row r="1503" spans="2:17" x14ac:dyDescent="0.2">
      <c r="B1503" s="7"/>
      <c r="C1503" s="8"/>
      <c r="D1503" s="9"/>
      <c r="E1503" s="10"/>
      <c r="F1503" s="8"/>
      <c r="G1503" s="8"/>
      <c r="H1503" s="9"/>
      <c r="I1503" s="10"/>
      <c r="J1503" s="8"/>
      <c r="K1503" s="10"/>
      <c r="L1503" s="10"/>
      <c r="M1503" s="10"/>
      <c r="N1503" s="10"/>
      <c r="O1503" s="10"/>
      <c r="P1503" s="8"/>
      <c r="Q1503" s="9"/>
    </row>
    <row r="1504" spans="2:17" x14ac:dyDescent="0.2">
      <c r="B1504" s="7"/>
      <c r="C1504" s="8"/>
      <c r="D1504" s="9"/>
      <c r="E1504" s="10"/>
      <c r="F1504" s="8"/>
      <c r="G1504" s="8"/>
      <c r="H1504" s="9"/>
      <c r="I1504" s="10"/>
      <c r="J1504" s="8"/>
      <c r="K1504" s="10"/>
      <c r="L1504" s="10"/>
      <c r="M1504" s="10"/>
      <c r="N1504" s="10"/>
      <c r="O1504" s="10"/>
      <c r="P1504" s="8"/>
      <c r="Q1504" s="9"/>
    </row>
    <row r="1505" spans="2:17" x14ac:dyDescent="0.2">
      <c r="B1505" s="7"/>
      <c r="C1505" s="8"/>
      <c r="D1505" s="9"/>
      <c r="E1505" s="10"/>
      <c r="F1505" s="8"/>
      <c r="G1505" s="8"/>
      <c r="H1505" s="9"/>
      <c r="I1505" s="10"/>
      <c r="J1505" s="8"/>
      <c r="K1505" s="10"/>
      <c r="L1505" s="10"/>
      <c r="M1505" s="10"/>
      <c r="N1505" s="10"/>
      <c r="O1505" s="10"/>
      <c r="P1505" s="8"/>
      <c r="Q1505" s="9"/>
    </row>
    <row r="1506" spans="2:17" x14ac:dyDescent="0.2">
      <c r="B1506" s="7"/>
      <c r="C1506" s="8"/>
      <c r="D1506" s="9"/>
      <c r="E1506" s="10"/>
      <c r="F1506" s="8"/>
      <c r="G1506" s="8"/>
      <c r="H1506" s="9"/>
      <c r="I1506" s="10"/>
      <c r="J1506" s="8"/>
      <c r="K1506" s="10"/>
      <c r="L1506" s="10"/>
      <c r="M1506" s="10"/>
      <c r="N1506" s="10"/>
      <c r="O1506" s="10"/>
      <c r="P1506" s="8"/>
      <c r="Q1506" s="9"/>
    </row>
    <row r="1507" spans="2:17" x14ac:dyDescent="0.2">
      <c r="B1507" s="7"/>
      <c r="C1507" s="8"/>
      <c r="D1507" s="9"/>
      <c r="E1507" s="10"/>
      <c r="F1507" s="8"/>
      <c r="G1507" s="8"/>
      <c r="H1507" s="9"/>
      <c r="I1507" s="10"/>
      <c r="J1507" s="8"/>
      <c r="K1507" s="10"/>
      <c r="L1507" s="10"/>
      <c r="M1507" s="10"/>
      <c r="N1507" s="10"/>
      <c r="O1507" s="10"/>
      <c r="P1507" s="8"/>
      <c r="Q1507" s="9"/>
    </row>
    <row r="1508" spans="2:17" x14ac:dyDescent="0.2">
      <c r="B1508" s="7"/>
      <c r="C1508" s="8"/>
      <c r="D1508" s="9"/>
      <c r="E1508" s="10"/>
      <c r="F1508" s="8"/>
      <c r="G1508" s="8"/>
      <c r="H1508" s="9"/>
      <c r="I1508" s="10"/>
      <c r="J1508" s="8"/>
      <c r="K1508" s="10"/>
      <c r="L1508" s="10"/>
      <c r="M1508" s="10"/>
      <c r="N1508" s="10"/>
      <c r="O1508" s="10"/>
      <c r="P1508" s="8"/>
      <c r="Q1508" s="9"/>
    </row>
  </sheetData>
  <sheetProtection sheet="1" objects="1" scenarios="1" formatColumns="0"/>
  <mergeCells count="9">
    <mergeCell ref="B6:B7"/>
    <mergeCell ref="D6:F6"/>
    <mergeCell ref="G6:P6"/>
    <mergeCell ref="Q6:Q7"/>
    <mergeCell ref="C2:D2"/>
    <mergeCell ref="C4:D4"/>
    <mergeCell ref="H4:I4"/>
    <mergeCell ref="G2:Q2"/>
    <mergeCell ref="N4:P4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8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8">
    <pageSetUpPr fitToPage="1"/>
  </sheetPr>
  <dimension ref="B2:N1508"/>
  <sheetViews>
    <sheetView workbookViewId="0">
      <pane ySplit="8" topLeftCell="A1477" activePane="bottomLeft" state="frozen"/>
      <selection pane="bottomLeft" activeCell="I1485" sqref="I1485"/>
    </sheetView>
  </sheetViews>
  <sheetFormatPr defaultColWidth="11.28515625" defaultRowHeight="12.75" x14ac:dyDescent="0.2"/>
  <cols>
    <col min="1" max="1" width="5.7109375" style="13" customWidth="1"/>
    <col min="2" max="2" width="9.28515625" style="13" customWidth="1"/>
    <col min="3" max="3" width="7.42578125" style="13" hidden="1" customWidth="1"/>
    <col min="4" max="4" width="13.85546875" style="13" bestFit="1" customWidth="1"/>
    <col min="5" max="5" width="13.7109375" style="13" bestFit="1" customWidth="1"/>
    <col min="6" max="6" width="12.42578125" style="13" bestFit="1" customWidth="1"/>
    <col min="7" max="8" width="13.7109375" style="13" bestFit="1" customWidth="1"/>
    <col min="9" max="9" width="17.28515625" style="13" bestFit="1" customWidth="1"/>
    <col min="10" max="11" width="13.5703125" style="13" bestFit="1" customWidth="1"/>
    <col min="12" max="12" width="13.7109375" style="13" bestFit="1" customWidth="1"/>
    <col min="13" max="13" width="12.28515625" style="13" bestFit="1" customWidth="1"/>
    <col min="14" max="14" width="15.140625" style="13" bestFit="1" customWidth="1"/>
    <col min="15" max="15" width="19.5703125" style="13" bestFit="1" customWidth="1"/>
    <col min="16" max="16384" width="11.28515625" style="13"/>
  </cols>
  <sheetData>
    <row r="2" spans="2:14" x14ac:dyDescent="0.2">
      <c r="B2" s="12" t="s">
        <v>36</v>
      </c>
      <c r="D2" s="92" t="str">
        <f>IF('DDF Original'!C2="","",'DDF Original'!C2)</f>
        <v/>
      </c>
      <c r="E2" s="93"/>
      <c r="G2" s="12" t="s">
        <v>15</v>
      </c>
      <c r="H2" s="96" t="str">
        <f>IF('DDF Original'!G2="","",'DDF Original'!G2)</f>
        <v/>
      </c>
      <c r="I2" s="96"/>
      <c r="J2" s="96"/>
      <c r="K2" s="96"/>
      <c r="L2" s="96"/>
      <c r="M2" s="96"/>
      <c r="N2" s="96"/>
    </row>
    <row r="4" spans="2:14" x14ac:dyDescent="0.2">
      <c r="B4" s="12" t="s">
        <v>16</v>
      </c>
      <c r="D4" s="14" t="str">
        <f>IF('DDF Original'!C4="","",'DDF Original'!C4)</f>
        <v/>
      </c>
      <c r="G4" s="94" t="s">
        <v>17</v>
      </c>
      <c r="H4" s="95"/>
      <c r="I4" s="22">
        <f ca="1">IF('DDF Original'!J4="","",'DDF Original'!J4)</f>
        <v>44621</v>
      </c>
      <c r="L4" s="94" t="s">
        <v>18</v>
      </c>
      <c r="M4" s="95"/>
      <c r="N4" s="23">
        <f>IF('DDF Original'!Q4="","",'DDF Original'!Q4)</f>
        <v>29.09</v>
      </c>
    </row>
    <row r="6" spans="2:14" s="15" customFormat="1" ht="30" customHeight="1" x14ac:dyDescent="0.25">
      <c r="B6" s="97" t="s">
        <v>23</v>
      </c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</row>
    <row r="7" spans="2:14" s="15" customFormat="1" ht="63.75" x14ac:dyDescent="0.25">
      <c r="B7" s="16" t="s">
        <v>42</v>
      </c>
      <c r="C7" s="16" t="s">
        <v>24</v>
      </c>
      <c r="D7" s="16" t="s">
        <v>20</v>
      </c>
      <c r="E7" s="16" t="s">
        <v>6</v>
      </c>
      <c r="F7" s="16" t="s">
        <v>21</v>
      </c>
      <c r="G7" s="16" t="s">
        <v>45</v>
      </c>
      <c r="H7" s="16" t="s">
        <v>29</v>
      </c>
      <c r="I7" s="16" t="s">
        <v>26</v>
      </c>
      <c r="J7" s="16" t="s">
        <v>27</v>
      </c>
      <c r="K7" s="16" t="s">
        <v>25</v>
      </c>
      <c r="L7" s="16" t="s">
        <v>22</v>
      </c>
      <c r="M7" s="21" t="s">
        <v>28</v>
      </c>
      <c r="N7" s="16" t="s">
        <v>46</v>
      </c>
    </row>
    <row r="8" spans="2:14" x14ac:dyDescent="0.2">
      <c r="B8" s="17">
        <v>1</v>
      </c>
      <c r="C8" s="17" t="s">
        <v>19</v>
      </c>
      <c r="D8" s="17">
        <v>2</v>
      </c>
      <c r="E8" s="17">
        <v>8</v>
      </c>
      <c r="F8" s="18">
        <v>16</v>
      </c>
      <c r="G8" s="17">
        <v>14</v>
      </c>
      <c r="H8" s="18">
        <v>17</v>
      </c>
      <c r="I8" s="18">
        <v>18</v>
      </c>
      <c r="J8" s="18">
        <v>19</v>
      </c>
      <c r="K8" s="18">
        <v>20</v>
      </c>
      <c r="L8" s="18">
        <v>21</v>
      </c>
      <c r="M8" s="18">
        <v>22</v>
      </c>
      <c r="N8" s="18">
        <v>23</v>
      </c>
    </row>
    <row r="9" spans="2:14" x14ac:dyDescent="0.2">
      <c r="B9" s="19" t="str">
        <f>IF('DDF Original'!B9="","",'DDF Original'!B9)</f>
        <v/>
      </c>
      <c r="C9" s="19" t="e">
        <f>LEFT(B9,FIND(".",B9)-1)</f>
        <v>#VALUE!</v>
      </c>
      <c r="D9" s="20" t="str">
        <f>IF('DDF Original'!C9="","",'DDF Original'!C9)</f>
        <v/>
      </c>
      <c r="E9" s="24" t="str">
        <f>IF('DDF Original'!B9="","",IF(TRIM('DDF Original'!I9)="",0,'DDF Original'!I9))</f>
        <v/>
      </c>
      <c r="F9" s="20" t="str">
        <f t="shared" ref="F9:F72" si="0">IF(D9="",D9,ROUND(D9*(1+E9/100),2))</f>
        <v/>
      </c>
      <c r="G9" s="37" t="str">
        <f>IF('DDF Original'!B9="","",IF(TRIM('DDF Original'!P9)="",0,'DDF Original'!P9))</f>
        <v/>
      </c>
      <c r="H9" s="20" t="str">
        <f t="shared" ref="H9:H72" si="1">IF(OR(D9=0,D9=""),G9,F9)</f>
        <v/>
      </c>
      <c r="I9" s="25" t="str">
        <f t="shared" ref="I9:I72" si="2">IF(B9="","",IF(OR(D9=0,D9=""),50,35))</f>
        <v/>
      </c>
      <c r="J9" s="20" t="str">
        <f t="shared" ref="J9:J72" si="3">IF(B9="","",ROUND(H9*I9/100,2))</f>
        <v/>
      </c>
      <c r="K9" s="20" t="str">
        <f t="shared" ref="K9:K72" si="4">IF(B9="","",SUMIFS($J$9:$J$508,$C$9:$C$508,"="&amp;C9))</f>
        <v/>
      </c>
      <c r="L9" s="20" t="str">
        <f>IF(B9="","",70*'DDF Original'!$Q$4)</f>
        <v/>
      </c>
      <c r="M9" s="20" t="str">
        <f t="shared" ref="M9:M72" si="5">IF(B9="","",ROUND(J9/K9*L9,2))</f>
        <v/>
      </c>
      <c r="N9" s="20" t="str">
        <f>IF(AND(OR(B9="",J9&gt;G9,M9&gt;G9),'DDF Original'!L9&lt;&gt; "MI"),G9,IF(M9&gt;J9,M9,J9))</f>
        <v/>
      </c>
    </row>
    <row r="10" spans="2:14" x14ac:dyDescent="0.2">
      <c r="B10" s="19" t="str">
        <f>IF('DDF Original'!B10="","",'DDF Original'!B10)</f>
        <v/>
      </c>
      <c r="C10" s="19" t="e">
        <f t="shared" ref="C10:C73" si="6">LEFT(B10,FIND(".",B10)-1)</f>
        <v>#VALUE!</v>
      </c>
      <c r="D10" s="20" t="str">
        <f>IF('DDF Original'!C10="","",'DDF Original'!C10)</f>
        <v/>
      </c>
      <c r="E10" s="24" t="str">
        <f>IF('DDF Original'!B10="","",IF(TRIM('DDF Original'!I10)="",0,'DDF Original'!I10))</f>
        <v/>
      </c>
      <c r="F10" s="20" t="str">
        <f t="shared" si="0"/>
        <v/>
      </c>
      <c r="G10" s="37" t="str">
        <f>IF('DDF Original'!B10="","",IF(TRIM('DDF Original'!P10)="",0,'DDF Original'!P10))</f>
        <v/>
      </c>
      <c r="H10" s="20" t="str">
        <f t="shared" si="1"/>
        <v/>
      </c>
      <c r="I10" s="25" t="str">
        <f t="shared" si="2"/>
        <v/>
      </c>
      <c r="J10" s="20" t="str">
        <f t="shared" si="3"/>
        <v/>
      </c>
      <c r="K10" s="20" t="str">
        <f t="shared" si="4"/>
        <v/>
      </c>
      <c r="L10" s="20" t="str">
        <f>IF(B10="","",70*'DDF Original'!$Q$4)</f>
        <v/>
      </c>
      <c r="M10" s="20" t="str">
        <f t="shared" si="5"/>
        <v/>
      </c>
      <c r="N10" s="20" t="str">
        <f>IF(AND(OR(B10="",J10&gt;G10,M10&gt;G10),'DDF Original'!L10&lt;&gt; "MI"),G10,IF(M10&gt;J10,M10,J10))</f>
        <v/>
      </c>
    </row>
    <row r="11" spans="2:14" x14ac:dyDescent="0.2">
      <c r="B11" s="19" t="str">
        <f>IF('DDF Original'!B11="","",'DDF Original'!B11)</f>
        <v/>
      </c>
      <c r="C11" s="19" t="e">
        <f t="shared" si="6"/>
        <v>#VALUE!</v>
      </c>
      <c r="D11" s="20" t="str">
        <f>IF('DDF Original'!C11="","",'DDF Original'!C11)</f>
        <v/>
      </c>
      <c r="E11" s="24" t="str">
        <f>IF('DDF Original'!B11="","",IF(TRIM('DDF Original'!I11)="",0,'DDF Original'!I11))</f>
        <v/>
      </c>
      <c r="F11" s="20" t="str">
        <f t="shared" si="0"/>
        <v/>
      </c>
      <c r="G11" s="37" t="str">
        <f>IF('DDF Original'!B11="","",IF(TRIM('DDF Original'!P11)="",0,'DDF Original'!P11))</f>
        <v/>
      </c>
      <c r="H11" s="20" t="str">
        <f t="shared" si="1"/>
        <v/>
      </c>
      <c r="I11" s="25" t="str">
        <f t="shared" si="2"/>
        <v/>
      </c>
      <c r="J11" s="20" t="str">
        <f t="shared" si="3"/>
        <v/>
      </c>
      <c r="K11" s="20" t="str">
        <f t="shared" si="4"/>
        <v/>
      </c>
      <c r="L11" s="20" t="str">
        <f>IF(B11="","",70*'DDF Original'!$Q$4)</f>
        <v/>
      </c>
      <c r="M11" s="20" t="str">
        <f t="shared" si="5"/>
        <v/>
      </c>
      <c r="N11" s="20" t="str">
        <f>IF(AND(OR(B11="",J11&gt;G11,M11&gt;G11),'DDF Original'!L11&lt;&gt; "MI"),G11,IF(M11&gt;J11,M11,J11))</f>
        <v/>
      </c>
    </row>
    <row r="12" spans="2:14" x14ac:dyDescent="0.2">
      <c r="B12" s="19" t="str">
        <f>IF('DDF Original'!B12="","",'DDF Original'!B12)</f>
        <v/>
      </c>
      <c r="C12" s="19" t="e">
        <f t="shared" si="6"/>
        <v>#VALUE!</v>
      </c>
      <c r="D12" s="20" t="str">
        <f>IF('DDF Original'!C12="","",'DDF Original'!C12)</f>
        <v/>
      </c>
      <c r="E12" s="24" t="str">
        <f>IF('DDF Original'!B12="","",IF(TRIM('DDF Original'!I12)="",0,'DDF Original'!I12))</f>
        <v/>
      </c>
      <c r="F12" s="20" t="str">
        <f t="shared" si="0"/>
        <v/>
      </c>
      <c r="G12" s="37" t="str">
        <f>IF('DDF Original'!B12="","",IF(TRIM('DDF Original'!P12)="",0,'DDF Original'!P12))</f>
        <v/>
      </c>
      <c r="H12" s="20" t="str">
        <f t="shared" si="1"/>
        <v/>
      </c>
      <c r="I12" s="25" t="str">
        <f t="shared" si="2"/>
        <v/>
      </c>
      <c r="J12" s="20" t="str">
        <f t="shared" si="3"/>
        <v/>
      </c>
      <c r="K12" s="20" t="str">
        <f t="shared" si="4"/>
        <v/>
      </c>
      <c r="L12" s="20" t="str">
        <f>IF(B12="","",70*'DDF Original'!$Q$4)</f>
        <v/>
      </c>
      <c r="M12" s="20" t="str">
        <f t="shared" si="5"/>
        <v/>
      </c>
      <c r="N12" s="20" t="str">
        <f>IF(AND(OR(B12="",J12&gt;G12,M12&gt;G12),'DDF Original'!L12&lt;&gt; "MI"),G12,IF(M12&gt;J12,M12,J12))</f>
        <v/>
      </c>
    </row>
    <row r="13" spans="2:14" x14ac:dyDescent="0.2">
      <c r="B13" s="19" t="str">
        <f>IF('DDF Original'!B13="","",'DDF Original'!B13)</f>
        <v/>
      </c>
      <c r="C13" s="19" t="e">
        <f t="shared" si="6"/>
        <v>#VALUE!</v>
      </c>
      <c r="D13" s="20" t="str">
        <f>IF('DDF Original'!C13="","",'DDF Original'!C13)</f>
        <v/>
      </c>
      <c r="E13" s="24" t="str">
        <f>IF('DDF Original'!B13="","",IF(TRIM('DDF Original'!I13)="",0,'DDF Original'!I13))</f>
        <v/>
      </c>
      <c r="F13" s="20" t="str">
        <f t="shared" si="0"/>
        <v/>
      </c>
      <c r="G13" s="37" t="str">
        <f>IF('DDF Original'!B13="","",IF(TRIM('DDF Original'!P13)="",0,'DDF Original'!P13))</f>
        <v/>
      </c>
      <c r="H13" s="20" t="str">
        <f t="shared" si="1"/>
        <v/>
      </c>
      <c r="I13" s="25" t="str">
        <f t="shared" si="2"/>
        <v/>
      </c>
      <c r="J13" s="20" t="str">
        <f t="shared" si="3"/>
        <v/>
      </c>
      <c r="K13" s="20" t="str">
        <f t="shared" si="4"/>
        <v/>
      </c>
      <c r="L13" s="20" t="str">
        <f>IF(B13="","",70*'DDF Original'!$Q$4)</f>
        <v/>
      </c>
      <c r="M13" s="20" t="str">
        <f t="shared" si="5"/>
        <v/>
      </c>
      <c r="N13" s="20" t="str">
        <f>IF(AND(OR(B13="",J13&gt;G13,M13&gt;G13),'DDF Original'!L13&lt;&gt; "MI"),G13,IF(M13&gt;J13,M13,J13))</f>
        <v/>
      </c>
    </row>
    <row r="14" spans="2:14" x14ac:dyDescent="0.2">
      <c r="B14" s="19" t="str">
        <f>IF('DDF Original'!B14="","",'DDF Original'!B14)</f>
        <v/>
      </c>
      <c r="C14" s="19" t="e">
        <f t="shared" si="6"/>
        <v>#VALUE!</v>
      </c>
      <c r="D14" s="20" t="str">
        <f>IF('DDF Original'!C14="","",'DDF Original'!C14)</f>
        <v/>
      </c>
      <c r="E14" s="24" t="str">
        <f>IF('DDF Original'!B14="","",IF(TRIM('DDF Original'!I14)="",0,'DDF Original'!I14))</f>
        <v/>
      </c>
      <c r="F14" s="20" t="str">
        <f t="shared" si="0"/>
        <v/>
      </c>
      <c r="G14" s="37" t="str">
        <f>IF('DDF Original'!B14="","",IF(TRIM('DDF Original'!P14)="",0,'DDF Original'!P14))</f>
        <v/>
      </c>
      <c r="H14" s="20" t="str">
        <f t="shared" si="1"/>
        <v/>
      </c>
      <c r="I14" s="25" t="str">
        <f t="shared" si="2"/>
        <v/>
      </c>
      <c r="J14" s="20" t="str">
        <f t="shared" si="3"/>
        <v/>
      </c>
      <c r="K14" s="20" t="str">
        <f t="shared" si="4"/>
        <v/>
      </c>
      <c r="L14" s="20" t="str">
        <f>IF(B14="","",70*'DDF Original'!$Q$4)</f>
        <v/>
      </c>
      <c r="M14" s="20" t="str">
        <f t="shared" si="5"/>
        <v/>
      </c>
      <c r="N14" s="20" t="str">
        <f>IF(AND(OR(B14="",J14&gt;G14,M14&gt;G14),'DDF Original'!L14&lt;&gt; "MI"),G14,IF(M14&gt;J14,M14,J14))</f>
        <v/>
      </c>
    </row>
    <row r="15" spans="2:14" x14ac:dyDescent="0.2">
      <c r="B15" s="19" t="str">
        <f>IF('DDF Original'!B15="","",'DDF Original'!B15)</f>
        <v/>
      </c>
      <c r="C15" s="19" t="e">
        <f t="shared" si="6"/>
        <v>#VALUE!</v>
      </c>
      <c r="D15" s="20" t="str">
        <f>IF('DDF Original'!C15="","",'DDF Original'!C15)</f>
        <v/>
      </c>
      <c r="E15" s="24" t="str">
        <f>IF('DDF Original'!B15="","",IF(TRIM('DDF Original'!I15)="",0,'DDF Original'!I15))</f>
        <v/>
      </c>
      <c r="F15" s="20" t="str">
        <f t="shared" si="0"/>
        <v/>
      </c>
      <c r="G15" s="37" t="str">
        <f>IF('DDF Original'!B15="","",IF(TRIM('DDF Original'!P15)="",0,'DDF Original'!P15))</f>
        <v/>
      </c>
      <c r="H15" s="20" t="str">
        <f t="shared" si="1"/>
        <v/>
      </c>
      <c r="I15" s="25" t="str">
        <f t="shared" si="2"/>
        <v/>
      </c>
      <c r="J15" s="20" t="str">
        <f t="shared" si="3"/>
        <v/>
      </c>
      <c r="K15" s="20" t="str">
        <f t="shared" si="4"/>
        <v/>
      </c>
      <c r="L15" s="20" t="str">
        <f>IF(B15="","",70*'DDF Original'!$Q$4)</f>
        <v/>
      </c>
      <c r="M15" s="20" t="str">
        <f t="shared" si="5"/>
        <v/>
      </c>
      <c r="N15" s="20" t="str">
        <f>IF(AND(OR(B15="",J15&gt;G15,M15&gt;G15),'DDF Original'!L15&lt;&gt; "MI"),G15,IF(M15&gt;J15,M15,J15))</f>
        <v/>
      </c>
    </row>
    <row r="16" spans="2:14" x14ac:dyDescent="0.2">
      <c r="B16" s="19" t="str">
        <f>IF('DDF Original'!B16="","",'DDF Original'!B16)</f>
        <v/>
      </c>
      <c r="C16" s="19" t="e">
        <f t="shared" si="6"/>
        <v>#VALUE!</v>
      </c>
      <c r="D16" s="20" t="str">
        <f>IF('DDF Original'!C16="","",'DDF Original'!C16)</f>
        <v/>
      </c>
      <c r="E16" s="24" t="str">
        <f>IF('DDF Original'!B16="","",IF(TRIM('DDF Original'!I16)="",0,'DDF Original'!I16))</f>
        <v/>
      </c>
      <c r="F16" s="20" t="str">
        <f t="shared" si="0"/>
        <v/>
      </c>
      <c r="G16" s="37" t="str">
        <f>IF('DDF Original'!B16="","",IF(TRIM('DDF Original'!P16)="",0,'DDF Original'!P16))</f>
        <v/>
      </c>
      <c r="H16" s="20" t="str">
        <f t="shared" si="1"/>
        <v/>
      </c>
      <c r="I16" s="25" t="str">
        <f t="shared" si="2"/>
        <v/>
      </c>
      <c r="J16" s="20" t="str">
        <f t="shared" si="3"/>
        <v/>
      </c>
      <c r="K16" s="20" t="str">
        <f t="shared" si="4"/>
        <v/>
      </c>
      <c r="L16" s="20" t="str">
        <f>IF(B16="","",70*'DDF Original'!$Q$4)</f>
        <v/>
      </c>
      <c r="M16" s="20" t="str">
        <f t="shared" si="5"/>
        <v/>
      </c>
      <c r="N16" s="20" t="str">
        <f>IF(AND(OR(B16="",J16&gt;G16,M16&gt;G16),'DDF Original'!L16&lt;&gt; "MI"),G16,IF(M16&gt;J16,M16,J16))</f>
        <v/>
      </c>
    </row>
    <row r="17" spans="2:14" x14ac:dyDescent="0.2">
      <c r="B17" s="19" t="str">
        <f>IF('DDF Original'!B17="","",'DDF Original'!B17)</f>
        <v/>
      </c>
      <c r="C17" s="19" t="e">
        <f t="shared" si="6"/>
        <v>#VALUE!</v>
      </c>
      <c r="D17" s="20" t="str">
        <f>IF('DDF Original'!C17="","",'DDF Original'!C17)</f>
        <v/>
      </c>
      <c r="E17" s="24" t="str">
        <f>IF('DDF Original'!B17="","",IF(TRIM('DDF Original'!I17)="",0,'DDF Original'!I17))</f>
        <v/>
      </c>
      <c r="F17" s="20" t="str">
        <f t="shared" si="0"/>
        <v/>
      </c>
      <c r="G17" s="37" t="str">
        <f>IF('DDF Original'!B17="","",IF(TRIM('DDF Original'!P17)="",0,'DDF Original'!P17))</f>
        <v/>
      </c>
      <c r="H17" s="20" t="str">
        <f t="shared" si="1"/>
        <v/>
      </c>
      <c r="I17" s="25" t="str">
        <f t="shared" si="2"/>
        <v/>
      </c>
      <c r="J17" s="20" t="str">
        <f t="shared" si="3"/>
        <v/>
      </c>
      <c r="K17" s="20" t="str">
        <f t="shared" si="4"/>
        <v/>
      </c>
      <c r="L17" s="20" t="str">
        <f>IF(B17="","",70*'DDF Original'!$Q$4)</f>
        <v/>
      </c>
      <c r="M17" s="20" t="str">
        <f t="shared" si="5"/>
        <v/>
      </c>
      <c r="N17" s="20" t="str">
        <f>IF(AND(OR(B17="",J17&gt;G17,M17&gt;G17),'DDF Original'!L17&lt;&gt; "MI"),G17,IF(M17&gt;J17,M17,J17))</f>
        <v/>
      </c>
    </row>
    <row r="18" spans="2:14" x14ac:dyDescent="0.2">
      <c r="B18" s="64" t="str">
        <f>IF('DDF Original'!B18="","",'DDF Original'!B18)</f>
        <v/>
      </c>
      <c r="C18" s="64" t="e">
        <f t="shared" si="6"/>
        <v>#VALUE!</v>
      </c>
      <c r="D18" s="65" t="str">
        <f>IF('DDF Original'!C18="","",'DDF Original'!C18)</f>
        <v/>
      </c>
      <c r="E18" s="66" t="str">
        <f>IF('DDF Original'!B18="","",IF(TRIM('DDF Original'!I18)="",0,'DDF Original'!I18))</f>
        <v/>
      </c>
      <c r="F18" s="65" t="str">
        <f t="shared" si="0"/>
        <v/>
      </c>
      <c r="G18" s="67" t="str">
        <f>IF('DDF Original'!B18="","",IF(TRIM('DDF Original'!P18)="",0,'DDF Original'!P18))</f>
        <v/>
      </c>
      <c r="H18" s="65" t="str">
        <f t="shared" si="1"/>
        <v/>
      </c>
      <c r="I18" s="68" t="str">
        <f t="shared" si="2"/>
        <v/>
      </c>
      <c r="J18" s="65" t="str">
        <f t="shared" si="3"/>
        <v/>
      </c>
      <c r="K18" s="65" t="str">
        <f t="shared" si="4"/>
        <v/>
      </c>
      <c r="L18" s="65" t="str">
        <f>IF(B18="","",70*'DDF Original'!$Q$4)</f>
        <v/>
      </c>
      <c r="M18" s="65" t="str">
        <f t="shared" si="5"/>
        <v/>
      </c>
      <c r="N18" s="65" t="str">
        <f>IF(AND(OR(B18="",J18&gt;G18,M18&gt;G18),'DDF Original'!L18&lt;&gt; "MI"),G18,IF(M18&gt;J18,M18,J18))</f>
        <v/>
      </c>
    </row>
    <row r="19" spans="2:14" x14ac:dyDescent="0.2">
      <c r="B19" s="64" t="str">
        <f>IF('DDF Original'!B19="","",'DDF Original'!B19)</f>
        <v/>
      </c>
      <c r="C19" s="64" t="e">
        <f t="shared" si="6"/>
        <v>#VALUE!</v>
      </c>
      <c r="D19" s="65" t="str">
        <f>IF('DDF Original'!C19="","",'DDF Original'!C19)</f>
        <v/>
      </c>
      <c r="E19" s="66" t="str">
        <f>IF('DDF Original'!B19="","",IF(TRIM('DDF Original'!I19)="",0,'DDF Original'!I19))</f>
        <v/>
      </c>
      <c r="F19" s="65" t="str">
        <f t="shared" si="0"/>
        <v/>
      </c>
      <c r="G19" s="67" t="str">
        <f>IF('DDF Original'!B19="","",IF(TRIM('DDF Original'!P19)="",0,'DDF Original'!P19))</f>
        <v/>
      </c>
      <c r="H19" s="65" t="str">
        <f t="shared" si="1"/>
        <v/>
      </c>
      <c r="I19" s="68" t="str">
        <f t="shared" si="2"/>
        <v/>
      </c>
      <c r="J19" s="65" t="str">
        <f t="shared" si="3"/>
        <v/>
      </c>
      <c r="K19" s="65" t="str">
        <f t="shared" si="4"/>
        <v/>
      </c>
      <c r="L19" s="65" t="str">
        <f>IF(B19="","",70*'DDF Original'!$Q$4)</f>
        <v/>
      </c>
      <c r="M19" s="65" t="str">
        <f t="shared" si="5"/>
        <v/>
      </c>
      <c r="N19" s="65" t="str">
        <f>IF(AND(OR(B19="",J19&gt;G19,M19&gt;G19),'DDF Original'!L19&lt;&gt; "MI"),G19,IF(M19&gt;J19,M19,J19))</f>
        <v/>
      </c>
    </row>
    <row r="20" spans="2:14" x14ac:dyDescent="0.2">
      <c r="B20" s="64" t="str">
        <f>IF('DDF Original'!B20="","",'DDF Original'!B20)</f>
        <v/>
      </c>
      <c r="C20" s="64" t="e">
        <f t="shared" si="6"/>
        <v>#VALUE!</v>
      </c>
      <c r="D20" s="65" t="str">
        <f>IF('DDF Original'!C20="","",'DDF Original'!C20)</f>
        <v/>
      </c>
      <c r="E20" s="66" t="str">
        <f>IF('DDF Original'!B20="","",IF(TRIM('DDF Original'!I20)="",0,'DDF Original'!I20))</f>
        <v/>
      </c>
      <c r="F20" s="65" t="str">
        <f t="shared" si="0"/>
        <v/>
      </c>
      <c r="G20" s="67" t="str">
        <f>IF('DDF Original'!B20="","",IF(TRIM('DDF Original'!P20)="",0,'DDF Original'!P20))</f>
        <v/>
      </c>
      <c r="H20" s="65" t="str">
        <f t="shared" si="1"/>
        <v/>
      </c>
      <c r="I20" s="68" t="str">
        <f t="shared" si="2"/>
        <v/>
      </c>
      <c r="J20" s="65" t="str">
        <f t="shared" si="3"/>
        <v/>
      </c>
      <c r="K20" s="65" t="str">
        <f t="shared" si="4"/>
        <v/>
      </c>
      <c r="L20" s="65" t="str">
        <f>IF(B20="","",70*'DDF Original'!$Q$4)</f>
        <v/>
      </c>
      <c r="M20" s="65" t="str">
        <f t="shared" si="5"/>
        <v/>
      </c>
      <c r="N20" s="65" t="str">
        <f>IF(AND(OR(B20="",J20&gt;G20,M20&gt;G20),'DDF Original'!L20&lt;&gt; "MI"),G20,IF(M20&gt;J20,M20,J20))</f>
        <v/>
      </c>
    </row>
    <row r="21" spans="2:14" x14ac:dyDescent="0.2">
      <c r="B21" s="19" t="str">
        <f>IF('DDF Original'!B21="","",'DDF Original'!B21)</f>
        <v/>
      </c>
      <c r="C21" s="19" t="e">
        <f t="shared" si="6"/>
        <v>#VALUE!</v>
      </c>
      <c r="D21" s="20" t="str">
        <f>IF('DDF Original'!C21="","",'DDF Original'!C21)</f>
        <v/>
      </c>
      <c r="E21" s="24" t="str">
        <f>IF('DDF Original'!B21="","",IF(TRIM('DDF Original'!I21)="",0,'DDF Original'!I21))</f>
        <v/>
      </c>
      <c r="F21" s="20" t="str">
        <f t="shared" si="0"/>
        <v/>
      </c>
      <c r="G21" s="37" t="str">
        <f>IF('DDF Original'!B21="","",IF(TRIM('DDF Original'!P21)="",0,'DDF Original'!P21))</f>
        <v/>
      </c>
      <c r="H21" s="20" t="str">
        <f t="shared" si="1"/>
        <v/>
      </c>
      <c r="I21" s="25" t="str">
        <f t="shared" si="2"/>
        <v/>
      </c>
      <c r="J21" s="20" t="str">
        <f t="shared" si="3"/>
        <v/>
      </c>
      <c r="K21" s="20" t="str">
        <f t="shared" si="4"/>
        <v/>
      </c>
      <c r="L21" s="20" t="str">
        <f>IF(B21="","",70*'DDF Original'!$Q$4)</f>
        <v/>
      </c>
      <c r="M21" s="20" t="str">
        <f t="shared" si="5"/>
        <v/>
      </c>
      <c r="N21" s="20" t="str">
        <f>IF(AND(OR(B21="",J21&gt;G21,M21&gt;G21),'DDF Original'!L21&lt;&gt; "MI"),G21,IF(M21&gt;J21,M21,J21))</f>
        <v/>
      </c>
    </row>
    <row r="22" spans="2:14" x14ac:dyDescent="0.2">
      <c r="B22" s="19" t="str">
        <f>IF('DDF Original'!B22="","",'DDF Original'!B22)</f>
        <v/>
      </c>
      <c r="C22" s="19" t="e">
        <f t="shared" si="6"/>
        <v>#VALUE!</v>
      </c>
      <c r="D22" s="20" t="str">
        <f>IF('DDF Original'!C22="","",'DDF Original'!C22)</f>
        <v/>
      </c>
      <c r="E22" s="24" t="str">
        <f>IF('DDF Original'!B22="","",IF(TRIM('DDF Original'!I22)="",0,'DDF Original'!I22))</f>
        <v/>
      </c>
      <c r="F22" s="20" t="str">
        <f t="shared" si="0"/>
        <v/>
      </c>
      <c r="G22" s="37" t="str">
        <f>IF('DDF Original'!B22="","",IF(TRIM('DDF Original'!P22)="",0,'DDF Original'!P22))</f>
        <v/>
      </c>
      <c r="H22" s="20" t="str">
        <f t="shared" si="1"/>
        <v/>
      </c>
      <c r="I22" s="25" t="str">
        <f t="shared" si="2"/>
        <v/>
      </c>
      <c r="J22" s="20" t="str">
        <f t="shared" si="3"/>
        <v/>
      </c>
      <c r="K22" s="20" t="str">
        <f t="shared" si="4"/>
        <v/>
      </c>
      <c r="L22" s="20" t="str">
        <f>IF(B22="","",70*'DDF Original'!$Q$4)</f>
        <v/>
      </c>
      <c r="M22" s="20" t="str">
        <f t="shared" si="5"/>
        <v/>
      </c>
      <c r="N22" s="20" t="str">
        <f>IF(AND(OR(B22="",J22&gt;G22,M22&gt;G22),'DDF Original'!L22&lt;&gt; "MI"),G22,IF(M22&gt;J22,M22,J22))</f>
        <v/>
      </c>
    </row>
    <row r="23" spans="2:14" x14ac:dyDescent="0.2">
      <c r="B23" s="19" t="str">
        <f>IF('DDF Original'!B23="","",'DDF Original'!B23)</f>
        <v/>
      </c>
      <c r="C23" s="19" t="e">
        <f t="shared" si="6"/>
        <v>#VALUE!</v>
      </c>
      <c r="D23" s="20" t="str">
        <f>IF('DDF Original'!C23="","",'DDF Original'!C23)</f>
        <v/>
      </c>
      <c r="E23" s="24" t="str">
        <f>IF('DDF Original'!B23="","",IF(TRIM('DDF Original'!I23)="",0,'DDF Original'!I23))</f>
        <v/>
      </c>
      <c r="F23" s="20" t="str">
        <f t="shared" si="0"/>
        <v/>
      </c>
      <c r="G23" s="37" t="str">
        <f>IF('DDF Original'!B23="","",IF(TRIM('DDF Original'!P23)="",0,'DDF Original'!P23))</f>
        <v/>
      </c>
      <c r="H23" s="20" t="str">
        <f t="shared" si="1"/>
        <v/>
      </c>
      <c r="I23" s="25" t="str">
        <f t="shared" si="2"/>
        <v/>
      </c>
      <c r="J23" s="20" t="str">
        <f t="shared" si="3"/>
        <v/>
      </c>
      <c r="K23" s="20" t="str">
        <f t="shared" si="4"/>
        <v/>
      </c>
      <c r="L23" s="20" t="str">
        <f>IF(B23="","",70*'DDF Original'!$Q$4)</f>
        <v/>
      </c>
      <c r="M23" s="20" t="str">
        <f t="shared" si="5"/>
        <v/>
      </c>
      <c r="N23" s="20" t="str">
        <f>IF(AND(OR(B23="",J23&gt;G23,M23&gt;G23),'DDF Original'!L23&lt;&gt; "MI"),G23,IF(M23&gt;J23,M23,J23))</f>
        <v/>
      </c>
    </row>
    <row r="24" spans="2:14" x14ac:dyDescent="0.2">
      <c r="B24" s="19" t="str">
        <f>IF('DDF Original'!B24="","",'DDF Original'!B24)</f>
        <v/>
      </c>
      <c r="C24" s="19" t="e">
        <f t="shared" si="6"/>
        <v>#VALUE!</v>
      </c>
      <c r="D24" s="20" t="str">
        <f>IF('DDF Original'!C24="","",'DDF Original'!C24)</f>
        <v/>
      </c>
      <c r="E24" s="24" t="str">
        <f>IF('DDF Original'!B24="","",IF(TRIM('DDF Original'!I24)="",0,'DDF Original'!I24))</f>
        <v/>
      </c>
      <c r="F24" s="20" t="str">
        <f t="shared" si="0"/>
        <v/>
      </c>
      <c r="G24" s="37" t="str">
        <f>IF('DDF Original'!B24="","",IF(TRIM('DDF Original'!P24)="",0,'DDF Original'!P24))</f>
        <v/>
      </c>
      <c r="H24" s="20" t="str">
        <f t="shared" si="1"/>
        <v/>
      </c>
      <c r="I24" s="25" t="str">
        <f t="shared" si="2"/>
        <v/>
      </c>
      <c r="J24" s="20" t="str">
        <f t="shared" si="3"/>
        <v/>
      </c>
      <c r="K24" s="20" t="str">
        <f t="shared" si="4"/>
        <v/>
      </c>
      <c r="L24" s="20" t="str">
        <f>IF(B24="","",70*'DDF Original'!$Q$4)</f>
        <v/>
      </c>
      <c r="M24" s="20" t="str">
        <f t="shared" si="5"/>
        <v/>
      </c>
      <c r="N24" s="20" t="str">
        <f>IF(AND(OR(B24="",J24&gt;G24,M24&gt;G24),'DDF Original'!L24&lt;&gt; "MI"),G24,IF(M24&gt;J24,M24,J24))</f>
        <v/>
      </c>
    </row>
    <row r="25" spans="2:14" x14ac:dyDescent="0.2">
      <c r="B25" s="19" t="str">
        <f>IF('DDF Original'!B25="","",'DDF Original'!B25)</f>
        <v/>
      </c>
      <c r="C25" s="19" t="e">
        <f t="shared" si="6"/>
        <v>#VALUE!</v>
      </c>
      <c r="D25" s="20" t="str">
        <f>IF('DDF Original'!C25="","",'DDF Original'!C25)</f>
        <v/>
      </c>
      <c r="E25" s="24" t="str">
        <f>IF('DDF Original'!B25="","",IF(TRIM('DDF Original'!I25)="",0,'DDF Original'!I25))</f>
        <v/>
      </c>
      <c r="F25" s="20" t="str">
        <f t="shared" si="0"/>
        <v/>
      </c>
      <c r="G25" s="37" t="str">
        <f>IF('DDF Original'!B25="","",IF(TRIM('DDF Original'!P25)="",0,'DDF Original'!P25))</f>
        <v/>
      </c>
      <c r="H25" s="20" t="str">
        <f t="shared" si="1"/>
        <v/>
      </c>
      <c r="I25" s="25" t="str">
        <f t="shared" si="2"/>
        <v/>
      </c>
      <c r="J25" s="20" t="str">
        <f t="shared" si="3"/>
        <v/>
      </c>
      <c r="K25" s="20" t="str">
        <f t="shared" si="4"/>
        <v/>
      </c>
      <c r="L25" s="20" t="str">
        <f>IF(B25="","",70*'DDF Original'!$Q$4)</f>
        <v/>
      </c>
      <c r="M25" s="20" t="str">
        <f t="shared" si="5"/>
        <v/>
      </c>
      <c r="N25" s="20" t="str">
        <f>IF(AND(OR(B25="",J25&gt;G25,M25&gt;G25),'DDF Original'!L25&lt;&gt; "MI"),G25,IF(M25&gt;J25,M25,J25))</f>
        <v/>
      </c>
    </row>
    <row r="26" spans="2:14" x14ac:dyDescent="0.2">
      <c r="B26" s="19" t="str">
        <f>IF('DDF Original'!B26="","",'DDF Original'!B26)</f>
        <v/>
      </c>
      <c r="C26" s="19" t="e">
        <f t="shared" si="6"/>
        <v>#VALUE!</v>
      </c>
      <c r="D26" s="20" t="str">
        <f>IF('DDF Original'!C26="","",'DDF Original'!C26)</f>
        <v/>
      </c>
      <c r="E26" s="24" t="str">
        <f>IF('DDF Original'!B26="","",IF(TRIM('DDF Original'!I26)="",0,'DDF Original'!I26))</f>
        <v/>
      </c>
      <c r="F26" s="20" t="str">
        <f t="shared" si="0"/>
        <v/>
      </c>
      <c r="G26" s="37" t="str">
        <f>IF('DDF Original'!B26="","",IF(TRIM('DDF Original'!P26)="",0,'DDF Original'!P26))</f>
        <v/>
      </c>
      <c r="H26" s="20" t="str">
        <f t="shared" si="1"/>
        <v/>
      </c>
      <c r="I26" s="25" t="str">
        <f t="shared" si="2"/>
        <v/>
      </c>
      <c r="J26" s="20" t="str">
        <f t="shared" si="3"/>
        <v/>
      </c>
      <c r="K26" s="20" t="str">
        <f t="shared" si="4"/>
        <v/>
      </c>
      <c r="L26" s="20" t="str">
        <f>IF(B26="","",70*'DDF Original'!$Q$4)</f>
        <v/>
      </c>
      <c r="M26" s="20" t="str">
        <f t="shared" si="5"/>
        <v/>
      </c>
      <c r="N26" s="20" t="str">
        <f>IF(AND(OR(B26="",J26&gt;G26,M26&gt;G26),'DDF Original'!L26&lt;&gt; "MI"),G26,IF(M26&gt;J26,M26,J26))</f>
        <v/>
      </c>
    </row>
    <row r="27" spans="2:14" x14ac:dyDescent="0.2">
      <c r="B27" s="19" t="str">
        <f>IF('DDF Original'!B27="","",'DDF Original'!B27)</f>
        <v/>
      </c>
      <c r="C27" s="19" t="e">
        <f t="shared" si="6"/>
        <v>#VALUE!</v>
      </c>
      <c r="D27" s="20" t="str">
        <f>IF('DDF Original'!C27="","",'DDF Original'!C27)</f>
        <v/>
      </c>
      <c r="E27" s="24" t="str">
        <f>IF('DDF Original'!B27="","",IF(TRIM('DDF Original'!I27)="",0,'DDF Original'!I27))</f>
        <v/>
      </c>
      <c r="F27" s="20" t="str">
        <f t="shared" si="0"/>
        <v/>
      </c>
      <c r="G27" s="37" t="str">
        <f>IF('DDF Original'!B27="","",IF(TRIM('DDF Original'!P27)="",0,'DDF Original'!P27))</f>
        <v/>
      </c>
      <c r="H27" s="20" t="str">
        <f t="shared" si="1"/>
        <v/>
      </c>
      <c r="I27" s="25" t="str">
        <f t="shared" si="2"/>
        <v/>
      </c>
      <c r="J27" s="20" t="str">
        <f t="shared" si="3"/>
        <v/>
      </c>
      <c r="K27" s="20" t="str">
        <f t="shared" si="4"/>
        <v/>
      </c>
      <c r="L27" s="20" t="str">
        <f>IF(B27="","",70*'DDF Original'!$Q$4)</f>
        <v/>
      </c>
      <c r="M27" s="20" t="str">
        <f t="shared" si="5"/>
        <v/>
      </c>
      <c r="N27" s="20" t="str">
        <f>IF(AND(OR(B27="",J27&gt;G27,M27&gt;G27),'DDF Original'!L27&lt;&gt; "MI"),G27,IF(M27&gt;J27,M27,J27))</f>
        <v/>
      </c>
    </row>
    <row r="28" spans="2:14" x14ac:dyDescent="0.2">
      <c r="B28" s="19" t="str">
        <f>IF('DDF Original'!B28="","",'DDF Original'!B28)</f>
        <v/>
      </c>
      <c r="C28" s="19" t="e">
        <f t="shared" si="6"/>
        <v>#VALUE!</v>
      </c>
      <c r="D28" s="20" t="str">
        <f>IF('DDF Original'!C28="","",'DDF Original'!C28)</f>
        <v/>
      </c>
      <c r="E28" s="24" t="str">
        <f>IF('DDF Original'!B28="","",IF(TRIM('DDF Original'!I28)="",0,'DDF Original'!I28))</f>
        <v/>
      </c>
      <c r="F28" s="20" t="str">
        <f t="shared" si="0"/>
        <v/>
      </c>
      <c r="G28" s="37" t="str">
        <f>IF('DDF Original'!B28="","",IF(TRIM('DDF Original'!P28)="",0,'DDF Original'!P28))</f>
        <v/>
      </c>
      <c r="H28" s="20" t="str">
        <f t="shared" si="1"/>
        <v/>
      </c>
      <c r="I28" s="25" t="str">
        <f t="shared" si="2"/>
        <v/>
      </c>
      <c r="J28" s="20" t="str">
        <f t="shared" si="3"/>
        <v/>
      </c>
      <c r="K28" s="20" t="str">
        <f t="shared" si="4"/>
        <v/>
      </c>
      <c r="L28" s="20" t="str">
        <f>IF(B28="","",70*'DDF Original'!$Q$4)</f>
        <v/>
      </c>
      <c r="M28" s="20" t="str">
        <f t="shared" si="5"/>
        <v/>
      </c>
      <c r="N28" s="20" t="str">
        <f>IF(AND(OR(B28="",J28&gt;G28,M28&gt;G28),'DDF Original'!L28&lt;&gt; "MI"),G28,IF(M28&gt;J28,M28,J28))</f>
        <v/>
      </c>
    </row>
    <row r="29" spans="2:14" x14ac:dyDescent="0.2">
      <c r="B29" s="19" t="str">
        <f>IF('DDF Original'!B29="","",'DDF Original'!B29)</f>
        <v/>
      </c>
      <c r="C29" s="19" t="e">
        <f t="shared" si="6"/>
        <v>#VALUE!</v>
      </c>
      <c r="D29" s="20" t="str">
        <f>IF('DDF Original'!C29="","",'DDF Original'!C29)</f>
        <v/>
      </c>
      <c r="E29" s="24" t="str">
        <f>IF('DDF Original'!B29="","",IF(TRIM('DDF Original'!I29)="",0,'DDF Original'!I29))</f>
        <v/>
      </c>
      <c r="F29" s="20" t="str">
        <f t="shared" si="0"/>
        <v/>
      </c>
      <c r="G29" s="37" t="str">
        <f>IF('DDF Original'!B29="","",IF(TRIM('DDF Original'!P29)="",0,'DDF Original'!P29))</f>
        <v/>
      </c>
      <c r="H29" s="20" t="str">
        <f t="shared" si="1"/>
        <v/>
      </c>
      <c r="I29" s="25" t="str">
        <f t="shared" si="2"/>
        <v/>
      </c>
      <c r="J29" s="20" t="str">
        <f t="shared" si="3"/>
        <v/>
      </c>
      <c r="K29" s="20" t="str">
        <f t="shared" si="4"/>
        <v/>
      </c>
      <c r="L29" s="20" t="str">
        <f>IF(B29="","",70*'DDF Original'!$Q$4)</f>
        <v/>
      </c>
      <c r="M29" s="20" t="str">
        <f t="shared" si="5"/>
        <v/>
      </c>
      <c r="N29" s="20" t="str">
        <f>IF(AND(OR(B29="",J29&gt;G29,M29&gt;G29),'DDF Original'!L29&lt;&gt; "MI"),G29,IF(M29&gt;J29,M29,J29))</f>
        <v/>
      </c>
    </row>
    <row r="30" spans="2:14" x14ac:dyDescent="0.2">
      <c r="B30" s="19" t="str">
        <f>IF('DDF Original'!B30="","",'DDF Original'!B30)</f>
        <v/>
      </c>
      <c r="C30" s="19" t="e">
        <f t="shared" si="6"/>
        <v>#VALUE!</v>
      </c>
      <c r="D30" s="20" t="str">
        <f>IF('DDF Original'!C30="","",'DDF Original'!C30)</f>
        <v/>
      </c>
      <c r="E30" s="24" t="str">
        <f>IF('DDF Original'!B30="","",IF(TRIM('DDF Original'!I30)="",0,'DDF Original'!I30))</f>
        <v/>
      </c>
      <c r="F30" s="20" t="str">
        <f t="shared" si="0"/>
        <v/>
      </c>
      <c r="G30" s="37" t="str">
        <f>IF('DDF Original'!B30="","",IF(TRIM('DDF Original'!P30)="",0,'DDF Original'!P30))</f>
        <v/>
      </c>
      <c r="H30" s="20" t="str">
        <f t="shared" si="1"/>
        <v/>
      </c>
      <c r="I30" s="25" t="str">
        <f t="shared" si="2"/>
        <v/>
      </c>
      <c r="J30" s="20" t="str">
        <f t="shared" si="3"/>
        <v/>
      </c>
      <c r="K30" s="20" t="str">
        <f t="shared" si="4"/>
        <v/>
      </c>
      <c r="L30" s="20" t="str">
        <f>IF(B30="","",70*'DDF Original'!$Q$4)</f>
        <v/>
      </c>
      <c r="M30" s="20" t="str">
        <f t="shared" si="5"/>
        <v/>
      </c>
      <c r="N30" s="20" t="str">
        <f>IF(AND(OR(B30="",J30&gt;G30,M30&gt;G30),'DDF Original'!L30&lt;&gt; "MI"),G30,IF(M30&gt;J30,M30,J30))</f>
        <v/>
      </c>
    </row>
    <row r="31" spans="2:14" x14ac:dyDescent="0.2">
      <c r="B31" s="19" t="str">
        <f>IF('DDF Original'!B31="","",'DDF Original'!B31)</f>
        <v/>
      </c>
      <c r="C31" s="19" t="e">
        <f t="shared" si="6"/>
        <v>#VALUE!</v>
      </c>
      <c r="D31" s="20" t="str">
        <f>IF('DDF Original'!C31="","",'DDF Original'!C31)</f>
        <v/>
      </c>
      <c r="E31" s="24" t="str">
        <f>IF('DDF Original'!B31="","",IF(TRIM('DDF Original'!I31)="",0,'DDF Original'!I31))</f>
        <v/>
      </c>
      <c r="F31" s="20" t="str">
        <f t="shared" si="0"/>
        <v/>
      </c>
      <c r="G31" s="37" t="str">
        <f>IF('DDF Original'!B31="","",IF(TRIM('DDF Original'!P31)="",0,'DDF Original'!P31))</f>
        <v/>
      </c>
      <c r="H31" s="20" t="str">
        <f t="shared" si="1"/>
        <v/>
      </c>
      <c r="I31" s="25" t="str">
        <f t="shared" si="2"/>
        <v/>
      </c>
      <c r="J31" s="20" t="str">
        <f t="shared" si="3"/>
        <v/>
      </c>
      <c r="K31" s="20" t="str">
        <f t="shared" si="4"/>
        <v/>
      </c>
      <c r="L31" s="20" t="str">
        <f>IF(B31="","",70*'DDF Original'!$Q$4)</f>
        <v/>
      </c>
      <c r="M31" s="20" t="str">
        <f t="shared" si="5"/>
        <v/>
      </c>
      <c r="N31" s="20" t="str">
        <f>IF(AND(OR(B31="",J31&gt;G31,M31&gt;G31),'DDF Original'!L31&lt;&gt; "MI"),G31,IF(M31&gt;J31,M31,J31))</f>
        <v/>
      </c>
    </row>
    <row r="32" spans="2:14" x14ac:dyDescent="0.2">
      <c r="B32" s="19" t="str">
        <f>IF('DDF Original'!B32="","",'DDF Original'!B32)</f>
        <v/>
      </c>
      <c r="C32" s="19" t="e">
        <f t="shared" si="6"/>
        <v>#VALUE!</v>
      </c>
      <c r="D32" s="20" t="str">
        <f>IF('DDF Original'!C32="","",'DDF Original'!C32)</f>
        <v/>
      </c>
      <c r="E32" s="24" t="str">
        <f>IF('DDF Original'!B32="","",IF(TRIM('DDF Original'!I32)="",0,'DDF Original'!I32))</f>
        <v/>
      </c>
      <c r="F32" s="20" t="str">
        <f t="shared" si="0"/>
        <v/>
      </c>
      <c r="G32" s="37" t="str">
        <f>IF('DDF Original'!B32="","",IF(TRIM('DDF Original'!P32)="",0,'DDF Original'!P32))</f>
        <v/>
      </c>
      <c r="H32" s="20" t="str">
        <f t="shared" si="1"/>
        <v/>
      </c>
      <c r="I32" s="25" t="str">
        <f t="shared" si="2"/>
        <v/>
      </c>
      <c r="J32" s="20" t="str">
        <f t="shared" si="3"/>
        <v/>
      </c>
      <c r="K32" s="20" t="str">
        <f t="shared" si="4"/>
        <v/>
      </c>
      <c r="L32" s="20" t="str">
        <f>IF(B32="","",70*'DDF Original'!$Q$4)</f>
        <v/>
      </c>
      <c r="M32" s="20" t="str">
        <f t="shared" si="5"/>
        <v/>
      </c>
      <c r="N32" s="20" t="str">
        <f>IF(AND(OR(B32="",J32&gt;G32,M32&gt;G32),'DDF Original'!L32&lt;&gt; "MI"),G32,IF(M32&gt;J32,M32,J32))</f>
        <v/>
      </c>
    </row>
    <row r="33" spans="2:14" x14ac:dyDescent="0.2">
      <c r="B33" s="19" t="str">
        <f>IF('DDF Original'!B33="","",'DDF Original'!B33)</f>
        <v/>
      </c>
      <c r="C33" s="19" t="e">
        <f t="shared" si="6"/>
        <v>#VALUE!</v>
      </c>
      <c r="D33" s="20" t="str">
        <f>IF('DDF Original'!C33="","",'DDF Original'!C33)</f>
        <v/>
      </c>
      <c r="E33" s="24" t="str">
        <f>IF('DDF Original'!B33="","",IF(TRIM('DDF Original'!I33)="",0,'DDF Original'!I33))</f>
        <v/>
      </c>
      <c r="F33" s="20" t="str">
        <f t="shared" si="0"/>
        <v/>
      </c>
      <c r="G33" s="37" t="str">
        <f>IF('DDF Original'!B33="","",IF(TRIM('DDF Original'!P33)="",0,'DDF Original'!P33))</f>
        <v/>
      </c>
      <c r="H33" s="20" t="str">
        <f t="shared" si="1"/>
        <v/>
      </c>
      <c r="I33" s="25" t="str">
        <f t="shared" si="2"/>
        <v/>
      </c>
      <c r="J33" s="20" t="str">
        <f t="shared" si="3"/>
        <v/>
      </c>
      <c r="K33" s="20" t="str">
        <f t="shared" si="4"/>
        <v/>
      </c>
      <c r="L33" s="20" t="str">
        <f>IF(B33="","",70*'DDF Original'!$Q$4)</f>
        <v/>
      </c>
      <c r="M33" s="20" t="str">
        <f t="shared" si="5"/>
        <v/>
      </c>
      <c r="N33" s="20" t="str">
        <f>IF(AND(OR(B33="",J33&gt;G33,M33&gt;G33),'DDF Original'!L33&lt;&gt; "MI"),G33,IF(M33&gt;J33,M33,J33))</f>
        <v/>
      </c>
    </row>
    <row r="34" spans="2:14" x14ac:dyDescent="0.2">
      <c r="B34" s="19" t="str">
        <f>IF('DDF Original'!B34="","",'DDF Original'!B34)</f>
        <v/>
      </c>
      <c r="C34" s="19" t="e">
        <f t="shared" si="6"/>
        <v>#VALUE!</v>
      </c>
      <c r="D34" s="20" t="str">
        <f>IF('DDF Original'!C34="","",'DDF Original'!C34)</f>
        <v/>
      </c>
      <c r="E34" s="24" t="str">
        <f>IF('DDF Original'!B34="","",IF(TRIM('DDF Original'!I34)="",0,'DDF Original'!I34))</f>
        <v/>
      </c>
      <c r="F34" s="20" t="str">
        <f t="shared" si="0"/>
        <v/>
      </c>
      <c r="G34" s="37" t="str">
        <f>IF('DDF Original'!B34="","",IF(TRIM('DDF Original'!P34)="",0,'DDF Original'!P34))</f>
        <v/>
      </c>
      <c r="H34" s="20" t="str">
        <f t="shared" si="1"/>
        <v/>
      </c>
      <c r="I34" s="25" t="str">
        <f t="shared" si="2"/>
        <v/>
      </c>
      <c r="J34" s="20" t="str">
        <f t="shared" si="3"/>
        <v/>
      </c>
      <c r="K34" s="20" t="str">
        <f t="shared" si="4"/>
        <v/>
      </c>
      <c r="L34" s="20" t="str">
        <f>IF(B34="","",70*'DDF Original'!$Q$4)</f>
        <v/>
      </c>
      <c r="M34" s="20" t="str">
        <f t="shared" si="5"/>
        <v/>
      </c>
      <c r="N34" s="20" t="str">
        <f>IF(AND(OR(B34="",J34&gt;G34,M34&gt;G34),'DDF Original'!L34&lt;&gt; "MI"),G34,IF(M34&gt;J34,M34,J34))</f>
        <v/>
      </c>
    </row>
    <row r="35" spans="2:14" x14ac:dyDescent="0.2">
      <c r="B35" s="19" t="str">
        <f>IF('DDF Original'!B35="","",'DDF Original'!B35)</f>
        <v/>
      </c>
      <c r="C35" s="19" t="e">
        <f t="shared" si="6"/>
        <v>#VALUE!</v>
      </c>
      <c r="D35" s="20" t="str">
        <f>IF('DDF Original'!C35="","",'DDF Original'!C35)</f>
        <v/>
      </c>
      <c r="E35" s="24" t="str">
        <f>IF('DDF Original'!B35="","",IF(TRIM('DDF Original'!I35)="",0,'DDF Original'!I35))</f>
        <v/>
      </c>
      <c r="F35" s="20" t="str">
        <f t="shared" si="0"/>
        <v/>
      </c>
      <c r="G35" s="37" t="str">
        <f>IF('DDF Original'!B35="","",IF(TRIM('DDF Original'!P35)="",0,'DDF Original'!P35))</f>
        <v/>
      </c>
      <c r="H35" s="20" t="str">
        <f t="shared" si="1"/>
        <v/>
      </c>
      <c r="I35" s="25" t="str">
        <f t="shared" si="2"/>
        <v/>
      </c>
      <c r="J35" s="20" t="str">
        <f t="shared" si="3"/>
        <v/>
      </c>
      <c r="K35" s="20" t="str">
        <f t="shared" si="4"/>
        <v/>
      </c>
      <c r="L35" s="20" t="str">
        <f>IF(B35="","",70*'DDF Original'!$Q$4)</f>
        <v/>
      </c>
      <c r="M35" s="20" t="str">
        <f t="shared" si="5"/>
        <v/>
      </c>
      <c r="N35" s="20" t="str">
        <f>IF(AND(OR(B35="",J35&gt;G35,M35&gt;G35),'DDF Original'!L35&lt;&gt; "MI"),G35,IF(M35&gt;J35,M35,J35))</f>
        <v/>
      </c>
    </row>
    <row r="36" spans="2:14" x14ac:dyDescent="0.2">
      <c r="B36" s="19" t="str">
        <f>IF('DDF Original'!B36="","",'DDF Original'!B36)</f>
        <v/>
      </c>
      <c r="C36" s="19" t="e">
        <f t="shared" si="6"/>
        <v>#VALUE!</v>
      </c>
      <c r="D36" s="20" t="str">
        <f>IF('DDF Original'!C36="","",'DDF Original'!C36)</f>
        <v/>
      </c>
      <c r="E36" s="24" t="str">
        <f>IF('DDF Original'!B36="","",IF(TRIM('DDF Original'!I36)="",0,'DDF Original'!I36))</f>
        <v/>
      </c>
      <c r="F36" s="20" t="str">
        <f t="shared" si="0"/>
        <v/>
      </c>
      <c r="G36" s="37" t="str">
        <f>IF('DDF Original'!B36="","",IF(TRIM('DDF Original'!P36)="",0,'DDF Original'!P36))</f>
        <v/>
      </c>
      <c r="H36" s="20" t="str">
        <f t="shared" si="1"/>
        <v/>
      </c>
      <c r="I36" s="25" t="str">
        <f t="shared" si="2"/>
        <v/>
      </c>
      <c r="J36" s="20" t="str">
        <f t="shared" si="3"/>
        <v/>
      </c>
      <c r="K36" s="20" t="str">
        <f t="shared" si="4"/>
        <v/>
      </c>
      <c r="L36" s="20" t="str">
        <f>IF(B36="","",70*'DDF Original'!$Q$4)</f>
        <v/>
      </c>
      <c r="M36" s="20" t="str">
        <f t="shared" si="5"/>
        <v/>
      </c>
      <c r="N36" s="20" t="str">
        <f>IF(AND(OR(B36="",J36&gt;G36,M36&gt;G36),'DDF Original'!L36&lt;&gt; "MI"),G36,IF(M36&gt;J36,M36,J36))</f>
        <v/>
      </c>
    </row>
    <row r="37" spans="2:14" x14ac:dyDescent="0.2">
      <c r="B37" s="19" t="str">
        <f>IF('DDF Original'!B37="","",'DDF Original'!B37)</f>
        <v/>
      </c>
      <c r="C37" s="19" t="e">
        <f t="shared" si="6"/>
        <v>#VALUE!</v>
      </c>
      <c r="D37" s="20" t="str">
        <f>IF('DDF Original'!C37="","",'DDF Original'!C37)</f>
        <v/>
      </c>
      <c r="E37" s="24" t="str">
        <f>IF('DDF Original'!B37="","",IF(TRIM('DDF Original'!I37)="",0,'DDF Original'!I37))</f>
        <v/>
      </c>
      <c r="F37" s="20" t="str">
        <f t="shared" si="0"/>
        <v/>
      </c>
      <c r="G37" s="37" t="str">
        <f>IF('DDF Original'!B37="","",IF(TRIM('DDF Original'!P37)="",0,'DDF Original'!P37))</f>
        <v/>
      </c>
      <c r="H37" s="20" t="str">
        <f t="shared" si="1"/>
        <v/>
      </c>
      <c r="I37" s="25" t="str">
        <f t="shared" si="2"/>
        <v/>
      </c>
      <c r="J37" s="20" t="str">
        <f t="shared" si="3"/>
        <v/>
      </c>
      <c r="K37" s="20" t="str">
        <f t="shared" si="4"/>
        <v/>
      </c>
      <c r="L37" s="20" t="str">
        <f>IF(B37="","",70*'DDF Original'!$Q$4)</f>
        <v/>
      </c>
      <c r="M37" s="20" t="str">
        <f t="shared" si="5"/>
        <v/>
      </c>
      <c r="N37" s="20" t="str">
        <f>IF(AND(OR(B37="",J37&gt;G37,M37&gt;G37),'DDF Original'!L37&lt;&gt; "MI"),G37,IF(M37&gt;J37,M37,J37))</f>
        <v/>
      </c>
    </row>
    <row r="38" spans="2:14" x14ac:dyDescent="0.2">
      <c r="B38" s="19" t="str">
        <f>IF('DDF Original'!B38="","",'DDF Original'!B38)</f>
        <v/>
      </c>
      <c r="C38" s="19" t="e">
        <f t="shared" si="6"/>
        <v>#VALUE!</v>
      </c>
      <c r="D38" s="20" t="str">
        <f>IF('DDF Original'!C38="","",'DDF Original'!C38)</f>
        <v/>
      </c>
      <c r="E38" s="24" t="str">
        <f>IF('DDF Original'!B38="","",IF(TRIM('DDF Original'!I38)="",0,'DDF Original'!I38))</f>
        <v/>
      </c>
      <c r="F38" s="20" t="str">
        <f t="shared" si="0"/>
        <v/>
      </c>
      <c r="G38" s="37" t="str">
        <f>IF('DDF Original'!B38="","",IF(TRIM('DDF Original'!P38)="",0,'DDF Original'!P38))</f>
        <v/>
      </c>
      <c r="H38" s="20" t="str">
        <f t="shared" si="1"/>
        <v/>
      </c>
      <c r="I38" s="25" t="str">
        <f t="shared" si="2"/>
        <v/>
      </c>
      <c r="J38" s="20" t="str">
        <f t="shared" si="3"/>
        <v/>
      </c>
      <c r="K38" s="20" t="str">
        <f t="shared" si="4"/>
        <v/>
      </c>
      <c r="L38" s="20" t="str">
        <f>IF(B38="","",70*'DDF Original'!$Q$4)</f>
        <v/>
      </c>
      <c r="M38" s="20" t="str">
        <f t="shared" si="5"/>
        <v/>
      </c>
      <c r="N38" s="20" t="str">
        <f>IF(AND(OR(B38="",J38&gt;G38,M38&gt;G38),'DDF Original'!L38&lt;&gt; "MI"),G38,IF(M38&gt;J38,M38,J38))</f>
        <v/>
      </c>
    </row>
    <row r="39" spans="2:14" x14ac:dyDescent="0.2">
      <c r="B39" s="19" t="str">
        <f>IF('DDF Original'!B39="","",'DDF Original'!B39)</f>
        <v/>
      </c>
      <c r="C39" s="19" t="e">
        <f t="shared" si="6"/>
        <v>#VALUE!</v>
      </c>
      <c r="D39" s="20" t="str">
        <f>IF('DDF Original'!C39="","",'DDF Original'!C39)</f>
        <v/>
      </c>
      <c r="E39" s="24" t="str">
        <f>IF('DDF Original'!B39="","",IF(TRIM('DDF Original'!I39)="",0,'DDF Original'!I39))</f>
        <v/>
      </c>
      <c r="F39" s="20" t="str">
        <f t="shared" si="0"/>
        <v/>
      </c>
      <c r="G39" s="37" t="str">
        <f>IF('DDF Original'!B39="","",IF(TRIM('DDF Original'!P39)="",0,'DDF Original'!P39))</f>
        <v/>
      </c>
      <c r="H39" s="20" t="str">
        <f t="shared" si="1"/>
        <v/>
      </c>
      <c r="I39" s="25" t="str">
        <f t="shared" si="2"/>
        <v/>
      </c>
      <c r="J39" s="20" t="str">
        <f t="shared" si="3"/>
        <v/>
      </c>
      <c r="K39" s="20" t="str">
        <f t="shared" si="4"/>
        <v/>
      </c>
      <c r="L39" s="20" t="str">
        <f>IF(B39="","",70*'DDF Original'!$Q$4)</f>
        <v/>
      </c>
      <c r="M39" s="20" t="str">
        <f t="shared" si="5"/>
        <v/>
      </c>
      <c r="N39" s="20" t="str">
        <f>IF(AND(OR(B39="",J39&gt;G39,M39&gt;G39),'DDF Original'!L39&lt;&gt; "MI"),G39,IF(M39&gt;J39,M39,J39))</f>
        <v/>
      </c>
    </row>
    <row r="40" spans="2:14" x14ac:dyDescent="0.2">
      <c r="B40" s="19" t="str">
        <f>IF('DDF Original'!B40="","",'DDF Original'!B40)</f>
        <v/>
      </c>
      <c r="C40" s="19" t="e">
        <f t="shared" si="6"/>
        <v>#VALUE!</v>
      </c>
      <c r="D40" s="20" t="str">
        <f>IF('DDF Original'!C40="","",'DDF Original'!C40)</f>
        <v/>
      </c>
      <c r="E40" s="24" t="str">
        <f>IF('DDF Original'!B40="","",IF(TRIM('DDF Original'!I40)="",0,'DDF Original'!I40))</f>
        <v/>
      </c>
      <c r="F40" s="20" t="str">
        <f t="shared" si="0"/>
        <v/>
      </c>
      <c r="G40" s="37" t="str">
        <f>IF('DDF Original'!B40="","",IF(TRIM('DDF Original'!P40)="",0,'DDF Original'!P40))</f>
        <v/>
      </c>
      <c r="H40" s="20" t="str">
        <f t="shared" si="1"/>
        <v/>
      </c>
      <c r="I40" s="25" t="str">
        <f t="shared" si="2"/>
        <v/>
      </c>
      <c r="J40" s="20" t="str">
        <f t="shared" si="3"/>
        <v/>
      </c>
      <c r="K40" s="20" t="str">
        <f t="shared" si="4"/>
        <v/>
      </c>
      <c r="L40" s="20" t="str">
        <f>IF(B40="","",70*'DDF Original'!$Q$4)</f>
        <v/>
      </c>
      <c r="M40" s="20" t="str">
        <f t="shared" si="5"/>
        <v/>
      </c>
      <c r="N40" s="20" t="str">
        <f>IF(AND(OR(B40="",J40&gt;G40,M40&gt;G40),'DDF Original'!L40&lt;&gt; "MI"),G40,IF(M40&gt;J40,M40,J40))</f>
        <v/>
      </c>
    </row>
    <row r="41" spans="2:14" x14ac:dyDescent="0.2">
      <c r="B41" s="19" t="str">
        <f>IF('DDF Original'!B41="","",'DDF Original'!B41)</f>
        <v/>
      </c>
      <c r="C41" s="19" t="e">
        <f t="shared" si="6"/>
        <v>#VALUE!</v>
      </c>
      <c r="D41" s="20" t="str">
        <f>IF('DDF Original'!C41="","",'DDF Original'!C41)</f>
        <v/>
      </c>
      <c r="E41" s="24" t="str">
        <f>IF('DDF Original'!B41="","",IF(TRIM('DDF Original'!I41)="",0,'DDF Original'!I41))</f>
        <v/>
      </c>
      <c r="F41" s="20" t="str">
        <f t="shared" si="0"/>
        <v/>
      </c>
      <c r="G41" s="37" t="str">
        <f>IF('DDF Original'!B41="","",IF(TRIM('DDF Original'!P41)="",0,'DDF Original'!P41))</f>
        <v/>
      </c>
      <c r="H41" s="20" t="str">
        <f t="shared" si="1"/>
        <v/>
      </c>
      <c r="I41" s="25" t="str">
        <f t="shared" si="2"/>
        <v/>
      </c>
      <c r="J41" s="20" t="str">
        <f t="shared" si="3"/>
        <v/>
      </c>
      <c r="K41" s="20" t="str">
        <f t="shared" si="4"/>
        <v/>
      </c>
      <c r="L41" s="20" t="str">
        <f>IF(B41="","",70*'DDF Original'!$Q$4)</f>
        <v/>
      </c>
      <c r="M41" s="20" t="str">
        <f t="shared" si="5"/>
        <v/>
      </c>
      <c r="N41" s="20" t="str">
        <f>IF(AND(OR(B41="",J41&gt;G41,M41&gt;G41),'DDF Original'!L41&lt;&gt; "MI"),G41,IF(M41&gt;J41,M41,J41))</f>
        <v/>
      </c>
    </row>
    <row r="42" spans="2:14" x14ac:dyDescent="0.2">
      <c r="B42" s="19" t="str">
        <f>IF('DDF Original'!B42="","",'DDF Original'!B42)</f>
        <v/>
      </c>
      <c r="C42" s="19" t="e">
        <f t="shared" si="6"/>
        <v>#VALUE!</v>
      </c>
      <c r="D42" s="20" t="str">
        <f>IF('DDF Original'!C42="","",'DDF Original'!C42)</f>
        <v/>
      </c>
      <c r="E42" s="24" t="str">
        <f>IF('DDF Original'!B42="","",IF(TRIM('DDF Original'!I42)="",0,'DDF Original'!I42))</f>
        <v/>
      </c>
      <c r="F42" s="20" t="str">
        <f t="shared" si="0"/>
        <v/>
      </c>
      <c r="G42" s="37" t="str">
        <f>IF('DDF Original'!B42="","",IF(TRIM('DDF Original'!P42)="",0,'DDF Original'!P42))</f>
        <v/>
      </c>
      <c r="H42" s="20" t="str">
        <f t="shared" si="1"/>
        <v/>
      </c>
      <c r="I42" s="25" t="str">
        <f t="shared" si="2"/>
        <v/>
      </c>
      <c r="J42" s="20" t="str">
        <f t="shared" si="3"/>
        <v/>
      </c>
      <c r="K42" s="20" t="str">
        <f t="shared" si="4"/>
        <v/>
      </c>
      <c r="L42" s="20" t="str">
        <f>IF(B42="","",70*'DDF Original'!$Q$4)</f>
        <v/>
      </c>
      <c r="M42" s="20" t="str">
        <f t="shared" si="5"/>
        <v/>
      </c>
      <c r="N42" s="20" t="str">
        <f>IF(AND(OR(B42="",J42&gt;G42,M42&gt;G42),'DDF Original'!L42&lt;&gt; "MI"),G42,IF(M42&gt;J42,M42,J42))</f>
        <v/>
      </c>
    </row>
    <row r="43" spans="2:14" x14ac:dyDescent="0.2">
      <c r="B43" s="19" t="str">
        <f>IF('DDF Original'!B43="","",'DDF Original'!B43)</f>
        <v/>
      </c>
      <c r="C43" s="19" t="e">
        <f t="shared" si="6"/>
        <v>#VALUE!</v>
      </c>
      <c r="D43" s="20" t="str">
        <f>IF('DDF Original'!C43="","",'DDF Original'!C43)</f>
        <v/>
      </c>
      <c r="E43" s="24" t="str">
        <f>IF('DDF Original'!B43="","",IF(TRIM('DDF Original'!I43)="",0,'DDF Original'!I43))</f>
        <v/>
      </c>
      <c r="F43" s="20" t="str">
        <f t="shared" si="0"/>
        <v/>
      </c>
      <c r="G43" s="37" t="str">
        <f>IF('DDF Original'!B43="","",IF(TRIM('DDF Original'!P43)="",0,'DDF Original'!P43))</f>
        <v/>
      </c>
      <c r="H43" s="20" t="str">
        <f t="shared" si="1"/>
        <v/>
      </c>
      <c r="I43" s="25" t="str">
        <f t="shared" si="2"/>
        <v/>
      </c>
      <c r="J43" s="20" t="str">
        <f t="shared" si="3"/>
        <v/>
      </c>
      <c r="K43" s="20" t="str">
        <f t="shared" si="4"/>
        <v/>
      </c>
      <c r="L43" s="20" t="str">
        <f>IF(B43="","",70*'DDF Original'!$Q$4)</f>
        <v/>
      </c>
      <c r="M43" s="20" t="str">
        <f t="shared" si="5"/>
        <v/>
      </c>
      <c r="N43" s="20" t="str">
        <f>IF(AND(OR(B43="",J43&gt;G43,M43&gt;G43),'DDF Original'!L43&lt;&gt; "MI"),G43,IF(M43&gt;J43,M43,J43))</f>
        <v/>
      </c>
    </row>
    <row r="44" spans="2:14" x14ac:dyDescent="0.2">
      <c r="B44" s="19" t="str">
        <f>IF('DDF Original'!B44="","",'DDF Original'!B44)</f>
        <v/>
      </c>
      <c r="C44" s="19" t="e">
        <f t="shared" si="6"/>
        <v>#VALUE!</v>
      </c>
      <c r="D44" s="20" t="str">
        <f>IF('DDF Original'!C44="","",'DDF Original'!C44)</f>
        <v/>
      </c>
      <c r="E44" s="24" t="str">
        <f>IF('DDF Original'!B44="","",IF(TRIM('DDF Original'!I44)="",0,'DDF Original'!I44))</f>
        <v/>
      </c>
      <c r="F44" s="20" t="str">
        <f t="shared" si="0"/>
        <v/>
      </c>
      <c r="G44" s="37" t="str">
        <f>IF('DDF Original'!B44="","",IF(TRIM('DDF Original'!P44)="",0,'DDF Original'!P44))</f>
        <v/>
      </c>
      <c r="H44" s="20" t="str">
        <f t="shared" si="1"/>
        <v/>
      </c>
      <c r="I44" s="25" t="str">
        <f t="shared" si="2"/>
        <v/>
      </c>
      <c r="J44" s="20" t="str">
        <f t="shared" si="3"/>
        <v/>
      </c>
      <c r="K44" s="20" t="str">
        <f t="shared" si="4"/>
        <v/>
      </c>
      <c r="L44" s="20" t="str">
        <f>IF(B44="","",70*'DDF Original'!$Q$4)</f>
        <v/>
      </c>
      <c r="M44" s="20" t="str">
        <f t="shared" si="5"/>
        <v/>
      </c>
      <c r="N44" s="20" t="str">
        <f>IF(AND(OR(B44="",J44&gt;G44,M44&gt;G44),'DDF Original'!L44&lt;&gt; "MI"),G44,IF(M44&gt;J44,M44,J44))</f>
        <v/>
      </c>
    </row>
    <row r="45" spans="2:14" x14ac:dyDescent="0.2">
      <c r="B45" s="19" t="str">
        <f>IF('DDF Original'!B45="","",'DDF Original'!B45)</f>
        <v/>
      </c>
      <c r="C45" s="19" t="e">
        <f t="shared" si="6"/>
        <v>#VALUE!</v>
      </c>
      <c r="D45" s="20" t="str">
        <f>IF('DDF Original'!C45="","",'DDF Original'!C45)</f>
        <v/>
      </c>
      <c r="E45" s="24" t="str">
        <f>IF('DDF Original'!B45="","",IF(TRIM('DDF Original'!I45)="",0,'DDF Original'!I45))</f>
        <v/>
      </c>
      <c r="F45" s="20" t="str">
        <f t="shared" si="0"/>
        <v/>
      </c>
      <c r="G45" s="37" t="str">
        <f>IF('DDF Original'!B45="","",IF(TRIM('DDF Original'!P45)="",0,'DDF Original'!P45))</f>
        <v/>
      </c>
      <c r="H45" s="20" t="str">
        <f t="shared" si="1"/>
        <v/>
      </c>
      <c r="I45" s="25" t="str">
        <f t="shared" si="2"/>
        <v/>
      </c>
      <c r="J45" s="20" t="str">
        <f t="shared" si="3"/>
        <v/>
      </c>
      <c r="K45" s="20" t="str">
        <f t="shared" si="4"/>
        <v/>
      </c>
      <c r="L45" s="20" t="str">
        <f>IF(B45="","",70*'DDF Original'!$Q$4)</f>
        <v/>
      </c>
      <c r="M45" s="20" t="str">
        <f t="shared" si="5"/>
        <v/>
      </c>
      <c r="N45" s="20" t="str">
        <f>IF(AND(OR(B45="",J45&gt;G45,M45&gt;G45),'DDF Original'!L45&lt;&gt; "MI"),G45,IF(M45&gt;J45,M45,J45))</f>
        <v/>
      </c>
    </row>
    <row r="46" spans="2:14" x14ac:dyDescent="0.2">
      <c r="B46" s="19" t="str">
        <f>IF('DDF Original'!B46="","",'DDF Original'!B46)</f>
        <v/>
      </c>
      <c r="C46" s="19" t="e">
        <f t="shared" si="6"/>
        <v>#VALUE!</v>
      </c>
      <c r="D46" s="20" t="str">
        <f>IF('DDF Original'!C46="","",'DDF Original'!C46)</f>
        <v/>
      </c>
      <c r="E46" s="24" t="str">
        <f>IF('DDF Original'!B46="","",IF(TRIM('DDF Original'!I46)="",0,'DDF Original'!I46))</f>
        <v/>
      </c>
      <c r="F46" s="20" t="str">
        <f t="shared" si="0"/>
        <v/>
      </c>
      <c r="G46" s="37" t="str">
        <f>IF('DDF Original'!B46="","",IF(TRIM('DDF Original'!P46)="",0,'DDF Original'!P46))</f>
        <v/>
      </c>
      <c r="H46" s="20" t="str">
        <f t="shared" si="1"/>
        <v/>
      </c>
      <c r="I46" s="25" t="str">
        <f t="shared" si="2"/>
        <v/>
      </c>
      <c r="J46" s="20" t="str">
        <f t="shared" si="3"/>
        <v/>
      </c>
      <c r="K46" s="20" t="str">
        <f t="shared" si="4"/>
        <v/>
      </c>
      <c r="L46" s="20" t="str">
        <f>IF(B46="","",70*'DDF Original'!$Q$4)</f>
        <v/>
      </c>
      <c r="M46" s="20" t="str">
        <f t="shared" si="5"/>
        <v/>
      </c>
      <c r="N46" s="20" t="str">
        <f>IF(AND(OR(B46="",J46&gt;G46,M46&gt;G46),'DDF Original'!L46&lt;&gt; "MI"),G46,IF(M46&gt;J46,M46,J46))</f>
        <v/>
      </c>
    </row>
    <row r="47" spans="2:14" x14ac:dyDescent="0.2">
      <c r="B47" s="19" t="str">
        <f>IF('DDF Original'!B47="","",'DDF Original'!B47)</f>
        <v/>
      </c>
      <c r="C47" s="19" t="e">
        <f t="shared" si="6"/>
        <v>#VALUE!</v>
      </c>
      <c r="D47" s="20" t="str">
        <f>IF('DDF Original'!C47="","",'DDF Original'!C47)</f>
        <v/>
      </c>
      <c r="E47" s="24" t="str">
        <f>IF('DDF Original'!B47="","",IF(TRIM('DDF Original'!I47)="",0,'DDF Original'!I47))</f>
        <v/>
      </c>
      <c r="F47" s="20" t="str">
        <f t="shared" si="0"/>
        <v/>
      </c>
      <c r="G47" s="37" t="str">
        <f>IF('DDF Original'!B47="","",IF(TRIM('DDF Original'!P47)="",0,'DDF Original'!P47))</f>
        <v/>
      </c>
      <c r="H47" s="20" t="str">
        <f t="shared" si="1"/>
        <v/>
      </c>
      <c r="I47" s="25" t="str">
        <f t="shared" si="2"/>
        <v/>
      </c>
      <c r="J47" s="20" t="str">
        <f t="shared" si="3"/>
        <v/>
      </c>
      <c r="K47" s="20" t="str">
        <f t="shared" si="4"/>
        <v/>
      </c>
      <c r="L47" s="20" t="str">
        <f>IF(B47="","",70*'DDF Original'!$Q$4)</f>
        <v/>
      </c>
      <c r="M47" s="20" t="str">
        <f t="shared" si="5"/>
        <v/>
      </c>
      <c r="N47" s="20" t="str">
        <f>IF(AND(OR(B47="",J47&gt;G47,M47&gt;G47),'DDF Original'!L47&lt;&gt; "MI"),G47,IF(M47&gt;J47,M47,J47))</f>
        <v/>
      </c>
    </row>
    <row r="48" spans="2:14" x14ac:dyDescent="0.2">
      <c r="B48" s="19" t="str">
        <f>IF('DDF Original'!B48="","",'DDF Original'!B48)</f>
        <v/>
      </c>
      <c r="C48" s="19" t="e">
        <f t="shared" si="6"/>
        <v>#VALUE!</v>
      </c>
      <c r="D48" s="20" t="str">
        <f>IF('DDF Original'!C48="","",'DDF Original'!C48)</f>
        <v/>
      </c>
      <c r="E48" s="24" t="str">
        <f>IF('DDF Original'!B48="","",IF(TRIM('DDF Original'!I48)="",0,'DDF Original'!I48))</f>
        <v/>
      </c>
      <c r="F48" s="20" t="str">
        <f t="shared" si="0"/>
        <v/>
      </c>
      <c r="G48" s="37" t="str">
        <f>IF('DDF Original'!B48="","",IF(TRIM('DDF Original'!P48)="",0,'DDF Original'!P48))</f>
        <v/>
      </c>
      <c r="H48" s="20" t="str">
        <f t="shared" si="1"/>
        <v/>
      </c>
      <c r="I48" s="25" t="str">
        <f t="shared" si="2"/>
        <v/>
      </c>
      <c r="J48" s="20" t="str">
        <f t="shared" si="3"/>
        <v/>
      </c>
      <c r="K48" s="20" t="str">
        <f t="shared" si="4"/>
        <v/>
      </c>
      <c r="L48" s="20" t="str">
        <f>IF(B48="","",70*'DDF Original'!$Q$4)</f>
        <v/>
      </c>
      <c r="M48" s="20" t="str">
        <f t="shared" si="5"/>
        <v/>
      </c>
      <c r="N48" s="20" t="str">
        <f>IF(AND(OR(B48="",J48&gt;G48,M48&gt;G48),'DDF Original'!L48&lt;&gt; "MI"),G48,IF(M48&gt;J48,M48,J48))</f>
        <v/>
      </c>
    </row>
    <row r="49" spans="2:14" x14ac:dyDescent="0.2">
      <c r="B49" s="19" t="str">
        <f>IF('DDF Original'!B49="","",'DDF Original'!B49)</f>
        <v/>
      </c>
      <c r="C49" s="19" t="e">
        <f t="shared" si="6"/>
        <v>#VALUE!</v>
      </c>
      <c r="D49" s="20" t="str">
        <f>IF('DDF Original'!C49="","",'DDF Original'!C49)</f>
        <v/>
      </c>
      <c r="E49" s="24" t="str">
        <f>IF('DDF Original'!B49="","",IF(TRIM('DDF Original'!I49)="",0,'DDF Original'!I49))</f>
        <v/>
      </c>
      <c r="F49" s="20" t="str">
        <f t="shared" si="0"/>
        <v/>
      </c>
      <c r="G49" s="37" t="str">
        <f>IF('DDF Original'!B49="","",IF(TRIM('DDF Original'!P49)="",0,'DDF Original'!P49))</f>
        <v/>
      </c>
      <c r="H49" s="20" t="str">
        <f t="shared" si="1"/>
        <v/>
      </c>
      <c r="I49" s="25" t="str">
        <f t="shared" si="2"/>
        <v/>
      </c>
      <c r="J49" s="20" t="str">
        <f t="shared" si="3"/>
        <v/>
      </c>
      <c r="K49" s="20" t="str">
        <f t="shared" si="4"/>
        <v/>
      </c>
      <c r="L49" s="20" t="str">
        <f>IF(B49="","",70*'DDF Original'!$Q$4)</f>
        <v/>
      </c>
      <c r="M49" s="20" t="str">
        <f t="shared" si="5"/>
        <v/>
      </c>
      <c r="N49" s="20" t="str">
        <f>IF(AND(OR(B49="",J49&gt;G49,M49&gt;G49),'DDF Original'!L49&lt;&gt; "MI"),G49,IF(M49&gt;J49,M49,J49))</f>
        <v/>
      </c>
    </row>
    <row r="50" spans="2:14" x14ac:dyDescent="0.2">
      <c r="B50" s="19" t="str">
        <f>IF('DDF Original'!B50="","",'DDF Original'!B50)</f>
        <v/>
      </c>
      <c r="C50" s="19" t="e">
        <f t="shared" si="6"/>
        <v>#VALUE!</v>
      </c>
      <c r="D50" s="20" t="str">
        <f>IF('DDF Original'!C50="","",'DDF Original'!C50)</f>
        <v/>
      </c>
      <c r="E50" s="24" t="str">
        <f>IF('DDF Original'!B50="","",IF(TRIM('DDF Original'!I50)="",0,'DDF Original'!I50))</f>
        <v/>
      </c>
      <c r="F50" s="20" t="str">
        <f t="shared" si="0"/>
        <v/>
      </c>
      <c r="G50" s="37" t="str">
        <f>IF('DDF Original'!B50="","",IF(TRIM('DDF Original'!P50)="",0,'DDF Original'!P50))</f>
        <v/>
      </c>
      <c r="H50" s="20" t="str">
        <f t="shared" si="1"/>
        <v/>
      </c>
      <c r="I50" s="25" t="str">
        <f t="shared" si="2"/>
        <v/>
      </c>
      <c r="J50" s="20" t="str">
        <f t="shared" si="3"/>
        <v/>
      </c>
      <c r="K50" s="20" t="str">
        <f t="shared" si="4"/>
        <v/>
      </c>
      <c r="L50" s="20" t="str">
        <f>IF(B50="","",70*'DDF Original'!$Q$4)</f>
        <v/>
      </c>
      <c r="M50" s="20" t="str">
        <f t="shared" si="5"/>
        <v/>
      </c>
      <c r="N50" s="20" t="str">
        <f>IF(AND(OR(B50="",J50&gt;G50,M50&gt;G50),'DDF Original'!L50&lt;&gt; "MI"),G50,IF(M50&gt;J50,M50,J50))</f>
        <v/>
      </c>
    </row>
    <row r="51" spans="2:14" x14ac:dyDescent="0.2">
      <c r="B51" s="19" t="str">
        <f>IF('DDF Original'!B51="","",'DDF Original'!B51)</f>
        <v/>
      </c>
      <c r="C51" s="19" t="e">
        <f t="shared" si="6"/>
        <v>#VALUE!</v>
      </c>
      <c r="D51" s="20" t="str">
        <f>IF('DDF Original'!C51="","",'DDF Original'!C51)</f>
        <v/>
      </c>
      <c r="E51" s="24" t="str">
        <f>IF('DDF Original'!B51="","",IF(TRIM('DDF Original'!I51)="",0,'DDF Original'!I51))</f>
        <v/>
      </c>
      <c r="F51" s="20" t="str">
        <f t="shared" si="0"/>
        <v/>
      </c>
      <c r="G51" s="37" t="str">
        <f>IF('DDF Original'!B51="","",IF(TRIM('DDF Original'!P51)="",0,'DDF Original'!P51))</f>
        <v/>
      </c>
      <c r="H51" s="20" t="str">
        <f t="shared" si="1"/>
        <v/>
      </c>
      <c r="I51" s="25" t="str">
        <f t="shared" si="2"/>
        <v/>
      </c>
      <c r="J51" s="20" t="str">
        <f t="shared" si="3"/>
        <v/>
      </c>
      <c r="K51" s="20" t="str">
        <f t="shared" si="4"/>
        <v/>
      </c>
      <c r="L51" s="20" t="str">
        <f>IF(B51="","",70*'DDF Original'!$Q$4)</f>
        <v/>
      </c>
      <c r="M51" s="20" t="str">
        <f t="shared" si="5"/>
        <v/>
      </c>
      <c r="N51" s="20" t="str">
        <f>IF(AND(OR(B51="",J51&gt;G51,M51&gt;G51),'DDF Original'!L51&lt;&gt; "MI"),G51,IF(M51&gt;J51,M51,J51))</f>
        <v/>
      </c>
    </row>
    <row r="52" spans="2:14" x14ac:dyDescent="0.2">
      <c r="B52" s="19" t="str">
        <f>IF('DDF Original'!B52="","",'DDF Original'!B52)</f>
        <v/>
      </c>
      <c r="C52" s="19" t="e">
        <f t="shared" si="6"/>
        <v>#VALUE!</v>
      </c>
      <c r="D52" s="20" t="str">
        <f>IF('DDF Original'!C52="","",'DDF Original'!C52)</f>
        <v/>
      </c>
      <c r="E52" s="24" t="str">
        <f>IF('DDF Original'!B52="","",IF(TRIM('DDF Original'!I52)="",0,'DDF Original'!I52))</f>
        <v/>
      </c>
      <c r="F52" s="20" t="str">
        <f t="shared" si="0"/>
        <v/>
      </c>
      <c r="G52" s="37" t="str">
        <f>IF('DDF Original'!B52="","",IF(TRIM('DDF Original'!P52)="",0,'DDF Original'!P52))</f>
        <v/>
      </c>
      <c r="H52" s="20" t="str">
        <f t="shared" si="1"/>
        <v/>
      </c>
      <c r="I52" s="25" t="str">
        <f t="shared" si="2"/>
        <v/>
      </c>
      <c r="J52" s="20" t="str">
        <f t="shared" si="3"/>
        <v/>
      </c>
      <c r="K52" s="20" t="str">
        <f t="shared" si="4"/>
        <v/>
      </c>
      <c r="L52" s="20" t="str">
        <f>IF(B52="","",70*'DDF Original'!$Q$4)</f>
        <v/>
      </c>
      <c r="M52" s="20" t="str">
        <f t="shared" si="5"/>
        <v/>
      </c>
      <c r="N52" s="20" t="str">
        <f>IF(AND(OR(B52="",J52&gt;G52,M52&gt;G52),'DDF Original'!L52&lt;&gt; "MI"),G52,IF(M52&gt;J52,M52,J52))</f>
        <v/>
      </c>
    </row>
    <row r="53" spans="2:14" x14ac:dyDescent="0.2">
      <c r="B53" s="19" t="str">
        <f>IF('DDF Original'!B53="","",'DDF Original'!B53)</f>
        <v/>
      </c>
      <c r="C53" s="19" t="e">
        <f t="shared" si="6"/>
        <v>#VALUE!</v>
      </c>
      <c r="D53" s="20" t="str">
        <f>IF('DDF Original'!C53="","",'DDF Original'!C53)</f>
        <v/>
      </c>
      <c r="E53" s="24" t="str">
        <f>IF('DDF Original'!B53="","",IF(TRIM('DDF Original'!I53)="",0,'DDF Original'!I53))</f>
        <v/>
      </c>
      <c r="F53" s="20" t="str">
        <f t="shared" si="0"/>
        <v/>
      </c>
      <c r="G53" s="37" t="str">
        <f>IF('DDF Original'!B53="","",IF(TRIM('DDF Original'!P53)="",0,'DDF Original'!P53))</f>
        <v/>
      </c>
      <c r="H53" s="20" t="str">
        <f t="shared" si="1"/>
        <v/>
      </c>
      <c r="I53" s="25" t="str">
        <f t="shared" si="2"/>
        <v/>
      </c>
      <c r="J53" s="20" t="str">
        <f t="shared" si="3"/>
        <v/>
      </c>
      <c r="K53" s="20" t="str">
        <f t="shared" si="4"/>
        <v/>
      </c>
      <c r="L53" s="20" t="str">
        <f>IF(B53="","",70*'DDF Original'!$Q$4)</f>
        <v/>
      </c>
      <c r="M53" s="20" t="str">
        <f t="shared" si="5"/>
        <v/>
      </c>
      <c r="N53" s="20" t="str">
        <f>IF(AND(OR(B53="",J53&gt;G53,M53&gt;G53),'DDF Original'!L53&lt;&gt; "MI"),G53,IF(M53&gt;J53,M53,J53))</f>
        <v/>
      </c>
    </row>
    <row r="54" spans="2:14" x14ac:dyDescent="0.2">
      <c r="B54" s="19" t="str">
        <f>IF('DDF Original'!B54="","",'DDF Original'!B54)</f>
        <v/>
      </c>
      <c r="C54" s="19" t="e">
        <f t="shared" si="6"/>
        <v>#VALUE!</v>
      </c>
      <c r="D54" s="20" t="str">
        <f>IF('DDF Original'!C54="","",'DDF Original'!C54)</f>
        <v/>
      </c>
      <c r="E54" s="24" t="str">
        <f>IF('DDF Original'!B54="","",IF(TRIM('DDF Original'!I54)="",0,'DDF Original'!I54))</f>
        <v/>
      </c>
      <c r="F54" s="20" t="str">
        <f t="shared" si="0"/>
        <v/>
      </c>
      <c r="G54" s="37" t="str">
        <f>IF('DDF Original'!B54="","",IF(TRIM('DDF Original'!P54)="",0,'DDF Original'!P54))</f>
        <v/>
      </c>
      <c r="H54" s="20" t="str">
        <f t="shared" si="1"/>
        <v/>
      </c>
      <c r="I54" s="25" t="str">
        <f t="shared" si="2"/>
        <v/>
      </c>
      <c r="J54" s="20" t="str">
        <f t="shared" si="3"/>
        <v/>
      </c>
      <c r="K54" s="20" t="str">
        <f t="shared" si="4"/>
        <v/>
      </c>
      <c r="L54" s="20" t="str">
        <f>IF(B54="","",70*'DDF Original'!$Q$4)</f>
        <v/>
      </c>
      <c r="M54" s="20" t="str">
        <f t="shared" si="5"/>
        <v/>
      </c>
      <c r="N54" s="20" t="str">
        <f>IF(AND(OR(B54="",J54&gt;G54,M54&gt;G54),'DDF Original'!L54&lt;&gt; "MI"),G54,IF(M54&gt;J54,M54,J54))</f>
        <v/>
      </c>
    </row>
    <row r="55" spans="2:14" x14ac:dyDescent="0.2">
      <c r="B55" s="19" t="str">
        <f>IF('DDF Original'!B55="","",'DDF Original'!B55)</f>
        <v/>
      </c>
      <c r="C55" s="19" t="e">
        <f t="shared" si="6"/>
        <v>#VALUE!</v>
      </c>
      <c r="D55" s="20" t="str">
        <f>IF('DDF Original'!C55="","",'DDF Original'!C55)</f>
        <v/>
      </c>
      <c r="E55" s="24" t="str">
        <f>IF('DDF Original'!B55="","",IF(TRIM('DDF Original'!I55)="",0,'DDF Original'!I55))</f>
        <v/>
      </c>
      <c r="F55" s="20" t="str">
        <f t="shared" si="0"/>
        <v/>
      </c>
      <c r="G55" s="37" t="str">
        <f>IF('DDF Original'!B55="","",IF(TRIM('DDF Original'!P55)="",0,'DDF Original'!P55))</f>
        <v/>
      </c>
      <c r="H55" s="20" t="str">
        <f t="shared" si="1"/>
        <v/>
      </c>
      <c r="I55" s="25" t="str">
        <f t="shared" si="2"/>
        <v/>
      </c>
      <c r="J55" s="20" t="str">
        <f t="shared" si="3"/>
        <v/>
      </c>
      <c r="K55" s="20" t="str">
        <f t="shared" si="4"/>
        <v/>
      </c>
      <c r="L55" s="20" t="str">
        <f>IF(B55="","",70*'DDF Original'!$Q$4)</f>
        <v/>
      </c>
      <c r="M55" s="20" t="str">
        <f t="shared" si="5"/>
        <v/>
      </c>
      <c r="N55" s="20" t="str">
        <f>IF(AND(OR(B55="",J55&gt;G55,M55&gt;G55),'DDF Original'!L55&lt;&gt; "MI"),G55,IF(M55&gt;J55,M55,J55))</f>
        <v/>
      </c>
    </row>
    <row r="56" spans="2:14" x14ac:dyDescent="0.2">
      <c r="B56" s="19" t="str">
        <f>IF('DDF Original'!B56="","",'DDF Original'!B56)</f>
        <v/>
      </c>
      <c r="C56" s="19" t="e">
        <f t="shared" si="6"/>
        <v>#VALUE!</v>
      </c>
      <c r="D56" s="20" t="str">
        <f>IF('DDF Original'!C56="","",'DDF Original'!C56)</f>
        <v/>
      </c>
      <c r="E56" s="24" t="str">
        <f>IF('DDF Original'!B56="","",IF(TRIM('DDF Original'!I56)="",0,'DDF Original'!I56))</f>
        <v/>
      </c>
      <c r="F56" s="20" t="str">
        <f t="shared" si="0"/>
        <v/>
      </c>
      <c r="G56" s="37" t="str">
        <f>IF('DDF Original'!B56="","",IF(TRIM('DDF Original'!P56)="",0,'DDF Original'!P56))</f>
        <v/>
      </c>
      <c r="H56" s="20" t="str">
        <f t="shared" si="1"/>
        <v/>
      </c>
      <c r="I56" s="25" t="str">
        <f t="shared" si="2"/>
        <v/>
      </c>
      <c r="J56" s="20" t="str">
        <f t="shared" si="3"/>
        <v/>
      </c>
      <c r="K56" s="20" t="str">
        <f t="shared" si="4"/>
        <v/>
      </c>
      <c r="L56" s="20" t="str">
        <f>IF(B56="","",70*'DDF Original'!$Q$4)</f>
        <v/>
      </c>
      <c r="M56" s="20" t="str">
        <f t="shared" si="5"/>
        <v/>
      </c>
      <c r="N56" s="20" t="str">
        <f>IF(AND(OR(B56="",J56&gt;G56,M56&gt;G56),'DDF Original'!L56&lt;&gt; "MI"),G56,IF(M56&gt;J56,M56,J56))</f>
        <v/>
      </c>
    </row>
    <row r="57" spans="2:14" x14ac:dyDescent="0.2">
      <c r="B57" s="19" t="str">
        <f>IF('DDF Original'!B57="","",'DDF Original'!B57)</f>
        <v/>
      </c>
      <c r="C57" s="19" t="e">
        <f t="shared" si="6"/>
        <v>#VALUE!</v>
      </c>
      <c r="D57" s="20" t="str">
        <f>IF('DDF Original'!C57="","",'DDF Original'!C57)</f>
        <v/>
      </c>
      <c r="E57" s="24" t="str">
        <f>IF('DDF Original'!B57="","",IF(TRIM('DDF Original'!I57)="",0,'DDF Original'!I57))</f>
        <v/>
      </c>
      <c r="F57" s="20" t="str">
        <f t="shared" si="0"/>
        <v/>
      </c>
      <c r="G57" s="37" t="str">
        <f>IF('DDF Original'!B57="","",IF(TRIM('DDF Original'!P57)="",0,'DDF Original'!P57))</f>
        <v/>
      </c>
      <c r="H57" s="20" t="str">
        <f t="shared" si="1"/>
        <v/>
      </c>
      <c r="I57" s="25" t="str">
        <f t="shared" si="2"/>
        <v/>
      </c>
      <c r="J57" s="20" t="str">
        <f t="shared" si="3"/>
        <v/>
      </c>
      <c r="K57" s="20" t="str">
        <f t="shared" si="4"/>
        <v/>
      </c>
      <c r="L57" s="20" t="str">
        <f>IF(B57="","",70*'DDF Original'!$Q$4)</f>
        <v/>
      </c>
      <c r="M57" s="20" t="str">
        <f t="shared" si="5"/>
        <v/>
      </c>
      <c r="N57" s="20" t="str">
        <f>IF(AND(OR(B57="",J57&gt;G57,M57&gt;G57),'DDF Original'!L57&lt;&gt; "MI"),G57,IF(M57&gt;J57,M57,J57))</f>
        <v/>
      </c>
    </row>
    <row r="58" spans="2:14" x14ac:dyDescent="0.2">
      <c r="B58" s="19" t="str">
        <f>IF('DDF Original'!B58="","",'DDF Original'!B58)</f>
        <v/>
      </c>
      <c r="C58" s="19" t="e">
        <f t="shared" si="6"/>
        <v>#VALUE!</v>
      </c>
      <c r="D58" s="20" t="str">
        <f>IF('DDF Original'!C58="","",'DDF Original'!C58)</f>
        <v/>
      </c>
      <c r="E58" s="24" t="str">
        <f>IF('DDF Original'!B58="","",IF(TRIM('DDF Original'!I58)="",0,'DDF Original'!I58))</f>
        <v/>
      </c>
      <c r="F58" s="20" t="str">
        <f t="shared" si="0"/>
        <v/>
      </c>
      <c r="G58" s="37" t="str">
        <f>IF('DDF Original'!B58="","",IF(TRIM('DDF Original'!P58)="",0,'DDF Original'!P58))</f>
        <v/>
      </c>
      <c r="H58" s="20" t="str">
        <f t="shared" si="1"/>
        <v/>
      </c>
      <c r="I58" s="25" t="str">
        <f t="shared" si="2"/>
        <v/>
      </c>
      <c r="J58" s="20" t="str">
        <f t="shared" si="3"/>
        <v/>
      </c>
      <c r="K58" s="20" t="str">
        <f t="shared" si="4"/>
        <v/>
      </c>
      <c r="L58" s="20" t="str">
        <f>IF(B58="","",70*'DDF Original'!$Q$4)</f>
        <v/>
      </c>
      <c r="M58" s="20" t="str">
        <f t="shared" si="5"/>
        <v/>
      </c>
      <c r="N58" s="20" t="str">
        <f>IF(AND(OR(B58="",J58&gt;G58,M58&gt;G58),'DDF Original'!L58&lt;&gt; "MI"),G58,IF(M58&gt;J58,M58,J58))</f>
        <v/>
      </c>
    </row>
    <row r="59" spans="2:14" x14ac:dyDescent="0.2">
      <c r="B59" s="19" t="str">
        <f>IF('DDF Original'!B59="","",'DDF Original'!B59)</f>
        <v/>
      </c>
      <c r="C59" s="19" t="e">
        <f t="shared" si="6"/>
        <v>#VALUE!</v>
      </c>
      <c r="D59" s="20" t="str">
        <f>IF('DDF Original'!C59="","",'DDF Original'!C59)</f>
        <v/>
      </c>
      <c r="E59" s="24" t="str">
        <f>IF('DDF Original'!B59="","",IF(TRIM('DDF Original'!I59)="",0,'DDF Original'!I59))</f>
        <v/>
      </c>
      <c r="F59" s="20" t="str">
        <f t="shared" si="0"/>
        <v/>
      </c>
      <c r="G59" s="37" t="str">
        <f>IF('DDF Original'!B59="","",IF(TRIM('DDF Original'!P59)="",0,'DDF Original'!P59))</f>
        <v/>
      </c>
      <c r="H59" s="20" t="str">
        <f t="shared" si="1"/>
        <v/>
      </c>
      <c r="I59" s="25" t="str">
        <f t="shared" si="2"/>
        <v/>
      </c>
      <c r="J59" s="20" t="str">
        <f t="shared" si="3"/>
        <v/>
      </c>
      <c r="K59" s="20" t="str">
        <f t="shared" si="4"/>
        <v/>
      </c>
      <c r="L59" s="20" t="str">
        <f>IF(B59="","",70*'DDF Original'!$Q$4)</f>
        <v/>
      </c>
      <c r="M59" s="20" t="str">
        <f t="shared" si="5"/>
        <v/>
      </c>
      <c r="N59" s="20" t="str">
        <f>IF(AND(OR(B59="",J59&gt;G59,M59&gt;G59),'DDF Original'!L59&lt;&gt; "MI"),G59,IF(M59&gt;J59,M59,J59))</f>
        <v/>
      </c>
    </row>
    <row r="60" spans="2:14" x14ac:dyDescent="0.2">
      <c r="B60" s="19" t="str">
        <f>IF('DDF Original'!B60="","",'DDF Original'!B60)</f>
        <v/>
      </c>
      <c r="C60" s="19" t="e">
        <f t="shared" si="6"/>
        <v>#VALUE!</v>
      </c>
      <c r="D60" s="20" t="str">
        <f>IF('DDF Original'!C60="","",'DDF Original'!C60)</f>
        <v/>
      </c>
      <c r="E60" s="24" t="str">
        <f>IF('DDF Original'!B60="","",IF(TRIM('DDF Original'!I60)="",0,'DDF Original'!I60))</f>
        <v/>
      </c>
      <c r="F60" s="20" t="str">
        <f t="shared" si="0"/>
        <v/>
      </c>
      <c r="G60" s="37" t="str">
        <f>IF('DDF Original'!B60="","",IF(TRIM('DDF Original'!P60)="",0,'DDF Original'!P60))</f>
        <v/>
      </c>
      <c r="H60" s="20" t="str">
        <f t="shared" si="1"/>
        <v/>
      </c>
      <c r="I60" s="25" t="str">
        <f t="shared" si="2"/>
        <v/>
      </c>
      <c r="J60" s="20" t="str">
        <f t="shared" si="3"/>
        <v/>
      </c>
      <c r="K60" s="20" t="str">
        <f t="shared" si="4"/>
        <v/>
      </c>
      <c r="L60" s="20" t="str">
        <f>IF(B60="","",70*'DDF Original'!$Q$4)</f>
        <v/>
      </c>
      <c r="M60" s="20" t="str">
        <f t="shared" si="5"/>
        <v/>
      </c>
      <c r="N60" s="20" t="str">
        <f>IF(AND(OR(B60="",J60&gt;G60,M60&gt;G60),'DDF Original'!L60&lt;&gt; "MI"),G60,IF(M60&gt;J60,M60,J60))</f>
        <v/>
      </c>
    </row>
    <row r="61" spans="2:14" x14ac:dyDescent="0.2">
      <c r="B61" s="19" t="str">
        <f>IF('DDF Original'!B61="","",'DDF Original'!B61)</f>
        <v/>
      </c>
      <c r="C61" s="19" t="e">
        <f t="shared" si="6"/>
        <v>#VALUE!</v>
      </c>
      <c r="D61" s="20" t="str">
        <f>IF('DDF Original'!C61="","",'DDF Original'!C61)</f>
        <v/>
      </c>
      <c r="E61" s="24" t="str">
        <f>IF('DDF Original'!B61="","",IF(TRIM('DDF Original'!I61)="",0,'DDF Original'!I61))</f>
        <v/>
      </c>
      <c r="F61" s="20" t="str">
        <f t="shared" si="0"/>
        <v/>
      </c>
      <c r="G61" s="37" t="str">
        <f>IF('DDF Original'!B61="","",IF(TRIM('DDF Original'!P61)="",0,'DDF Original'!P61))</f>
        <v/>
      </c>
      <c r="H61" s="20" t="str">
        <f t="shared" si="1"/>
        <v/>
      </c>
      <c r="I61" s="25" t="str">
        <f t="shared" si="2"/>
        <v/>
      </c>
      <c r="J61" s="20" t="str">
        <f t="shared" si="3"/>
        <v/>
      </c>
      <c r="K61" s="20" t="str">
        <f t="shared" si="4"/>
        <v/>
      </c>
      <c r="L61" s="20" t="str">
        <f>IF(B61="","",70*'DDF Original'!$Q$4)</f>
        <v/>
      </c>
      <c r="M61" s="20" t="str">
        <f t="shared" si="5"/>
        <v/>
      </c>
      <c r="N61" s="20" t="str">
        <f>IF(AND(OR(B61="",J61&gt;G61,M61&gt;G61),'DDF Original'!L61&lt;&gt; "MI"),G61,IF(M61&gt;J61,M61,J61))</f>
        <v/>
      </c>
    </row>
    <row r="62" spans="2:14" x14ac:dyDescent="0.2">
      <c r="B62" s="19" t="str">
        <f>IF('DDF Original'!B62="","",'DDF Original'!B62)</f>
        <v/>
      </c>
      <c r="C62" s="19" t="e">
        <f t="shared" si="6"/>
        <v>#VALUE!</v>
      </c>
      <c r="D62" s="20" t="str">
        <f>IF('DDF Original'!C62="","",'DDF Original'!C62)</f>
        <v/>
      </c>
      <c r="E62" s="24" t="str">
        <f>IF('DDF Original'!B62="","",IF(TRIM('DDF Original'!I62)="",0,'DDF Original'!I62))</f>
        <v/>
      </c>
      <c r="F62" s="20" t="str">
        <f t="shared" si="0"/>
        <v/>
      </c>
      <c r="G62" s="37" t="str">
        <f>IF('DDF Original'!B62="","",IF(TRIM('DDF Original'!P62)="",0,'DDF Original'!P62))</f>
        <v/>
      </c>
      <c r="H62" s="20" t="str">
        <f t="shared" si="1"/>
        <v/>
      </c>
      <c r="I62" s="25" t="str">
        <f t="shared" si="2"/>
        <v/>
      </c>
      <c r="J62" s="20" t="str">
        <f t="shared" si="3"/>
        <v/>
      </c>
      <c r="K62" s="20" t="str">
        <f t="shared" si="4"/>
        <v/>
      </c>
      <c r="L62" s="20" t="str">
        <f>IF(B62="","",70*'DDF Original'!$Q$4)</f>
        <v/>
      </c>
      <c r="M62" s="20" t="str">
        <f t="shared" si="5"/>
        <v/>
      </c>
      <c r="N62" s="20" t="str">
        <f>IF(AND(OR(B62="",J62&gt;G62,M62&gt;G62),'DDF Original'!L62&lt;&gt; "MI"),G62,IF(M62&gt;J62,M62,J62))</f>
        <v/>
      </c>
    </row>
    <row r="63" spans="2:14" x14ac:dyDescent="0.2">
      <c r="B63" s="19" t="str">
        <f>IF('DDF Original'!B63="","",'DDF Original'!B63)</f>
        <v/>
      </c>
      <c r="C63" s="19" t="e">
        <f t="shared" si="6"/>
        <v>#VALUE!</v>
      </c>
      <c r="D63" s="20" t="str">
        <f>IF('DDF Original'!C63="","",'DDF Original'!C63)</f>
        <v/>
      </c>
      <c r="E63" s="24" t="str">
        <f>IF('DDF Original'!B63="","",IF(TRIM('DDF Original'!I63)="",0,'DDF Original'!I63))</f>
        <v/>
      </c>
      <c r="F63" s="20" t="str">
        <f t="shared" si="0"/>
        <v/>
      </c>
      <c r="G63" s="37" t="str">
        <f>IF('DDF Original'!B63="","",IF(TRIM('DDF Original'!P63)="",0,'DDF Original'!P63))</f>
        <v/>
      </c>
      <c r="H63" s="20" t="str">
        <f t="shared" si="1"/>
        <v/>
      </c>
      <c r="I63" s="25" t="str">
        <f t="shared" si="2"/>
        <v/>
      </c>
      <c r="J63" s="20" t="str">
        <f t="shared" si="3"/>
        <v/>
      </c>
      <c r="K63" s="20" t="str">
        <f t="shared" si="4"/>
        <v/>
      </c>
      <c r="L63" s="20" t="str">
        <f>IF(B63="","",70*'DDF Original'!$Q$4)</f>
        <v/>
      </c>
      <c r="M63" s="20" t="str">
        <f t="shared" si="5"/>
        <v/>
      </c>
      <c r="N63" s="20" t="str">
        <f>IF(AND(OR(B63="",J63&gt;G63,M63&gt;G63),'DDF Original'!L63&lt;&gt; "MI"),G63,IF(M63&gt;J63,M63,J63))</f>
        <v/>
      </c>
    </row>
    <row r="64" spans="2:14" x14ac:dyDescent="0.2">
      <c r="B64" s="19" t="str">
        <f>IF('DDF Original'!B64="","",'DDF Original'!B64)</f>
        <v/>
      </c>
      <c r="C64" s="19" t="e">
        <f t="shared" si="6"/>
        <v>#VALUE!</v>
      </c>
      <c r="D64" s="20" t="str">
        <f>IF('DDF Original'!C64="","",'DDF Original'!C64)</f>
        <v/>
      </c>
      <c r="E64" s="24" t="str">
        <f>IF('DDF Original'!B64="","",IF(TRIM('DDF Original'!I64)="",0,'DDF Original'!I64))</f>
        <v/>
      </c>
      <c r="F64" s="20" t="str">
        <f t="shared" si="0"/>
        <v/>
      </c>
      <c r="G64" s="37" t="str">
        <f>IF('DDF Original'!B64="","",IF(TRIM('DDF Original'!P64)="",0,'DDF Original'!P64))</f>
        <v/>
      </c>
      <c r="H64" s="20" t="str">
        <f t="shared" si="1"/>
        <v/>
      </c>
      <c r="I64" s="25" t="str">
        <f t="shared" si="2"/>
        <v/>
      </c>
      <c r="J64" s="20" t="str">
        <f t="shared" si="3"/>
        <v/>
      </c>
      <c r="K64" s="20" t="str">
        <f t="shared" si="4"/>
        <v/>
      </c>
      <c r="L64" s="20" t="str">
        <f>IF(B64="","",70*'DDF Original'!$Q$4)</f>
        <v/>
      </c>
      <c r="M64" s="20" t="str">
        <f t="shared" si="5"/>
        <v/>
      </c>
      <c r="N64" s="20" t="str">
        <f>IF(AND(OR(B64="",J64&gt;G64,M64&gt;G64),'DDF Original'!L64&lt;&gt; "MI"),G64,IF(M64&gt;J64,M64,J64))</f>
        <v/>
      </c>
    </row>
    <row r="65" spans="2:14" x14ac:dyDescent="0.2">
      <c r="B65" s="19" t="str">
        <f>IF('DDF Original'!B65="","",'DDF Original'!B65)</f>
        <v/>
      </c>
      <c r="C65" s="19" t="e">
        <f t="shared" si="6"/>
        <v>#VALUE!</v>
      </c>
      <c r="D65" s="20" t="str">
        <f>IF('DDF Original'!C65="","",'DDF Original'!C65)</f>
        <v/>
      </c>
      <c r="E65" s="24" t="str">
        <f>IF('DDF Original'!B65="","",IF(TRIM('DDF Original'!I65)="",0,'DDF Original'!I65))</f>
        <v/>
      </c>
      <c r="F65" s="20" t="str">
        <f t="shared" si="0"/>
        <v/>
      </c>
      <c r="G65" s="37" t="str">
        <f>IF('DDF Original'!B65="","",IF(TRIM('DDF Original'!P65)="",0,'DDF Original'!P65))</f>
        <v/>
      </c>
      <c r="H65" s="20" t="str">
        <f t="shared" si="1"/>
        <v/>
      </c>
      <c r="I65" s="25" t="str">
        <f t="shared" si="2"/>
        <v/>
      </c>
      <c r="J65" s="20" t="str">
        <f t="shared" si="3"/>
        <v/>
      </c>
      <c r="K65" s="20" t="str">
        <f t="shared" si="4"/>
        <v/>
      </c>
      <c r="L65" s="20" t="str">
        <f>IF(B65="","",70*'DDF Original'!$Q$4)</f>
        <v/>
      </c>
      <c r="M65" s="20" t="str">
        <f t="shared" si="5"/>
        <v/>
      </c>
      <c r="N65" s="20" t="str">
        <f>IF(AND(OR(B65="",J65&gt;G65,M65&gt;G65),'DDF Original'!L65&lt;&gt; "MI"),G65,IF(M65&gt;J65,M65,J65))</f>
        <v/>
      </c>
    </row>
    <row r="66" spans="2:14" x14ac:dyDescent="0.2">
      <c r="B66" s="19" t="str">
        <f>IF('DDF Original'!B66="","",'DDF Original'!B66)</f>
        <v/>
      </c>
      <c r="C66" s="19" t="e">
        <f t="shared" si="6"/>
        <v>#VALUE!</v>
      </c>
      <c r="D66" s="20" t="str">
        <f>IF('DDF Original'!C66="","",'DDF Original'!C66)</f>
        <v/>
      </c>
      <c r="E66" s="24" t="str">
        <f>IF('DDF Original'!B66="","",IF(TRIM('DDF Original'!I66)="",0,'DDF Original'!I66))</f>
        <v/>
      </c>
      <c r="F66" s="20" t="str">
        <f t="shared" si="0"/>
        <v/>
      </c>
      <c r="G66" s="37" t="str">
        <f>IF('DDF Original'!B66="","",IF(TRIM('DDF Original'!P66)="",0,'DDF Original'!P66))</f>
        <v/>
      </c>
      <c r="H66" s="20" t="str">
        <f t="shared" si="1"/>
        <v/>
      </c>
      <c r="I66" s="25" t="str">
        <f t="shared" si="2"/>
        <v/>
      </c>
      <c r="J66" s="20" t="str">
        <f t="shared" si="3"/>
        <v/>
      </c>
      <c r="K66" s="20" t="str">
        <f t="shared" si="4"/>
        <v/>
      </c>
      <c r="L66" s="20" t="str">
        <f>IF(B66="","",70*'DDF Original'!$Q$4)</f>
        <v/>
      </c>
      <c r="M66" s="20" t="str">
        <f t="shared" si="5"/>
        <v/>
      </c>
      <c r="N66" s="20" t="str">
        <f>IF(AND(OR(B66="",J66&gt;G66,M66&gt;G66),'DDF Original'!L66&lt;&gt; "MI"),G66,IF(M66&gt;J66,M66,J66))</f>
        <v/>
      </c>
    </row>
    <row r="67" spans="2:14" x14ac:dyDescent="0.2">
      <c r="B67" s="19" t="str">
        <f>IF('DDF Original'!B67="","",'DDF Original'!B67)</f>
        <v/>
      </c>
      <c r="C67" s="19" t="e">
        <f t="shared" si="6"/>
        <v>#VALUE!</v>
      </c>
      <c r="D67" s="20" t="str">
        <f>IF('DDF Original'!C67="","",'DDF Original'!C67)</f>
        <v/>
      </c>
      <c r="E67" s="24" t="str">
        <f>IF('DDF Original'!B67="","",IF(TRIM('DDF Original'!I67)="",0,'DDF Original'!I67))</f>
        <v/>
      </c>
      <c r="F67" s="20" t="str">
        <f t="shared" si="0"/>
        <v/>
      </c>
      <c r="G67" s="37" t="str">
        <f>IF('DDF Original'!B67="","",IF(TRIM('DDF Original'!P67)="",0,'DDF Original'!P67))</f>
        <v/>
      </c>
      <c r="H67" s="20" t="str">
        <f t="shared" si="1"/>
        <v/>
      </c>
      <c r="I67" s="25" t="str">
        <f t="shared" si="2"/>
        <v/>
      </c>
      <c r="J67" s="20" t="str">
        <f t="shared" si="3"/>
        <v/>
      </c>
      <c r="K67" s="20" t="str">
        <f t="shared" si="4"/>
        <v/>
      </c>
      <c r="L67" s="20" t="str">
        <f>IF(B67="","",70*'DDF Original'!$Q$4)</f>
        <v/>
      </c>
      <c r="M67" s="20" t="str">
        <f t="shared" si="5"/>
        <v/>
      </c>
      <c r="N67" s="20" t="str">
        <f>IF(AND(OR(B67="",J67&gt;G67,M67&gt;G67),'DDF Original'!L67&lt;&gt; "MI"),G67,IF(M67&gt;J67,M67,J67))</f>
        <v/>
      </c>
    </row>
    <row r="68" spans="2:14" x14ac:dyDescent="0.2">
      <c r="B68" s="19" t="str">
        <f>IF('DDF Original'!B68="","",'DDF Original'!B68)</f>
        <v/>
      </c>
      <c r="C68" s="19" t="e">
        <f t="shared" si="6"/>
        <v>#VALUE!</v>
      </c>
      <c r="D68" s="20" t="str">
        <f>IF('DDF Original'!C68="","",'DDF Original'!C68)</f>
        <v/>
      </c>
      <c r="E68" s="24" t="str">
        <f>IF('DDF Original'!B68="","",IF(TRIM('DDF Original'!I68)="",0,'DDF Original'!I68))</f>
        <v/>
      </c>
      <c r="F68" s="20" t="str">
        <f t="shared" si="0"/>
        <v/>
      </c>
      <c r="G68" s="37" t="str">
        <f>IF('DDF Original'!B68="","",IF(TRIM('DDF Original'!P68)="",0,'DDF Original'!P68))</f>
        <v/>
      </c>
      <c r="H68" s="20" t="str">
        <f t="shared" si="1"/>
        <v/>
      </c>
      <c r="I68" s="25" t="str">
        <f t="shared" si="2"/>
        <v/>
      </c>
      <c r="J68" s="20" t="str">
        <f t="shared" si="3"/>
        <v/>
      </c>
      <c r="K68" s="20" t="str">
        <f t="shared" si="4"/>
        <v/>
      </c>
      <c r="L68" s="20" t="str">
        <f>IF(B68="","",70*'DDF Original'!$Q$4)</f>
        <v/>
      </c>
      <c r="M68" s="20" t="str">
        <f t="shared" si="5"/>
        <v/>
      </c>
      <c r="N68" s="20" t="str">
        <f>IF(AND(OR(B68="",J68&gt;G68,M68&gt;G68),'DDF Original'!L68&lt;&gt; "MI"),G68,IF(M68&gt;J68,M68,J68))</f>
        <v/>
      </c>
    </row>
    <row r="69" spans="2:14" x14ac:dyDescent="0.2">
      <c r="B69" s="19" t="str">
        <f>IF('DDF Original'!B69="","",'DDF Original'!B69)</f>
        <v/>
      </c>
      <c r="C69" s="19" t="e">
        <f t="shared" si="6"/>
        <v>#VALUE!</v>
      </c>
      <c r="D69" s="20" t="str">
        <f>IF('DDF Original'!C69="","",'DDF Original'!C69)</f>
        <v/>
      </c>
      <c r="E69" s="24" t="str">
        <f>IF('DDF Original'!B69="","",IF(TRIM('DDF Original'!I69)="",0,'DDF Original'!I69))</f>
        <v/>
      </c>
      <c r="F69" s="20" t="str">
        <f t="shared" si="0"/>
        <v/>
      </c>
      <c r="G69" s="37" t="str">
        <f>IF('DDF Original'!B69="","",IF(TRIM('DDF Original'!P69)="",0,'DDF Original'!P69))</f>
        <v/>
      </c>
      <c r="H69" s="20" t="str">
        <f t="shared" si="1"/>
        <v/>
      </c>
      <c r="I69" s="25" t="str">
        <f t="shared" si="2"/>
        <v/>
      </c>
      <c r="J69" s="20" t="str">
        <f t="shared" si="3"/>
        <v/>
      </c>
      <c r="K69" s="20" t="str">
        <f t="shared" si="4"/>
        <v/>
      </c>
      <c r="L69" s="20" t="str">
        <f>IF(B69="","",70*'DDF Original'!$Q$4)</f>
        <v/>
      </c>
      <c r="M69" s="20" t="str">
        <f t="shared" si="5"/>
        <v/>
      </c>
      <c r="N69" s="20" t="str">
        <f>IF(AND(OR(B69="",J69&gt;G69,M69&gt;G69),'DDF Original'!L69&lt;&gt; "MI"),G69,IF(M69&gt;J69,M69,J69))</f>
        <v/>
      </c>
    </row>
    <row r="70" spans="2:14" x14ac:dyDescent="0.2">
      <c r="B70" s="19" t="str">
        <f>IF('DDF Original'!B70="","",'DDF Original'!B70)</f>
        <v/>
      </c>
      <c r="C70" s="19" t="e">
        <f t="shared" si="6"/>
        <v>#VALUE!</v>
      </c>
      <c r="D70" s="20" t="str">
        <f>IF('DDF Original'!C70="","",'DDF Original'!C70)</f>
        <v/>
      </c>
      <c r="E70" s="24" t="str">
        <f>IF('DDF Original'!B70="","",IF(TRIM('DDF Original'!I70)="",0,'DDF Original'!I70))</f>
        <v/>
      </c>
      <c r="F70" s="20" t="str">
        <f t="shared" si="0"/>
        <v/>
      </c>
      <c r="G70" s="37" t="str">
        <f>IF('DDF Original'!B70="","",IF(TRIM('DDF Original'!P70)="",0,'DDF Original'!P70))</f>
        <v/>
      </c>
      <c r="H70" s="20" t="str">
        <f t="shared" si="1"/>
        <v/>
      </c>
      <c r="I70" s="25" t="str">
        <f t="shared" si="2"/>
        <v/>
      </c>
      <c r="J70" s="20" t="str">
        <f t="shared" si="3"/>
        <v/>
      </c>
      <c r="K70" s="20" t="str">
        <f t="shared" si="4"/>
        <v/>
      </c>
      <c r="L70" s="20" t="str">
        <f>IF(B70="","",70*'DDF Original'!$Q$4)</f>
        <v/>
      </c>
      <c r="M70" s="20" t="str">
        <f t="shared" si="5"/>
        <v/>
      </c>
      <c r="N70" s="20" t="str">
        <f>IF(AND(OR(B70="",J70&gt;G70,M70&gt;G70),'DDF Original'!L70&lt;&gt; "MI"),G70,IF(M70&gt;J70,M70,J70))</f>
        <v/>
      </c>
    </row>
    <row r="71" spans="2:14" x14ac:dyDescent="0.2">
      <c r="B71" s="19" t="str">
        <f>IF('DDF Original'!B71="","",'DDF Original'!B71)</f>
        <v/>
      </c>
      <c r="C71" s="19" t="e">
        <f t="shared" si="6"/>
        <v>#VALUE!</v>
      </c>
      <c r="D71" s="20" t="str">
        <f>IF('DDF Original'!C71="","",'DDF Original'!C71)</f>
        <v/>
      </c>
      <c r="E71" s="24" t="str">
        <f>IF('DDF Original'!B71="","",IF(TRIM('DDF Original'!I71)="",0,'DDF Original'!I71))</f>
        <v/>
      </c>
      <c r="F71" s="20" t="str">
        <f t="shared" si="0"/>
        <v/>
      </c>
      <c r="G71" s="37" t="str">
        <f>IF('DDF Original'!B71="","",IF(TRIM('DDF Original'!P71)="",0,'DDF Original'!P71))</f>
        <v/>
      </c>
      <c r="H71" s="20" t="str">
        <f t="shared" si="1"/>
        <v/>
      </c>
      <c r="I71" s="25" t="str">
        <f t="shared" si="2"/>
        <v/>
      </c>
      <c r="J71" s="20" t="str">
        <f t="shared" si="3"/>
        <v/>
      </c>
      <c r="K71" s="20" t="str">
        <f t="shared" si="4"/>
        <v/>
      </c>
      <c r="L71" s="20" t="str">
        <f>IF(B71="","",70*'DDF Original'!$Q$4)</f>
        <v/>
      </c>
      <c r="M71" s="20" t="str">
        <f t="shared" si="5"/>
        <v/>
      </c>
      <c r="N71" s="20" t="str">
        <f>IF(AND(OR(B71="",J71&gt;G71,M71&gt;G71),'DDF Original'!L71&lt;&gt; "MI"),G71,IF(M71&gt;J71,M71,J71))</f>
        <v/>
      </c>
    </row>
    <row r="72" spans="2:14" x14ac:dyDescent="0.2">
      <c r="B72" s="19" t="str">
        <f>IF('DDF Original'!B72="","",'DDF Original'!B72)</f>
        <v/>
      </c>
      <c r="C72" s="19" t="e">
        <f t="shared" si="6"/>
        <v>#VALUE!</v>
      </c>
      <c r="D72" s="20" t="str">
        <f>IF('DDF Original'!C72="","",'DDF Original'!C72)</f>
        <v/>
      </c>
      <c r="E72" s="24" t="str">
        <f>IF('DDF Original'!B72="","",IF(TRIM('DDF Original'!I72)="",0,'DDF Original'!I72))</f>
        <v/>
      </c>
      <c r="F72" s="20" t="str">
        <f t="shared" si="0"/>
        <v/>
      </c>
      <c r="G72" s="37" t="str">
        <f>IF('DDF Original'!B72="","",IF(TRIM('DDF Original'!P72)="",0,'DDF Original'!P72))</f>
        <v/>
      </c>
      <c r="H72" s="20" t="str">
        <f t="shared" si="1"/>
        <v/>
      </c>
      <c r="I72" s="25" t="str">
        <f t="shared" si="2"/>
        <v/>
      </c>
      <c r="J72" s="20" t="str">
        <f t="shared" si="3"/>
        <v/>
      </c>
      <c r="K72" s="20" t="str">
        <f t="shared" si="4"/>
        <v/>
      </c>
      <c r="L72" s="20" t="str">
        <f>IF(B72="","",70*'DDF Original'!$Q$4)</f>
        <v/>
      </c>
      <c r="M72" s="20" t="str">
        <f t="shared" si="5"/>
        <v/>
      </c>
      <c r="N72" s="20" t="str">
        <f>IF(AND(OR(B72="",J72&gt;G72,M72&gt;G72),'DDF Original'!L72&lt;&gt; "MI"),G72,IF(M72&gt;J72,M72,J72))</f>
        <v/>
      </c>
    </row>
    <row r="73" spans="2:14" x14ac:dyDescent="0.2">
      <c r="B73" s="19" t="str">
        <f>IF('DDF Original'!B73="","",'DDF Original'!B73)</f>
        <v/>
      </c>
      <c r="C73" s="19" t="e">
        <f t="shared" si="6"/>
        <v>#VALUE!</v>
      </c>
      <c r="D73" s="20" t="str">
        <f>IF('DDF Original'!C73="","",'DDF Original'!C73)</f>
        <v/>
      </c>
      <c r="E73" s="24" t="str">
        <f>IF('DDF Original'!B73="","",IF(TRIM('DDF Original'!I73)="",0,'DDF Original'!I73))</f>
        <v/>
      </c>
      <c r="F73" s="20" t="str">
        <f t="shared" ref="F73:F136" si="7">IF(D73="",D73,ROUND(D73*(1+E73/100),2))</f>
        <v/>
      </c>
      <c r="G73" s="37" t="str">
        <f>IF('DDF Original'!B73="","",IF(TRIM('DDF Original'!P73)="",0,'DDF Original'!P73))</f>
        <v/>
      </c>
      <c r="H73" s="20" t="str">
        <f t="shared" ref="H73:H136" si="8">IF(OR(D73=0,D73=""),G73,F73)</f>
        <v/>
      </c>
      <c r="I73" s="25" t="str">
        <f t="shared" ref="I73:I136" si="9">IF(B73="","",IF(OR(D73=0,D73=""),50,35))</f>
        <v/>
      </c>
      <c r="J73" s="20" t="str">
        <f t="shared" ref="J73:J136" si="10">IF(B73="","",ROUND(H73*I73/100,2))</f>
        <v/>
      </c>
      <c r="K73" s="20" t="str">
        <f t="shared" ref="K73:K136" si="11">IF(B73="","",SUMIFS($J$9:$J$508,$C$9:$C$508,"="&amp;C73))</f>
        <v/>
      </c>
      <c r="L73" s="20" t="str">
        <f>IF(B73="","",70*'DDF Original'!$Q$4)</f>
        <v/>
      </c>
      <c r="M73" s="20" t="str">
        <f t="shared" ref="M73:M136" si="12">IF(B73="","",ROUND(J73/K73*L73,2))</f>
        <v/>
      </c>
      <c r="N73" s="20" t="str">
        <f>IF(AND(OR(B73="",J73&gt;G73,M73&gt;G73),'DDF Original'!L73&lt;&gt; "MI"),G73,IF(M73&gt;J73,M73,J73))</f>
        <v/>
      </c>
    </row>
    <row r="74" spans="2:14" x14ac:dyDescent="0.2">
      <c r="B74" s="19" t="str">
        <f>IF('DDF Original'!B74="","",'DDF Original'!B74)</f>
        <v/>
      </c>
      <c r="C74" s="19" t="e">
        <f t="shared" ref="C74:C137" si="13">LEFT(B74,FIND(".",B74)-1)</f>
        <v>#VALUE!</v>
      </c>
      <c r="D74" s="20" t="str">
        <f>IF('DDF Original'!C74="","",'DDF Original'!C74)</f>
        <v/>
      </c>
      <c r="E74" s="24" t="str">
        <f>IF('DDF Original'!B74="","",IF(TRIM('DDF Original'!I74)="",0,'DDF Original'!I74))</f>
        <v/>
      </c>
      <c r="F74" s="20" t="str">
        <f t="shared" si="7"/>
        <v/>
      </c>
      <c r="G74" s="37" t="str">
        <f>IF('DDF Original'!B74="","",IF(TRIM('DDF Original'!P74)="",0,'DDF Original'!P74))</f>
        <v/>
      </c>
      <c r="H74" s="20" t="str">
        <f t="shared" si="8"/>
        <v/>
      </c>
      <c r="I74" s="25" t="str">
        <f t="shared" si="9"/>
        <v/>
      </c>
      <c r="J74" s="20" t="str">
        <f t="shared" si="10"/>
        <v/>
      </c>
      <c r="K74" s="20" t="str">
        <f t="shared" si="11"/>
        <v/>
      </c>
      <c r="L74" s="20" t="str">
        <f>IF(B74="","",70*'DDF Original'!$Q$4)</f>
        <v/>
      </c>
      <c r="M74" s="20" t="str">
        <f t="shared" si="12"/>
        <v/>
      </c>
      <c r="N74" s="20" t="str">
        <f>IF(AND(OR(B74="",J74&gt;G74,M74&gt;G74),'DDF Original'!L74&lt;&gt; "MI"),G74,IF(M74&gt;J74,M74,J74))</f>
        <v/>
      </c>
    </row>
    <row r="75" spans="2:14" x14ac:dyDescent="0.2">
      <c r="B75" s="19" t="str">
        <f>IF('DDF Original'!B75="","",'DDF Original'!B75)</f>
        <v/>
      </c>
      <c r="C75" s="19" t="e">
        <f t="shared" si="13"/>
        <v>#VALUE!</v>
      </c>
      <c r="D75" s="20" t="str">
        <f>IF('DDF Original'!C75="","",'DDF Original'!C75)</f>
        <v/>
      </c>
      <c r="E75" s="24" t="str">
        <f>IF('DDF Original'!B75="","",IF(TRIM('DDF Original'!I75)="",0,'DDF Original'!I75))</f>
        <v/>
      </c>
      <c r="F75" s="20" t="str">
        <f t="shared" si="7"/>
        <v/>
      </c>
      <c r="G75" s="37" t="str">
        <f>IF('DDF Original'!B75="","",IF(TRIM('DDF Original'!P75)="",0,'DDF Original'!P75))</f>
        <v/>
      </c>
      <c r="H75" s="20" t="str">
        <f t="shared" si="8"/>
        <v/>
      </c>
      <c r="I75" s="25" t="str">
        <f t="shared" si="9"/>
        <v/>
      </c>
      <c r="J75" s="20" t="str">
        <f t="shared" si="10"/>
        <v/>
      </c>
      <c r="K75" s="20" t="str">
        <f t="shared" si="11"/>
        <v/>
      </c>
      <c r="L75" s="20" t="str">
        <f>IF(B75="","",70*'DDF Original'!$Q$4)</f>
        <v/>
      </c>
      <c r="M75" s="20" t="str">
        <f t="shared" si="12"/>
        <v/>
      </c>
      <c r="N75" s="20" t="str">
        <f>IF(AND(OR(B75="",J75&gt;G75,M75&gt;G75),'DDF Original'!L75&lt;&gt; "MI"),G75,IF(M75&gt;J75,M75,J75))</f>
        <v/>
      </c>
    </row>
    <row r="76" spans="2:14" x14ac:dyDescent="0.2">
      <c r="B76" s="19" t="str">
        <f>IF('DDF Original'!B76="","",'DDF Original'!B76)</f>
        <v/>
      </c>
      <c r="C76" s="19" t="e">
        <f t="shared" si="13"/>
        <v>#VALUE!</v>
      </c>
      <c r="D76" s="20" t="str">
        <f>IF('DDF Original'!C76="","",'DDF Original'!C76)</f>
        <v/>
      </c>
      <c r="E76" s="24" t="str">
        <f>IF('DDF Original'!B76="","",IF(TRIM('DDF Original'!I76)="",0,'DDF Original'!I76))</f>
        <v/>
      </c>
      <c r="F76" s="20" t="str">
        <f t="shared" si="7"/>
        <v/>
      </c>
      <c r="G76" s="37" t="str">
        <f>IF('DDF Original'!B76="","",IF(TRIM('DDF Original'!P76)="",0,'DDF Original'!P76))</f>
        <v/>
      </c>
      <c r="H76" s="20" t="str">
        <f t="shared" si="8"/>
        <v/>
      </c>
      <c r="I76" s="25" t="str">
        <f t="shared" si="9"/>
        <v/>
      </c>
      <c r="J76" s="20" t="str">
        <f t="shared" si="10"/>
        <v/>
      </c>
      <c r="K76" s="20" t="str">
        <f t="shared" si="11"/>
        <v/>
      </c>
      <c r="L76" s="20" t="str">
        <f>IF(B76="","",70*'DDF Original'!$Q$4)</f>
        <v/>
      </c>
      <c r="M76" s="20" t="str">
        <f t="shared" si="12"/>
        <v/>
      </c>
      <c r="N76" s="20" t="str">
        <f>IF(AND(OR(B76="",J76&gt;G76,M76&gt;G76),'DDF Original'!L76&lt;&gt; "MI"),G76,IF(M76&gt;J76,M76,J76))</f>
        <v/>
      </c>
    </row>
    <row r="77" spans="2:14" x14ac:dyDescent="0.2">
      <c r="B77" s="19" t="str">
        <f>IF('DDF Original'!B77="","",'DDF Original'!B77)</f>
        <v/>
      </c>
      <c r="C77" s="19" t="e">
        <f t="shared" si="13"/>
        <v>#VALUE!</v>
      </c>
      <c r="D77" s="20" t="str">
        <f>IF('DDF Original'!C77="","",'DDF Original'!C77)</f>
        <v/>
      </c>
      <c r="E77" s="24" t="str">
        <f>IF('DDF Original'!B77="","",IF(TRIM('DDF Original'!I77)="",0,'DDF Original'!I77))</f>
        <v/>
      </c>
      <c r="F77" s="20" t="str">
        <f t="shared" si="7"/>
        <v/>
      </c>
      <c r="G77" s="37" t="str">
        <f>IF('DDF Original'!B77="","",IF(TRIM('DDF Original'!P77)="",0,'DDF Original'!P77))</f>
        <v/>
      </c>
      <c r="H77" s="20" t="str">
        <f t="shared" si="8"/>
        <v/>
      </c>
      <c r="I77" s="25" t="str">
        <f t="shared" si="9"/>
        <v/>
      </c>
      <c r="J77" s="20" t="str">
        <f t="shared" si="10"/>
        <v/>
      </c>
      <c r="K77" s="20" t="str">
        <f t="shared" si="11"/>
        <v/>
      </c>
      <c r="L77" s="20" t="str">
        <f>IF(B77="","",70*'DDF Original'!$Q$4)</f>
        <v/>
      </c>
      <c r="M77" s="20" t="str">
        <f t="shared" si="12"/>
        <v/>
      </c>
      <c r="N77" s="20" t="str">
        <f>IF(AND(OR(B77="",J77&gt;G77,M77&gt;G77),'DDF Original'!L77&lt;&gt; "MI"),G77,IF(M77&gt;J77,M77,J77))</f>
        <v/>
      </c>
    </row>
    <row r="78" spans="2:14" x14ac:dyDescent="0.2">
      <c r="B78" s="19" t="str">
        <f>IF('DDF Original'!B78="","",'DDF Original'!B78)</f>
        <v/>
      </c>
      <c r="C78" s="19" t="e">
        <f t="shared" si="13"/>
        <v>#VALUE!</v>
      </c>
      <c r="D78" s="20" t="str">
        <f>IF('DDF Original'!C78="","",'DDF Original'!C78)</f>
        <v/>
      </c>
      <c r="E78" s="24" t="str">
        <f>IF('DDF Original'!B78="","",IF(TRIM('DDF Original'!I78)="",0,'DDF Original'!I78))</f>
        <v/>
      </c>
      <c r="F78" s="20" t="str">
        <f t="shared" si="7"/>
        <v/>
      </c>
      <c r="G78" s="37" t="str">
        <f>IF('DDF Original'!B78="","",IF(TRIM('DDF Original'!P78)="",0,'DDF Original'!P78))</f>
        <v/>
      </c>
      <c r="H78" s="20" t="str">
        <f t="shared" si="8"/>
        <v/>
      </c>
      <c r="I78" s="25" t="str">
        <f t="shared" si="9"/>
        <v/>
      </c>
      <c r="J78" s="20" t="str">
        <f t="shared" si="10"/>
        <v/>
      </c>
      <c r="K78" s="20" t="str">
        <f t="shared" si="11"/>
        <v/>
      </c>
      <c r="L78" s="20" t="str">
        <f>IF(B78="","",70*'DDF Original'!$Q$4)</f>
        <v/>
      </c>
      <c r="M78" s="20" t="str">
        <f t="shared" si="12"/>
        <v/>
      </c>
      <c r="N78" s="20" t="str">
        <f>IF(AND(OR(B78="",J78&gt;G78,M78&gt;G78),'DDF Original'!L78&lt;&gt; "MI"),G78,IF(M78&gt;J78,M78,J78))</f>
        <v/>
      </c>
    </row>
    <row r="79" spans="2:14" x14ac:dyDescent="0.2">
      <c r="B79" s="19" t="str">
        <f>IF('DDF Original'!B79="","",'DDF Original'!B79)</f>
        <v/>
      </c>
      <c r="C79" s="19" t="e">
        <f t="shared" si="13"/>
        <v>#VALUE!</v>
      </c>
      <c r="D79" s="20" t="str">
        <f>IF('DDF Original'!C79="","",'DDF Original'!C79)</f>
        <v/>
      </c>
      <c r="E79" s="24" t="str">
        <f>IF('DDF Original'!B79="","",IF(TRIM('DDF Original'!I79)="",0,'DDF Original'!I79))</f>
        <v/>
      </c>
      <c r="F79" s="20" t="str">
        <f t="shared" si="7"/>
        <v/>
      </c>
      <c r="G79" s="37" t="str">
        <f>IF('DDF Original'!B79="","",IF(TRIM('DDF Original'!P79)="",0,'DDF Original'!P79))</f>
        <v/>
      </c>
      <c r="H79" s="20" t="str">
        <f t="shared" si="8"/>
        <v/>
      </c>
      <c r="I79" s="25" t="str">
        <f t="shared" si="9"/>
        <v/>
      </c>
      <c r="J79" s="20" t="str">
        <f t="shared" si="10"/>
        <v/>
      </c>
      <c r="K79" s="20" t="str">
        <f t="shared" si="11"/>
        <v/>
      </c>
      <c r="L79" s="20" t="str">
        <f>IF(B79="","",70*'DDF Original'!$Q$4)</f>
        <v/>
      </c>
      <c r="M79" s="20" t="str">
        <f t="shared" si="12"/>
        <v/>
      </c>
      <c r="N79" s="20" t="str">
        <f>IF(AND(OR(B79="",J79&gt;G79,M79&gt;G79),'DDF Original'!L79&lt;&gt; "MI"),G79,IF(M79&gt;J79,M79,J79))</f>
        <v/>
      </c>
    </row>
    <row r="80" spans="2:14" x14ac:dyDescent="0.2">
      <c r="B80" s="19" t="str">
        <f>IF('DDF Original'!B80="","",'DDF Original'!B80)</f>
        <v/>
      </c>
      <c r="C80" s="19" t="e">
        <f t="shared" si="13"/>
        <v>#VALUE!</v>
      </c>
      <c r="D80" s="20" t="str">
        <f>IF('DDF Original'!C80="","",'DDF Original'!C80)</f>
        <v/>
      </c>
      <c r="E80" s="24" t="str">
        <f>IF('DDF Original'!B80="","",IF(TRIM('DDF Original'!I80)="",0,'DDF Original'!I80))</f>
        <v/>
      </c>
      <c r="F80" s="20" t="str">
        <f t="shared" si="7"/>
        <v/>
      </c>
      <c r="G80" s="37" t="str">
        <f>IF('DDF Original'!B80="","",IF(TRIM('DDF Original'!P80)="",0,'DDF Original'!P80))</f>
        <v/>
      </c>
      <c r="H80" s="20" t="str">
        <f t="shared" si="8"/>
        <v/>
      </c>
      <c r="I80" s="25" t="str">
        <f t="shared" si="9"/>
        <v/>
      </c>
      <c r="J80" s="20" t="str">
        <f t="shared" si="10"/>
        <v/>
      </c>
      <c r="K80" s="20" t="str">
        <f t="shared" si="11"/>
        <v/>
      </c>
      <c r="L80" s="20" t="str">
        <f>IF(B80="","",70*'DDF Original'!$Q$4)</f>
        <v/>
      </c>
      <c r="M80" s="20" t="str">
        <f t="shared" si="12"/>
        <v/>
      </c>
      <c r="N80" s="20" t="str">
        <f>IF(AND(OR(B80="",J80&gt;G80,M80&gt;G80),'DDF Original'!L80&lt;&gt; "MI"),G80,IF(M80&gt;J80,M80,J80))</f>
        <v/>
      </c>
    </row>
    <row r="81" spans="2:14" x14ac:dyDescent="0.2">
      <c r="B81" s="19" t="str">
        <f>IF('DDF Original'!B81="","",'DDF Original'!B81)</f>
        <v/>
      </c>
      <c r="C81" s="19" t="e">
        <f t="shared" si="13"/>
        <v>#VALUE!</v>
      </c>
      <c r="D81" s="20" t="str">
        <f>IF('DDF Original'!C81="","",'DDF Original'!C81)</f>
        <v/>
      </c>
      <c r="E81" s="24" t="str">
        <f>IF('DDF Original'!B81="","",IF(TRIM('DDF Original'!I81)="",0,'DDF Original'!I81))</f>
        <v/>
      </c>
      <c r="F81" s="20" t="str">
        <f t="shared" si="7"/>
        <v/>
      </c>
      <c r="G81" s="37" t="str">
        <f>IF('DDF Original'!B81="","",IF(TRIM('DDF Original'!P81)="",0,'DDF Original'!P81))</f>
        <v/>
      </c>
      <c r="H81" s="20" t="str">
        <f t="shared" si="8"/>
        <v/>
      </c>
      <c r="I81" s="25" t="str">
        <f t="shared" si="9"/>
        <v/>
      </c>
      <c r="J81" s="20" t="str">
        <f t="shared" si="10"/>
        <v/>
      </c>
      <c r="K81" s="20" t="str">
        <f t="shared" si="11"/>
        <v/>
      </c>
      <c r="L81" s="20" t="str">
        <f>IF(B81="","",70*'DDF Original'!$Q$4)</f>
        <v/>
      </c>
      <c r="M81" s="20" t="str">
        <f t="shared" si="12"/>
        <v/>
      </c>
      <c r="N81" s="20" t="str">
        <f>IF(AND(OR(B81="",J81&gt;G81,M81&gt;G81),'DDF Original'!L81&lt;&gt; "MI"),G81,IF(M81&gt;J81,M81,J81))</f>
        <v/>
      </c>
    </row>
    <row r="82" spans="2:14" x14ac:dyDescent="0.2">
      <c r="B82" s="19" t="str">
        <f>IF('DDF Original'!B82="","",'DDF Original'!B82)</f>
        <v/>
      </c>
      <c r="C82" s="19" t="e">
        <f t="shared" si="13"/>
        <v>#VALUE!</v>
      </c>
      <c r="D82" s="20" t="str">
        <f>IF('DDF Original'!C82="","",'DDF Original'!C82)</f>
        <v/>
      </c>
      <c r="E82" s="24" t="str">
        <f>IF('DDF Original'!B82="","",IF(TRIM('DDF Original'!I82)="",0,'DDF Original'!I82))</f>
        <v/>
      </c>
      <c r="F82" s="20" t="str">
        <f t="shared" si="7"/>
        <v/>
      </c>
      <c r="G82" s="37" t="str">
        <f>IF('DDF Original'!B82="","",IF(TRIM('DDF Original'!P82)="",0,'DDF Original'!P82))</f>
        <v/>
      </c>
      <c r="H82" s="20" t="str">
        <f t="shared" si="8"/>
        <v/>
      </c>
      <c r="I82" s="25" t="str">
        <f t="shared" si="9"/>
        <v/>
      </c>
      <c r="J82" s="20" t="str">
        <f t="shared" si="10"/>
        <v/>
      </c>
      <c r="K82" s="20" t="str">
        <f t="shared" si="11"/>
        <v/>
      </c>
      <c r="L82" s="20" t="str">
        <f>IF(B82="","",70*'DDF Original'!$Q$4)</f>
        <v/>
      </c>
      <c r="M82" s="20" t="str">
        <f t="shared" si="12"/>
        <v/>
      </c>
      <c r="N82" s="20" t="str">
        <f>IF(AND(OR(B82="",J82&gt;G82,M82&gt;G82),'DDF Original'!L82&lt;&gt; "MI"),G82,IF(M82&gt;J82,M82,J82))</f>
        <v/>
      </c>
    </row>
    <row r="83" spans="2:14" x14ac:dyDescent="0.2">
      <c r="B83" s="19" t="str">
        <f>IF('DDF Original'!B83="","",'DDF Original'!B83)</f>
        <v/>
      </c>
      <c r="C83" s="19" t="e">
        <f t="shared" si="13"/>
        <v>#VALUE!</v>
      </c>
      <c r="D83" s="20" t="str">
        <f>IF('DDF Original'!C83="","",'DDF Original'!C83)</f>
        <v/>
      </c>
      <c r="E83" s="24" t="str">
        <f>IF('DDF Original'!B83="","",IF(TRIM('DDF Original'!I83)="",0,'DDF Original'!I83))</f>
        <v/>
      </c>
      <c r="F83" s="20" t="str">
        <f t="shared" si="7"/>
        <v/>
      </c>
      <c r="G83" s="37" t="str">
        <f>IF('DDF Original'!B83="","",IF(TRIM('DDF Original'!P83)="",0,'DDF Original'!P83))</f>
        <v/>
      </c>
      <c r="H83" s="20" t="str">
        <f t="shared" si="8"/>
        <v/>
      </c>
      <c r="I83" s="25" t="str">
        <f t="shared" si="9"/>
        <v/>
      </c>
      <c r="J83" s="20" t="str">
        <f t="shared" si="10"/>
        <v/>
      </c>
      <c r="K83" s="20" t="str">
        <f t="shared" si="11"/>
        <v/>
      </c>
      <c r="L83" s="20" t="str">
        <f>IF(B83="","",70*'DDF Original'!$Q$4)</f>
        <v/>
      </c>
      <c r="M83" s="20" t="str">
        <f t="shared" si="12"/>
        <v/>
      </c>
      <c r="N83" s="20" t="str">
        <f>IF(AND(OR(B83="",J83&gt;G83,M83&gt;G83),'DDF Original'!L83&lt;&gt; "MI"),G83,IF(M83&gt;J83,M83,J83))</f>
        <v/>
      </c>
    </row>
    <row r="84" spans="2:14" x14ac:dyDescent="0.2">
      <c r="B84" s="19" t="str">
        <f>IF('DDF Original'!B84="","",'DDF Original'!B84)</f>
        <v/>
      </c>
      <c r="C84" s="19" t="e">
        <f t="shared" si="13"/>
        <v>#VALUE!</v>
      </c>
      <c r="D84" s="20" t="str">
        <f>IF('DDF Original'!C84="","",'DDF Original'!C84)</f>
        <v/>
      </c>
      <c r="E84" s="24" t="str">
        <f>IF('DDF Original'!B84="","",IF(TRIM('DDF Original'!I84)="",0,'DDF Original'!I84))</f>
        <v/>
      </c>
      <c r="F84" s="20" t="str">
        <f t="shared" si="7"/>
        <v/>
      </c>
      <c r="G84" s="37" t="str">
        <f>IF('DDF Original'!B84="","",IF(TRIM('DDF Original'!P84)="",0,'DDF Original'!P84))</f>
        <v/>
      </c>
      <c r="H84" s="20" t="str">
        <f t="shared" si="8"/>
        <v/>
      </c>
      <c r="I84" s="25" t="str">
        <f t="shared" si="9"/>
        <v/>
      </c>
      <c r="J84" s="20" t="str">
        <f t="shared" si="10"/>
        <v/>
      </c>
      <c r="K84" s="20" t="str">
        <f t="shared" si="11"/>
        <v/>
      </c>
      <c r="L84" s="20" t="str">
        <f>IF(B84="","",70*'DDF Original'!$Q$4)</f>
        <v/>
      </c>
      <c r="M84" s="20" t="str">
        <f t="shared" si="12"/>
        <v/>
      </c>
      <c r="N84" s="20" t="str">
        <f>IF(AND(OR(B84="",J84&gt;G84,M84&gt;G84),'DDF Original'!L84&lt;&gt; "MI"),G84,IF(M84&gt;J84,M84,J84))</f>
        <v/>
      </c>
    </row>
    <row r="85" spans="2:14" x14ac:dyDescent="0.2">
      <c r="B85" s="19" t="str">
        <f>IF('DDF Original'!B85="","",'DDF Original'!B85)</f>
        <v/>
      </c>
      <c r="C85" s="19" t="e">
        <f t="shared" si="13"/>
        <v>#VALUE!</v>
      </c>
      <c r="D85" s="20" t="str">
        <f>IF('DDF Original'!C85="","",'DDF Original'!C85)</f>
        <v/>
      </c>
      <c r="E85" s="24" t="str">
        <f>IF('DDF Original'!B85="","",IF(TRIM('DDF Original'!I85)="",0,'DDF Original'!I85))</f>
        <v/>
      </c>
      <c r="F85" s="20" t="str">
        <f t="shared" si="7"/>
        <v/>
      </c>
      <c r="G85" s="37" t="str">
        <f>IF('DDF Original'!B85="","",IF(TRIM('DDF Original'!P85)="",0,'DDF Original'!P85))</f>
        <v/>
      </c>
      <c r="H85" s="20" t="str">
        <f t="shared" si="8"/>
        <v/>
      </c>
      <c r="I85" s="25" t="str">
        <f t="shared" si="9"/>
        <v/>
      </c>
      <c r="J85" s="20" t="str">
        <f t="shared" si="10"/>
        <v/>
      </c>
      <c r="K85" s="20" t="str">
        <f t="shared" si="11"/>
        <v/>
      </c>
      <c r="L85" s="20" t="str">
        <f>IF(B85="","",70*'DDF Original'!$Q$4)</f>
        <v/>
      </c>
      <c r="M85" s="20" t="str">
        <f t="shared" si="12"/>
        <v/>
      </c>
      <c r="N85" s="20" t="str">
        <f>IF(AND(OR(B85="",J85&gt;G85,M85&gt;G85),'DDF Original'!L85&lt;&gt; "MI"),G85,IF(M85&gt;J85,M85,J85))</f>
        <v/>
      </c>
    </row>
    <row r="86" spans="2:14" x14ac:dyDescent="0.2">
      <c r="B86" s="19" t="str">
        <f>IF('DDF Original'!B86="","",'DDF Original'!B86)</f>
        <v/>
      </c>
      <c r="C86" s="19" t="e">
        <f t="shared" si="13"/>
        <v>#VALUE!</v>
      </c>
      <c r="D86" s="20" t="str">
        <f>IF('DDF Original'!C86="","",'DDF Original'!C86)</f>
        <v/>
      </c>
      <c r="E86" s="24" t="str">
        <f>IF('DDF Original'!B86="","",IF(TRIM('DDF Original'!I86)="",0,'DDF Original'!I86))</f>
        <v/>
      </c>
      <c r="F86" s="20" t="str">
        <f t="shared" si="7"/>
        <v/>
      </c>
      <c r="G86" s="37" t="str">
        <f>IF('DDF Original'!B86="","",IF(TRIM('DDF Original'!P86)="",0,'DDF Original'!P86))</f>
        <v/>
      </c>
      <c r="H86" s="20" t="str">
        <f t="shared" si="8"/>
        <v/>
      </c>
      <c r="I86" s="25" t="str">
        <f t="shared" si="9"/>
        <v/>
      </c>
      <c r="J86" s="20" t="str">
        <f t="shared" si="10"/>
        <v/>
      </c>
      <c r="K86" s="20" t="str">
        <f t="shared" si="11"/>
        <v/>
      </c>
      <c r="L86" s="20" t="str">
        <f>IF(B86="","",70*'DDF Original'!$Q$4)</f>
        <v/>
      </c>
      <c r="M86" s="20" t="str">
        <f t="shared" si="12"/>
        <v/>
      </c>
      <c r="N86" s="20" t="str">
        <f>IF(AND(OR(B86="",J86&gt;G86,M86&gt;G86),'DDF Original'!L86&lt;&gt; "MI"),G86,IF(M86&gt;J86,M86,J86))</f>
        <v/>
      </c>
    </row>
    <row r="87" spans="2:14" x14ac:dyDescent="0.2">
      <c r="B87" s="19" t="str">
        <f>IF('DDF Original'!B87="","",'DDF Original'!B87)</f>
        <v/>
      </c>
      <c r="C87" s="19" t="e">
        <f t="shared" si="13"/>
        <v>#VALUE!</v>
      </c>
      <c r="D87" s="20" t="str">
        <f>IF('DDF Original'!C87="","",'DDF Original'!C87)</f>
        <v/>
      </c>
      <c r="E87" s="24" t="str">
        <f>IF('DDF Original'!B87="","",IF(TRIM('DDF Original'!I87)="",0,'DDF Original'!I87))</f>
        <v/>
      </c>
      <c r="F87" s="20" t="str">
        <f t="shared" si="7"/>
        <v/>
      </c>
      <c r="G87" s="37" t="str">
        <f>IF('DDF Original'!B87="","",IF(TRIM('DDF Original'!P87)="",0,'DDF Original'!P87))</f>
        <v/>
      </c>
      <c r="H87" s="20" t="str">
        <f t="shared" si="8"/>
        <v/>
      </c>
      <c r="I87" s="25" t="str">
        <f t="shared" si="9"/>
        <v/>
      </c>
      <c r="J87" s="20" t="str">
        <f t="shared" si="10"/>
        <v/>
      </c>
      <c r="K87" s="20" t="str">
        <f t="shared" si="11"/>
        <v/>
      </c>
      <c r="L87" s="20" t="str">
        <f>IF(B87="","",70*'DDF Original'!$Q$4)</f>
        <v/>
      </c>
      <c r="M87" s="20" t="str">
        <f t="shared" si="12"/>
        <v/>
      </c>
      <c r="N87" s="20" t="str">
        <f>IF(AND(OR(B87="",J87&gt;G87,M87&gt;G87),'DDF Original'!L87&lt;&gt; "MI"),G87,IF(M87&gt;J87,M87,J87))</f>
        <v/>
      </c>
    </row>
    <row r="88" spans="2:14" x14ac:dyDescent="0.2">
      <c r="B88" s="19" t="str">
        <f>IF('DDF Original'!B88="","",'DDF Original'!B88)</f>
        <v/>
      </c>
      <c r="C88" s="19" t="e">
        <f t="shared" si="13"/>
        <v>#VALUE!</v>
      </c>
      <c r="D88" s="20" t="str">
        <f>IF('DDF Original'!C88="","",'DDF Original'!C88)</f>
        <v/>
      </c>
      <c r="E88" s="24" t="str">
        <f>IF('DDF Original'!B88="","",IF(TRIM('DDF Original'!I88)="",0,'DDF Original'!I88))</f>
        <v/>
      </c>
      <c r="F88" s="20" t="str">
        <f t="shared" si="7"/>
        <v/>
      </c>
      <c r="G88" s="37" t="str">
        <f>IF('DDF Original'!B88="","",IF(TRIM('DDF Original'!P88)="",0,'DDF Original'!P88))</f>
        <v/>
      </c>
      <c r="H88" s="20" t="str">
        <f t="shared" si="8"/>
        <v/>
      </c>
      <c r="I88" s="25" t="str">
        <f t="shared" si="9"/>
        <v/>
      </c>
      <c r="J88" s="20" t="str">
        <f t="shared" si="10"/>
        <v/>
      </c>
      <c r="K88" s="20" t="str">
        <f t="shared" si="11"/>
        <v/>
      </c>
      <c r="L88" s="20" t="str">
        <f>IF(B88="","",70*'DDF Original'!$Q$4)</f>
        <v/>
      </c>
      <c r="M88" s="20" t="str">
        <f t="shared" si="12"/>
        <v/>
      </c>
      <c r="N88" s="20" t="str">
        <f>IF(AND(OR(B88="",J88&gt;G88,M88&gt;G88),'DDF Original'!L88&lt;&gt; "MI"),G88,IF(M88&gt;J88,M88,J88))</f>
        <v/>
      </c>
    </row>
    <row r="89" spans="2:14" x14ac:dyDescent="0.2">
      <c r="B89" s="19" t="str">
        <f>IF('DDF Original'!B89="","",'DDF Original'!B89)</f>
        <v/>
      </c>
      <c r="C89" s="19" t="e">
        <f t="shared" si="13"/>
        <v>#VALUE!</v>
      </c>
      <c r="D89" s="20" t="str">
        <f>IF('DDF Original'!C89="","",'DDF Original'!C89)</f>
        <v/>
      </c>
      <c r="E89" s="24" t="str">
        <f>IF('DDF Original'!B89="","",IF(TRIM('DDF Original'!I89)="",0,'DDF Original'!I89))</f>
        <v/>
      </c>
      <c r="F89" s="20" t="str">
        <f t="shared" si="7"/>
        <v/>
      </c>
      <c r="G89" s="37" t="str">
        <f>IF('DDF Original'!B89="","",IF(TRIM('DDF Original'!P89)="",0,'DDF Original'!P89))</f>
        <v/>
      </c>
      <c r="H89" s="20" t="str">
        <f t="shared" si="8"/>
        <v/>
      </c>
      <c r="I89" s="25" t="str">
        <f t="shared" si="9"/>
        <v/>
      </c>
      <c r="J89" s="20" t="str">
        <f t="shared" si="10"/>
        <v/>
      </c>
      <c r="K89" s="20" t="str">
        <f t="shared" si="11"/>
        <v/>
      </c>
      <c r="L89" s="20" t="str">
        <f>IF(B89="","",70*'DDF Original'!$Q$4)</f>
        <v/>
      </c>
      <c r="M89" s="20" t="str">
        <f t="shared" si="12"/>
        <v/>
      </c>
      <c r="N89" s="20" t="str">
        <f>IF(AND(OR(B89="",J89&gt;G89,M89&gt;G89),'DDF Original'!L89&lt;&gt; "MI"),G89,IF(M89&gt;J89,M89,J89))</f>
        <v/>
      </c>
    </row>
    <row r="90" spans="2:14" x14ac:dyDescent="0.2">
      <c r="B90" s="19" t="str">
        <f>IF('DDF Original'!B90="","",'DDF Original'!B90)</f>
        <v/>
      </c>
      <c r="C90" s="19" t="e">
        <f t="shared" si="13"/>
        <v>#VALUE!</v>
      </c>
      <c r="D90" s="20" t="str">
        <f>IF('DDF Original'!C90="","",'DDF Original'!C90)</f>
        <v/>
      </c>
      <c r="E90" s="24" t="str">
        <f>IF('DDF Original'!B90="","",IF(TRIM('DDF Original'!I90)="",0,'DDF Original'!I90))</f>
        <v/>
      </c>
      <c r="F90" s="20" t="str">
        <f t="shared" si="7"/>
        <v/>
      </c>
      <c r="G90" s="37" t="str">
        <f>IF('DDF Original'!B90="","",IF(TRIM('DDF Original'!P90)="",0,'DDF Original'!P90))</f>
        <v/>
      </c>
      <c r="H90" s="20" t="str">
        <f t="shared" si="8"/>
        <v/>
      </c>
      <c r="I90" s="25" t="str">
        <f t="shared" si="9"/>
        <v/>
      </c>
      <c r="J90" s="20" t="str">
        <f t="shared" si="10"/>
        <v/>
      </c>
      <c r="K90" s="20" t="str">
        <f t="shared" si="11"/>
        <v/>
      </c>
      <c r="L90" s="20" t="str">
        <f>IF(B90="","",70*'DDF Original'!$Q$4)</f>
        <v/>
      </c>
      <c r="M90" s="20" t="str">
        <f t="shared" si="12"/>
        <v/>
      </c>
      <c r="N90" s="20" t="str">
        <f>IF(AND(OR(B90="",J90&gt;G90,M90&gt;G90),'DDF Original'!L90&lt;&gt; "MI"),G90,IF(M90&gt;J90,M90,J90))</f>
        <v/>
      </c>
    </row>
    <row r="91" spans="2:14" x14ac:dyDescent="0.2">
      <c r="B91" s="19" t="str">
        <f>IF('DDF Original'!B91="","",'DDF Original'!B91)</f>
        <v/>
      </c>
      <c r="C91" s="19" t="e">
        <f t="shared" si="13"/>
        <v>#VALUE!</v>
      </c>
      <c r="D91" s="20" t="str">
        <f>IF('DDF Original'!C91="","",'DDF Original'!C91)</f>
        <v/>
      </c>
      <c r="E91" s="24" t="str">
        <f>IF('DDF Original'!B91="","",IF(TRIM('DDF Original'!I91)="",0,'DDF Original'!I91))</f>
        <v/>
      </c>
      <c r="F91" s="20" t="str">
        <f t="shared" si="7"/>
        <v/>
      </c>
      <c r="G91" s="37" t="str">
        <f>IF('DDF Original'!B91="","",IF(TRIM('DDF Original'!P91)="",0,'DDF Original'!P91))</f>
        <v/>
      </c>
      <c r="H91" s="20" t="str">
        <f t="shared" si="8"/>
        <v/>
      </c>
      <c r="I91" s="25" t="str">
        <f t="shared" si="9"/>
        <v/>
      </c>
      <c r="J91" s="20" t="str">
        <f t="shared" si="10"/>
        <v/>
      </c>
      <c r="K91" s="20" t="str">
        <f t="shared" si="11"/>
        <v/>
      </c>
      <c r="L91" s="20" t="str">
        <f>IF(B91="","",70*'DDF Original'!$Q$4)</f>
        <v/>
      </c>
      <c r="M91" s="20" t="str">
        <f t="shared" si="12"/>
        <v/>
      </c>
      <c r="N91" s="20" t="str">
        <f>IF(AND(OR(B91="",J91&gt;G91,M91&gt;G91),'DDF Original'!L91&lt;&gt; "MI"),G91,IF(M91&gt;J91,M91,J91))</f>
        <v/>
      </c>
    </row>
    <row r="92" spans="2:14" x14ac:dyDescent="0.2">
      <c r="B92" s="19" t="str">
        <f>IF('DDF Original'!B92="","",'DDF Original'!B92)</f>
        <v/>
      </c>
      <c r="C92" s="19" t="e">
        <f t="shared" si="13"/>
        <v>#VALUE!</v>
      </c>
      <c r="D92" s="20" t="str">
        <f>IF('DDF Original'!C92="","",'DDF Original'!C92)</f>
        <v/>
      </c>
      <c r="E92" s="24" t="str">
        <f>IF('DDF Original'!B92="","",IF(TRIM('DDF Original'!I92)="",0,'DDF Original'!I92))</f>
        <v/>
      </c>
      <c r="F92" s="20" t="str">
        <f t="shared" si="7"/>
        <v/>
      </c>
      <c r="G92" s="37" t="str">
        <f>IF('DDF Original'!B92="","",IF(TRIM('DDF Original'!P92)="",0,'DDF Original'!P92))</f>
        <v/>
      </c>
      <c r="H92" s="20" t="str">
        <f t="shared" si="8"/>
        <v/>
      </c>
      <c r="I92" s="25" t="str">
        <f t="shared" si="9"/>
        <v/>
      </c>
      <c r="J92" s="20" t="str">
        <f t="shared" si="10"/>
        <v/>
      </c>
      <c r="K92" s="20" t="str">
        <f t="shared" si="11"/>
        <v/>
      </c>
      <c r="L92" s="20" t="str">
        <f>IF(B92="","",70*'DDF Original'!$Q$4)</f>
        <v/>
      </c>
      <c r="M92" s="20" t="str">
        <f t="shared" si="12"/>
        <v/>
      </c>
      <c r="N92" s="20" t="str">
        <f>IF(AND(OR(B92="",J92&gt;G92,M92&gt;G92),'DDF Original'!L92&lt;&gt; "MI"),G92,IF(M92&gt;J92,M92,J92))</f>
        <v/>
      </c>
    </row>
    <row r="93" spans="2:14" x14ac:dyDescent="0.2">
      <c r="B93" s="19" t="str">
        <f>IF('DDF Original'!B93="","",'DDF Original'!B93)</f>
        <v/>
      </c>
      <c r="C93" s="19" t="e">
        <f t="shared" si="13"/>
        <v>#VALUE!</v>
      </c>
      <c r="D93" s="20" t="str">
        <f>IF('DDF Original'!C93="","",'DDF Original'!C93)</f>
        <v/>
      </c>
      <c r="E93" s="24" t="str">
        <f>IF('DDF Original'!B93="","",IF(TRIM('DDF Original'!I93)="",0,'DDF Original'!I93))</f>
        <v/>
      </c>
      <c r="F93" s="20" t="str">
        <f t="shared" si="7"/>
        <v/>
      </c>
      <c r="G93" s="37" t="str">
        <f>IF('DDF Original'!B93="","",IF(TRIM('DDF Original'!P93)="",0,'DDF Original'!P93))</f>
        <v/>
      </c>
      <c r="H93" s="20" t="str">
        <f t="shared" si="8"/>
        <v/>
      </c>
      <c r="I93" s="25" t="str">
        <f t="shared" si="9"/>
        <v/>
      </c>
      <c r="J93" s="20" t="str">
        <f t="shared" si="10"/>
        <v/>
      </c>
      <c r="K93" s="20" t="str">
        <f t="shared" si="11"/>
        <v/>
      </c>
      <c r="L93" s="20" t="str">
        <f>IF(B93="","",70*'DDF Original'!$Q$4)</f>
        <v/>
      </c>
      <c r="M93" s="20" t="str">
        <f t="shared" si="12"/>
        <v/>
      </c>
      <c r="N93" s="20" t="str">
        <f>IF(AND(OR(B93="",J93&gt;G93,M93&gt;G93),'DDF Original'!L93&lt;&gt; "MI"),G93,IF(M93&gt;J93,M93,J93))</f>
        <v/>
      </c>
    </row>
    <row r="94" spans="2:14" x14ac:dyDescent="0.2">
      <c r="B94" s="19" t="str">
        <f>IF('DDF Original'!B94="","",'DDF Original'!B94)</f>
        <v/>
      </c>
      <c r="C94" s="19" t="e">
        <f t="shared" si="13"/>
        <v>#VALUE!</v>
      </c>
      <c r="D94" s="20" t="str">
        <f>IF('DDF Original'!C94="","",'DDF Original'!C94)</f>
        <v/>
      </c>
      <c r="E94" s="24" t="str">
        <f>IF('DDF Original'!B94="","",IF(TRIM('DDF Original'!I94)="",0,'DDF Original'!I94))</f>
        <v/>
      </c>
      <c r="F94" s="20" t="str">
        <f t="shared" si="7"/>
        <v/>
      </c>
      <c r="G94" s="37" t="str">
        <f>IF('DDF Original'!B94="","",IF(TRIM('DDF Original'!P94)="",0,'DDF Original'!P94))</f>
        <v/>
      </c>
      <c r="H94" s="20" t="str">
        <f t="shared" si="8"/>
        <v/>
      </c>
      <c r="I94" s="25" t="str">
        <f t="shared" si="9"/>
        <v/>
      </c>
      <c r="J94" s="20" t="str">
        <f t="shared" si="10"/>
        <v/>
      </c>
      <c r="K94" s="20" t="str">
        <f t="shared" si="11"/>
        <v/>
      </c>
      <c r="L94" s="20" t="str">
        <f>IF(B94="","",70*'DDF Original'!$Q$4)</f>
        <v/>
      </c>
      <c r="M94" s="20" t="str">
        <f t="shared" si="12"/>
        <v/>
      </c>
      <c r="N94" s="20" t="str">
        <f>IF(AND(OR(B94="",J94&gt;G94,M94&gt;G94),'DDF Original'!L94&lt;&gt; "MI"),G94,IF(M94&gt;J94,M94,J94))</f>
        <v/>
      </c>
    </row>
    <row r="95" spans="2:14" x14ac:dyDescent="0.2">
      <c r="B95" s="19" t="str">
        <f>IF('DDF Original'!B95="","",'DDF Original'!B95)</f>
        <v/>
      </c>
      <c r="C95" s="19" t="e">
        <f t="shared" si="13"/>
        <v>#VALUE!</v>
      </c>
      <c r="D95" s="20" t="str">
        <f>IF('DDF Original'!C95="","",'DDF Original'!C95)</f>
        <v/>
      </c>
      <c r="E95" s="24" t="str">
        <f>IF('DDF Original'!B95="","",IF(TRIM('DDF Original'!I95)="",0,'DDF Original'!I95))</f>
        <v/>
      </c>
      <c r="F95" s="20" t="str">
        <f t="shared" si="7"/>
        <v/>
      </c>
      <c r="G95" s="37" t="str">
        <f>IF('DDF Original'!B95="","",IF(TRIM('DDF Original'!P95)="",0,'DDF Original'!P95))</f>
        <v/>
      </c>
      <c r="H95" s="20" t="str">
        <f t="shared" si="8"/>
        <v/>
      </c>
      <c r="I95" s="25" t="str">
        <f t="shared" si="9"/>
        <v/>
      </c>
      <c r="J95" s="20" t="str">
        <f t="shared" si="10"/>
        <v/>
      </c>
      <c r="K95" s="20" t="str">
        <f t="shared" si="11"/>
        <v/>
      </c>
      <c r="L95" s="20" t="str">
        <f>IF(B95="","",70*'DDF Original'!$Q$4)</f>
        <v/>
      </c>
      <c r="M95" s="20" t="str">
        <f t="shared" si="12"/>
        <v/>
      </c>
      <c r="N95" s="20" t="str">
        <f>IF(AND(OR(B95="",J95&gt;G95,M95&gt;G95),'DDF Original'!L95&lt;&gt; "MI"),G95,IF(M95&gt;J95,M95,J95))</f>
        <v/>
      </c>
    </row>
    <row r="96" spans="2:14" x14ac:dyDescent="0.2">
      <c r="B96" s="19" t="str">
        <f>IF('DDF Original'!B96="","",'DDF Original'!B96)</f>
        <v/>
      </c>
      <c r="C96" s="19" t="e">
        <f t="shared" si="13"/>
        <v>#VALUE!</v>
      </c>
      <c r="D96" s="20" t="str">
        <f>IF('DDF Original'!C96="","",'DDF Original'!C96)</f>
        <v/>
      </c>
      <c r="E96" s="24" t="str">
        <f>IF('DDF Original'!B96="","",IF(TRIM('DDF Original'!I96)="",0,'DDF Original'!I96))</f>
        <v/>
      </c>
      <c r="F96" s="20" t="str">
        <f t="shared" si="7"/>
        <v/>
      </c>
      <c r="G96" s="37" t="str">
        <f>IF('DDF Original'!B96="","",IF(TRIM('DDF Original'!P96)="",0,'DDF Original'!P96))</f>
        <v/>
      </c>
      <c r="H96" s="20" t="str">
        <f t="shared" si="8"/>
        <v/>
      </c>
      <c r="I96" s="25" t="str">
        <f t="shared" si="9"/>
        <v/>
      </c>
      <c r="J96" s="20" t="str">
        <f t="shared" si="10"/>
        <v/>
      </c>
      <c r="K96" s="20" t="str">
        <f t="shared" si="11"/>
        <v/>
      </c>
      <c r="L96" s="20" t="str">
        <f>IF(B96="","",70*'DDF Original'!$Q$4)</f>
        <v/>
      </c>
      <c r="M96" s="20" t="str">
        <f t="shared" si="12"/>
        <v/>
      </c>
      <c r="N96" s="20" t="str">
        <f>IF(AND(OR(B96="",J96&gt;G96,M96&gt;G96),'DDF Original'!L96&lt;&gt; "MI"),G96,IF(M96&gt;J96,M96,J96))</f>
        <v/>
      </c>
    </row>
    <row r="97" spans="2:14" x14ac:dyDescent="0.2">
      <c r="B97" s="19" t="str">
        <f>IF('DDF Original'!B97="","",'DDF Original'!B97)</f>
        <v/>
      </c>
      <c r="C97" s="19" t="e">
        <f t="shared" si="13"/>
        <v>#VALUE!</v>
      </c>
      <c r="D97" s="20" t="str">
        <f>IF('DDF Original'!C97="","",'DDF Original'!C97)</f>
        <v/>
      </c>
      <c r="E97" s="24" t="str">
        <f>IF('DDF Original'!B97="","",IF(TRIM('DDF Original'!I97)="",0,'DDF Original'!I97))</f>
        <v/>
      </c>
      <c r="F97" s="20" t="str">
        <f t="shared" si="7"/>
        <v/>
      </c>
      <c r="G97" s="37" t="str">
        <f>IF('DDF Original'!B97="","",IF(TRIM('DDF Original'!P97)="",0,'DDF Original'!P97))</f>
        <v/>
      </c>
      <c r="H97" s="20" t="str">
        <f t="shared" si="8"/>
        <v/>
      </c>
      <c r="I97" s="25" t="str">
        <f t="shared" si="9"/>
        <v/>
      </c>
      <c r="J97" s="20" t="str">
        <f t="shared" si="10"/>
        <v/>
      </c>
      <c r="K97" s="20" t="str">
        <f t="shared" si="11"/>
        <v/>
      </c>
      <c r="L97" s="20" t="str">
        <f>IF(B97="","",70*'DDF Original'!$Q$4)</f>
        <v/>
      </c>
      <c r="M97" s="20" t="str">
        <f t="shared" si="12"/>
        <v/>
      </c>
      <c r="N97" s="20" t="str">
        <f>IF(AND(OR(B97="",J97&gt;G97,M97&gt;G97),'DDF Original'!L97&lt;&gt; "MI"),G97,IF(M97&gt;J97,M97,J97))</f>
        <v/>
      </c>
    </row>
    <row r="98" spans="2:14" x14ac:dyDescent="0.2">
      <c r="B98" s="19" t="str">
        <f>IF('DDF Original'!B98="","",'DDF Original'!B98)</f>
        <v/>
      </c>
      <c r="C98" s="19" t="e">
        <f t="shared" si="13"/>
        <v>#VALUE!</v>
      </c>
      <c r="D98" s="20" t="str">
        <f>IF('DDF Original'!C98="","",'DDF Original'!C98)</f>
        <v/>
      </c>
      <c r="E98" s="24" t="str">
        <f>IF('DDF Original'!B98="","",IF(TRIM('DDF Original'!I98)="",0,'DDF Original'!I98))</f>
        <v/>
      </c>
      <c r="F98" s="20" t="str">
        <f t="shared" si="7"/>
        <v/>
      </c>
      <c r="G98" s="37" t="str">
        <f>IF('DDF Original'!B98="","",IF(TRIM('DDF Original'!P98)="",0,'DDF Original'!P98))</f>
        <v/>
      </c>
      <c r="H98" s="20" t="str">
        <f t="shared" si="8"/>
        <v/>
      </c>
      <c r="I98" s="25" t="str">
        <f t="shared" si="9"/>
        <v/>
      </c>
      <c r="J98" s="20" t="str">
        <f t="shared" si="10"/>
        <v/>
      </c>
      <c r="K98" s="20" t="str">
        <f t="shared" si="11"/>
        <v/>
      </c>
      <c r="L98" s="20" t="str">
        <f>IF(B98="","",70*'DDF Original'!$Q$4)</f>
        <v/>
      </c>
      <c r="M98" s="20" t="str">
        <f t="shared" si="12"/>
        <v/>
      </c>
      <c r="N98" s="20" t="str">
        <f>IF(AND(OR(B98="",J98&gt;G98,M98&gt;G98),'DDF Original'!L98&lt;&gt; "MI"),G98,IF(M98&gt;J98,M98,J98))</f>
        <v/>
      </c>
    </row>
    <row r="99" spans="2:14" x14ac:dyDescent="0.2">
      <c r="B99" s="19" t="str">
        <f>IF('DDF Original'!B99="","",'DDF Original'!B99)</f>
        <v/>
      </c>
      <c r="C99" s="19" t="e">
        <f t="shared" si="13"/>
        <v>#VALUE!</v>
      </c>
      <c r="D99" s="20" t="str">
        <f>IF('DDF Original'!C99="","",'DDF Original'!C99)</f>
        <v/>
      </c>
      <c r="E99" s="24" t="str">
        <f>IF('DDF Original'!B99="","",IF(TRIM('DDF Original'!I99)="",0,'DDF Original'!I99))</f>
        <v/>
      </c>
      <c r="F99" s="20" t="str">
        <f t="shared" si="7"/>
        <v/>
      </c>
      <c r="G99" s="37" t="str">
        <f>IF('DDF Original'!B99="","",IF(TRIM('DDF Original'!P99)="",0,'DDF Original'!P99))</f>
        <v/>
      </c>
      <c r="H99" s="20" t="str">
        <f t="shared" si="8"/>
        <v/>
      </c>
      <c r="I99" s="25" t="str">
        <f t="shared" si="9"/>
        <v/>
      </c>
      <c r="J99" s="20" t="str">
        <f t="shared" si="10"/>
        <v/>
      </c>
      <c r="K99" s="20" t="str">
        <f t="shared" si="11"/>
        <v/>
      </c>
      <c r="L99" s="20" t="str">
        <f>IF(B99="","",70*'DDF Original'!$Q$4)</f>
        <v/>
      </c>
      <c r="M99" s="20" t="str">
        <f t="shared" si="12"/>
        <v/>
      </c>
      <c r="N99" s="20" t="str">
        <f>IF(AND(OR(B99="",J99&gt;G99,M99&gt;G99),'DDF Original'!L99&lt;&gt; "MI"),G99,IF(M99&gt;J99,M99,J99))</f>
        <v/>
      </c>
    </row>
    <row r="100" spans="2:14" x14ac:dyDescent="0.2">
      <c r="B100" s="19" t="str">
        <f>IF('DDF Original'!B100="","",'DDF Original'!B100)</f>
        <v/>
      </c>
      <c r="C100" s="19" t="e">
        <f t="shared" si="13"/>
        <v>#VALUE!</v>
      </c>
      <c r="D100" s="20" t="str">
        <f>IF('DDF Original'!C100="","",'DDF Original'!C100)</f>
        <v/>
      </c>
      <c r="E100" s="24" t="str">
        <f>IF('DDF Original'!B100="","",IF(TRIM('DDF Original'!I100)="",0,'DDF Original'!I100))</f>
        <v/>
      </c>
      <c r="F100" s="20" t="str">
        <f t="shared" si="7"/>
        <v/>
      </c>
      <c r="G100" s="37" t="str">
        <f>IF('DDF Original'!B100="","",IF(TRIM('DDF Original'!P100)="",0,'DDF Original'!P100))</f>
        <v/>
      </c>
      <c r="H100" s="20" t="str">
        <f t="shared" si="8"/>
        <v/>
      </c>
      <c r="I100" s="25" t="str">
        <f t="shared" si="9"/>
        <v/>
      </c>
      <c r="J100" s="20" t="str">
        <f t="shared" si="10"/>
        <v/>
      </c>
      <c r="K100" s="20" t="str">
        <f t="shared" si="11"/>
        <v/>
      </c>
      <c r="L100" s="20" t="str">
        <f>IF(B100="","",70*'DDF Original'!$Q$4)</f>
        <v/>
      </c>
      <c r="M100" s="20" t="str">
        <f t="shared" si="12"/>
        <v/>
      </c>
      <c r="N100" s="20" t="str">
        <f>IF(AND(OR(B100="",J100&gt;G100,M100&gt;G100),'DDF Original'!L100&lt;&gt; "MI"),G100,IF(M100&gt;J100,M100,J100))</f>
        <v/>
      </c>
    </row>
    <row r="101" spans="2:14" x14ac:dyDescent="0.2">
      <c r="B101" s="19" t="str">
        <f>IF('DDF Original'!B101="","",'DDF Original'!B101)</f>
        <v/>
      </c>
      <c r="C101" s="19" t="e">
        <f t="shared" si="13"/>
        <v>#VALUE!</v>
      </c>
      <c r="D101" s="20" t="str">
        <f>IF('DDF Original'!C101="","",'DDF Original'!C101)</f>
        <v/>
      </c>
      <c r="E101" s="24" t="str">
        <f>IF('DDF Original'!B101="","",IF(TRIM('DDF Original'!I101)="",0,'DDF Original'!I101))</f>
        <v/>
      </c>
      <c r="F101" s="20" t="str">
        <f t="shared" si="7"/>
        <v/>
      </c>
      <c r="G101" s="37" t="str">
        <f>IF('DDF Original'!B101="","",IF(TRIM('DDF Original'!P101)="",0,'DDF Original'!P101))</f>
        <v/>
      </c>
      <c r="H101" s="20" t="str">
        <f t="shared" si="8"/>
        <v/>
      </c>
      <c r="I101" s="25" t="str">
        <f t="shared" si="9"/>
        <v/>
      </c>
      <c r="J101" s="20" t="str">
        <f t="shared" si="10"/>
        <v/>
      </c>
      <c r="K101" s="20" t="str">
        <f t="shared" si="11"/>
        <v/>
      </c>
      <c r="L101" s="20" t="str">
        <f>IF(B101="","",70*'DDF Original'!$Q$4)</f>
        <v/>
      </c>
      <c r="M101" s="20" t="str">
        <f t="shared" si="12"/>
        <v/>
      </c>
      <c r="N101" s="20" t="str">
        <f>IF(AND(OR(B101="",J101&gt;G101,M101&gt;G101),'DDF Original'!L101&lt;&gt; "MI"),G101,IF(M101&gt;J101,M101,J101))</f>
        <v/>
      </c>
    </row>
    <row r="102" spans="2:14" x14ac:dyDescent="0.2">
      <c r="B102" s="19" t="str">
        <f>IF('DDF Original'!B102="","",'DDF Original'!B102)</f>
        <v/>
      </c>
      <c r="C102" s="19" t="e">
        <f t="shared" si="13"/>
        <v>#VALUE!</v>
      </c>
      <c r="D102" s="20" t="str">
        <f>IF('DDF Original'!C102="","",'DDF Original'!C102)</f>
        <v/>
      </c>
      <c r="E102" s="24" t="str">
        <f>IF('DDF Original'!B102="","",IF(TRIM('DDF Original'!I102)="",0,'DDF Original'!I102))</f>
        <v/>
      </c>
      <c r="F102" s="20" t="str">
        <f t="shared" si="7"/>
        <v/>
      </c>
      <c r="G102" s="37" t="str">
        <f>IF('DDF Original'!B102="","",IF(TRIM('DDF Original'!P102)="",0,'DDF Original'!P102))</f>
        <v/>
      </c>
      <c r="H102" s="20" t="str">
        <f t="shared" si="8"/>
        <v/>
      </c>
      <c r="I102" s="25" t="str">
        <f t="shared" si="9"/>
        <v/>
      </c>
      <c r="J102" s="20" t="str">
        <f t="shared" si="10"/>
        <v/>
      </c>
      <c r="K102" s="20" t="str">
        <f t="shared" si="11"/>
        <v/>
      </c>
      <c r="L102" s="20" t="str">
        <f>IF(B102="","",70*'DDF Original'!$Q$4)</f>
        <v/>
      </c>
      <c r="M102" s="20" t="str">
        <f t="shared" si="12"/>
        <v/>
      </c>
      <c r="N102" s="20" t="str">
        <f>IF(AND(OR(B102="",J102&gt;G102,M102&gt;G102),'DDF Original'!L102&lt;&gt; "MI"),G102,IF(M102&gt;J102,M102,J102))</f>
        <v/>
      </c>
    </row>
    <row r="103" spans="2:14" x14ac:dyDescent="0.2">
      <c r="B103" s="19" t="str">
        <f>IF('DDF Original'!B103="","",'DDF Original'!B103)</f>
        <v/>
      </c>
      <c r="C103" s="19" t="e">
        <f t="shared" si="13"/>
        <v>#VALUE!</v>
      </c>
      <c r="D103" s="20" t="str">
        <f>IF('DDF Original'!C103="","",'DDF Original'!C103)</f>
        <v/>
      </c>
      <c r="E103" s="24" t="str">
        <f>IF('DDF Original'!B103="","",IF(TRIM('DDF Original'!I103)="",0,'DDF Original'!I103))</f>
        <v/>
      </c>
      <c r="F103" s="20" t="str">
        <f t="shared" si="7"/>
        <v/>
      </c>
      <c r="G103" s="37" t="str">
        <f>IF('DDF Original'!B103="","",IF(TRIM('DDF Original'!P103)="",0,'DDF Original'!P103))</f>
        <v/>
      </c>
      <c r="H103" s="20" t="str">
        <f t="shared" si="8"/>
        <v/>
      </c>
      <c r="I103" s="25" t="str">
        <f t="shared" si="9"/>
        <v/>
      </c>
      <c r="J103" s="20" t="str">
        <f t="shared" si="10"/>
        <v/>
      </c>
      <c r="K103" s="20" t="str">
        <f t="shared" si="11"/>
        <v/>
      </c>
      <c r="L103" s="20" t="str">
        <f>IF(B103="","",70*'DDF Original'!$Q$4)</f>
        <v/>
      </c>
      <c r="M103" s="20" t="str">
        <f t="shared" si="12"/>
        <v/>
      </c>
      <c r="N103" s="20" t="str">
        <f>IF(AND(OR(B103="",J103&gt;G103,M103&gt;G103),'DDF Original'!L103&lt;&gt; "MI"),G103,IF(M103&gt;J103,M103,J103))</f>
        <v/>
      </c>
    </row>
    <row r="104" spans="2:14" x14ac:dyDescent="0.2">
      <c r="B104" s="19" t="str">
        <f>IF('DDF Original'!B104="","",'DDF Original'!B104)</f>
        <v/>
      </c>
      <c r="C104" s="19" t="e">
        <f t="shared" si="13"/>
        <v>#VALUE!</v>
      </c>
      <c r="D104" s="20" t="str">
        <f>IF('DDF Original'!C104="","",'DDF Original'!C104)</f>
        <v/>
      </c>
      <c r="E104" s="24" t="str">
        <f>IF('DDF Original'!B104="","",IF(TRIM('DDF Original'!I104)="",0,'DDF Original'!I104))</f>
        <v/>
      </c>
      <c r="F104" s="20" t="str">
        <f t="shared" si="7"/>
        <v/>
      </c>
      <c r="G104" s="37" t="str">
        <f>IF('DDF Original'!B104="","",IF(TRIM('DDF Original'!P104)="",0,'DDF Original'!P104))</f>
        <v/>
      </c>
      <c r="H104" s="20" t="str">
        <f t="shared" si="8"/>
        <v/>
      </c>
      <c r="I104" s="25" t="str">
        <f t="shared" si="9"/>
        <v/>
      </c>
      <c r="J104" s="20" t="str">
        <f t="shared" si="10"/>
        <v/>
      </c>
      <c r="K104" s="20" t="str">
        <f t="shared" si="11"/>
        <v/>
      </c>
      <c r="L104" s="20" t="str">
        <f>IF(B104="","",70*'DDF Original'!$Q$4)</f>
        <v/>
      </c>
      <c r="M104" s="20" t="str">
        <f t="shared" si="12"/>
        <v/>
      </c>
      <c r="N104" s="20" t="str">
        <f>IF(AND(OR(B104="",J104&gt;G104,M104&gt;G104),'DDF Original'!L104&lt;&gt; "MI"),G104,IF(M104&gt;J104,M104,J104))</f>
        <v/>
      </c>
    </row>
    <row r="105" spans="2:14" x14ac:dyDescent="0.2">
      <c r="B105" s="19" t="str">
        <f>IF('DDF Original'!B105="","",'DDF Original'!B105)</f>
        <v/>
      </c>
      <c r="C105" s="19" t="e">
        <f t="shared" si="13"/>
        <v>#VALUE!</v>
      </c>
      <c r="D105" s="20" t="str">
        <f>IF('DDF Original'!C105="","",'DDF Original'!C105)</f>
        <v/>
      </c>
      <c r="E105" s="24" t="str">
        <f>IF('DDF Original'!B105="","",IF(TRIM('DDF Original'!I105)="",0,'DDF Original'!I105))</f>
        <v/>
      </c>
      <c r="F105" s="20" t="str">
        <f t="shared" si="7"/>
        <v/>
      </c>
      <c r="G105" s="37" t="str">
        <f>IF('DDF Original'!B105="","",IF(TRIM('DDF Original'!P105)="",0,'DDF Original'!P105))</f>
        <v/>
      </c>
      <c r="H105" s="20" t="str">
        <f t="shared" si="8"/>
        <v/>
      </c>
      <c r="I105" s="25" t="str">
        <f t="shared" si="9"/>
        <v/>
      </c>
      <c r="J105" s="20" t="str">
        <f t="shared" si="10"/>
        <v/>
      </c>
      <c r="K105" s="20" t="str">
        <f t="shared" si="11"/>
        <v/>
      </c>
      <c r="L105" s="20" t="str">
        <f>IF(B105="","",70*'DDF Original'!$Q$4)</f>
        <v/>
      </c>
      <c r="M105" s="20" t="str">
        <f t="shared" si="12"/>
        <v/>
      </c>
      <c r="N105" s="20" t="str">
        <f>IF(AND(OR(B105="",J105&gt;G105,M105&gt;G105),'DDF Original'!L105&lt;&gt; "MI"),G105,IF(M105&gt;J105,M105,J105))</f>
        <v/>
      </c>
    </row>
    <row r="106" spans="2:14" x14ac:dyDescent="0.2">
      <c r="B106" s="19" t="str">
        <f>IF('DDF Original'!B106="","",'DDF Original'!B106)</f>
        <v/>
      </c>
      <c r="C106" s="19" t="e">
        <f t="shared" si="13"/>
        <v>#VALUE!</v>
      </c>
      <c r="D106" s="20" t="str">
        <f>IF('DDF Original'!C106="","",'DDF Original'!C106)</f>
        <v/>
      </c>
      <c r="E106" s="24" t="str">
        <f>IF('DDF Original'!B106="","",IF(TRIM('DDF Original'!I106)="",0,'DDF Original'!I106))</f>
        <v/>
      </c>
      <c r="F106" s="20" t="str">
        <f t="shared" si="7"/>
        <v/>
      </c>
      <c r="G106" s="37" t="str">
        <f>IF('DDF Original'!B106="","",IF(TRIM('DDF Original'!P106)="",0,'DDF Original'!P106))</f>
        <v/>
      </c>
      <c r="H106" s="20" t="str">
        <f t="shared" si="8"/>
        <v/>
      </c>
      <c r="I106" s="25" t="str">
        <f t="shared" si="9"/>
        <v/>
      </c>
      <c r="J106" s="20" t="str">
        <f t="shared" si="10"/>
        <v/>
      </c>
      <c r="K106" s="20" t="str">
        <f t="shared" si="11"/>
        <v/>
      </c>
      <c r="L106" s="20" t="str">
        <f>IF(B106="","",70*'DDF Original'!$Q$4)</f>
        <v/>
      </c>
      <c r="M106" s="20" t="str">
        <f t="shared" si="12"/>
        <v/>
      </c>
      <c r="N106" s="20" t="str">
        <f>IF(AND(OR(B106="",J106&gt;G106,M106&gt;G106),'DDF Original'!L106&lt;&gt; "MI"),G106,IF(M106&gt;J106,M106,J106))</f>
        <v/>
      </c>
    </row>
    <row r="107" spans="2:14" x14ac:dyDescent="0.2">
      <c r="B107" s="19" t="str">
        <f>IF('DDF Original'!B107="","",'DDF Original'!B107)</f>
        <v/>
      </c>
      <c r="C107" s="19" t="e">
        <f t="shared" si="13"/>
        <v>#VALUE!</v>
      </c>
      <c r="D107" s="20" t="str">
        <f>IF('DDF Original'!C107="","",'DDF Original'!C107)</f>
        <v/>
      </c>
      <c r="E107" s="24" t="str">
        <f>IF('DDF Original'!B107="","",IF(TRIM('DDF Original'!I107)="",0,'DDF Original'!I107))</f>
        <v/>
      </c>
      <c r="F107" s="20" t="str">
        <f t="shared" si="7"/>
        <v/>
      </c>
      <c r="G107" s="37" t="str">
        <f>IF('DDF Original'!B107="","",IF(TRIM('DDF Original'!P107)="",0,'DDF Original'!P107))</f>
        <v/>
      </c>
      <c r="H107" s="20" t="str">
        <f t="shared" si="8"/>
        <v/>
      </c>
      <c r="I107" s="25" t="str">
        <f t="shared" si="9"/>
        <v/>
      </c>
      <c r="J107" s="20" t="str">
        <f t="shared" si="10"/>
        <v/>
      </c>
      <c r="K107" s="20" t="str">
        <f t="shared" si="11"/>
        <v/>
      </c>
      <c r="L107" s="20" t="str">
        <f>IF(B107="","",70*'DDF Original'!$Q$4)</f>
        <v/>
      </c>
      <c r="M107" s="20" t="str">
        <f t="shared" si="12"/>
        <v/>
      </c>
      <c r="N107" s="20" t="str">
        <f>IF(AND(OR(B107="",J107&gt;G107,M107&gt;G107),'DDF Original'!L107&lt;&gt; "MI"),G107,IF(M107&gt;J107,M107,J107))</f>
        <v/>
      </c>
    </row>
    <row r="108" spans="2:14" x14ac:dyDescent="0.2">
      <c r="B108" s="19" t="str">
        <f>IF('DDF Original'!B108="","",'DDF Original'!B108)</f>
        <v/>
      </c>
      <c r="C108" s="19" t="e">
        <f t="shared" si="13"/>
        <v>#VALUE!</v>
      </c>
      <c r="D108" s="20" t="str">
        <f>IF('DDF Original'!C108="","",'DDF Original'!C108)</f>
        <v/>
      </c>
      <c r="E108" s="24" t="str">
        <f>IF('DDF Original'!B108="","",IF(TRIM('DDF Original'!I108)="",0,'DDF Original'!I108))</f>
        <v/>
      </c>
      <c r="F108" s="20" t="str">
        <f t="shared" si="7"/>
        <v/>
      </c>
      <c r="G108" s="37" t="str">
        <f>IF('DDF Original'!B108="","",IF(TRIM('DDF Original'!P108)="",0,'DDF Original'!P108))</f>
        <v/>
      </c>
      <c r="H108" s="20" t="str">
        <f t="shared" si="8"/>
        <v/>
      </c>
      <c r="I108" s="25" t="str">
        <f t="shared" si="9"/>
        <v/>
      </c>
      <c r="J108" s="20" t="str">
        <f t="shared" si="10"/>
        <v/>
      </c>
      <c r="K108" s="20" t="str">
        <f t="shared" si="11"/>
        <v/>
      </c>
      <c r="L108" s="20" t="str">
        <f>IF(B108="","",70*'DDF Original'!$Q$4)</f>
        <v/>
      </c>
      <c r="M108" s="20" t="str">
        <f t="shared" si="12"/>
        <v/>
      </c>
      <c r="N108" s="20" t="str">
        <f>IF(AND(OR(B108="",J108&gt;G108,M108&gt;G108),'DDF Original'!L108&lt;&gt; "MI"),G108,IF(M108&gt;J108,M108,J108))</f>
        <v/>
      </c>
    </row>
    <row r="109" spans="2:14" x14ac:dyDescent="0.2">
      <c r="B109" s="19" t="str">
        <f>IF('DDF Original'!B109="","",'DDF Original'!B109)</f>
        <v/>
      </c>
      <c r="C109" s="19" t="e">
        <f t="shared" si="13"/>
        <v>#VALUE!</v>
      </c>
      <c r="D109" s="20" t="str">
        <f>IF('DDF Original'!C109="","",'DDF Original'!C109)</f>
        <v/>
      </c>
      <c r="E109" s="24" t="str">
        <f>IF('DDF Original'!B109="","",IF(TRIM('DDF Original'!I109)="",0,'DDF Original'!I109))</f>
        <v/>
      </c>
      <c r="F109" s="20" t="str">
        <f t="shared" si="7"/>
        <v/>
      </c>
      <c r="G109" s="37" t="str">
        <f>IF('DDF Original'!B109="","",IF(TRIM('DDF Original'!P109)="",0,'DDF Original'!P109))</f>
        <v/>
      </c>
      <c r="H109" s="20" t="str">
        <f t="shared" si="8"/>
        <v/>
      </c>
      <c r="I109" s="25" t="str">
        <f t="shared" si="9"/>
        <v/>
      </c>
      <c r="J109" s="20" t="str">
        <f t="shared" si="10"/>
        <v/>
      </c>
      <c r="K109" s="20" t="str">
        <f t="shared" si="11"/>
        <v/>
      </c>
      <c r="L109" s="20" t="str">
        <f>IF(B109="","",70*'DDF Original'!$Q$4)</f>
        <v/>
      </c>
      <c r="M109" s="20" t="str">
        <f t="shared" si="12"/>
        <v/>
      </c>
      <c r="N109" s="20" t="str">
        <f>IF(AND(OR(B109="",J109&gt;G109,M109&gt;G109),'DDF Original'!L109&lt;&gt; "MI"),G109,IF(M109&gt;J109,M109,J109))</f>
        <v/>
      </c>
    </row>
    <row r="110" spans="2:14" x14ac:dyDescent="0.2">
      <c r="B110" s="19" t="str">
        <f>IF('DDF Original'!B110="","",'DDF Original'!B110)</f>
        <v/>
      </c>
      <c r="C110" s="19" t="e">
        <f t="shared" si="13"/>
        <v>#VALUE!</v>
      </c>
      <c r="D110" s="20" t="str">
        <f>IF('DDF Original'!C110="","",'DDF Original'!C110)</f>
        <v/>
      </c>
      <c r="E110" s="24" t="str">
        <f>IF('DDF Original'!B110="","",IF(TRIM('DDF Original'!I110)="",0,'DDF Original'!I110))</f>
        <v/>
      </c>
      <c r="F110" s="20" t="str">
        <f t="shared" si="7"/>
        <v/>
      </c>
      <c r="G110" s="37" t="str">
        <f>IF('DDF Original'!B110="","",IF(TRIM('DDF Original'!P110)="",0,'DDF Original'!P110))</f>
        <v/>
      </c>
      <c r="H110" s="20" t="str">
        <f t="shared" si="8"/>
        <v/>
      </c>
      <c r="I110" s="25" t="str">
        <f t="shared" si="9"/>
        <v/>
      </c>
      <c r="J110" s="20" t="str">
        <f t="shared" si="10"/>
        <v/>
      </c>
      <c r="K110" s="20" t="str">
        <f t="shared" si="11"/>
        <v/>
      </c>
      <c r="L110" s="20" t="str">
        <f>IF(B110="","",70*'DDF Original'!$Q$4)</f>
        <v/>
      </c>
      <c r="M110" s="20" t="str">
        <f t="shared" si="12"/>
        <v/>
      </c>
      <c r="N110" s="20" t="str">
        <f>IF(AND(OR(B110="",J110&gt;G110,M110&gt;G110),'DDF Original'!L110&lt;&gt; "MI"),G110,IF(M110&gt;J110,M110,J110))</f>
        <v/>
      </c>
    </row>
    <row r="111" spans="2:14" x14ac:dyDescent="0.2">
      <c r="B111" s="19" t="str">
        <f>IF('DDF Original'!B111="","",'DDF Original'!B111)</f>
        <v/>
      </c>
      <c r="C111" s="19" t="e">
        <f t="shared" si="13"/>
        <v>#VALUE!</v>
      </c>
      <c r="D111" s="20" t="str">
        <f>IF('DDF Original'!C111="","",'DDF Original'!C111)</f>
        <v/>
      </c>
      <c r="E111" s="24" t="str">
        <f>IF('DDF Original'!B111="","",IF(TRIM('DDF Original'!I111)="",0,'DDF Original'!I111))</f>
        <v/>
      </c>
      <c r="F111" s="20" t="str">
        <f t="shared" si="7"/>
        <v/>
      </c>
      <c r="G111" s="37" t="str">
        <f>IF('DDF Original'!B111="","",IF(TRIM('DDF Original'!P111)="",0,'DDF Original'!P111))</f>
        <v/>
      </c>
      <c r="H111" s="20" t="str">
        <f t="shared" si="8"/>
        <v/>
      </c>
      <c r="I111" s="25" t="str">
        <f t="shared" si="9"/>
        <v/>
      </c>
      <c r="J111" s="20" t="str">
        <f t="shared" si="10"/>
        <v/>
      </c>
      <c r="K111" s="20" t="str">
        <f t="shared" si="11"/>
        <v/>
      </c>
      <c r="L111" s="20" t="str">
        <f>IF(B111="","",70*'DDF Original'!$Q$4)</f>
        <v/>
      </c>
      <c r="M111" s="20" t="str">
        <f t="shared" si="12"/>
        <v/>
      </c>
      <c r="N111" s="20" t="str">
        <f>IF(AND(OR(B111="",J111&gt;G111,M111&gt;G111),'DDF Original'!L111&lt;&gt; "MI"),G111,IF(M111&gt;J111,M111,J111))</f>
        <v/>
      </c>
    </row>
    <row r="112" spans="2:14" x14ac:dyDescent="0.2">
      <c r="B112" s="19" t="str">
        <f>IF('DDF Original'!B112="","",'DDF Original'!B112)</f>
        <v/>
      </c>
      <c r="C112" s="19" t="e">
        <f t="shared" si="13"/>
        <v>#VALUE!</v>
      </c>
      <c r="D112" s="20" t="str">
        <f>IF('DDF Original'!C112="","",'DDF Original'!C112)</f>
        <v/>
      </c>
      <c r="E112" s="24" t="str">
        <f>IF('DDF Original'!B112="","",IF(TRIM('DDF Original'!I112)="",0,'DDF Original'!I112))</f>
        <v/>
      </c>
      <c r="F112" s="20" t="str">
        <f t="shared" si="7"/>
        <v/>
      </c>
      <c r="G112" s="37" t="str">
        <f>IF('DDF Original'!B112="","",IF(TRIM('DDF Original'!P112)="",0,'DDF Original'!P112))</f>
        <v/>
      </c>
      <c r="H112" s="20" t="str">
        <f t="shared" si="8"/>
        <v/>
      </c>
      <c r="I112" s="25" t="str">
        <f t="shared" si="9"/>
        <v/>
      </c>
      <c r="J112" s="20" t="str">
        <f t="shared" si="10"/>
        <v/>
      </c>
      <c r="K112" s="20" t="str">
        <f t="shared" si="11"/>
        <v/>
      </c>
      <c r="L112" s="20" t="str">
        <f>IF(B112="","",70*'DDF Original'!$Q$4)</f>
        <v/>
      </c>
      <c r="M112" s="20" t="str">
        <f t="shared" si="12"/>
        <v/>
      </c>
      <c r="N112" s="20" t="str">
        <f>IF(AND(OR(B112="",J112&gt;G112,M112&gt;G112),'DDF Original'!L112&lt;&gt; "MI"),G112,IF(M112&gt;J112,M112,J112))</f>
        <v/>
      </c>
    </row>
    <row r="113" spans="2:14" x14ac:dyDescent="0.2">
      <c r="B113" s="19" t="str">
        <f>IF('DDF Original'!B113="","",'DDF Original'!B113)</f>
        <v/>
      </c>
      <c r="C113" s="19" t="e">
        <f t="shared" si="13"/>
        <v>#VALUE!</v>
      </c>
      <c r="D113" s="20" t="str">
        <f>IF('DDF Original'!C113="","",'DDF Original'!C113)</f>
        <v/>
      </c>
      <c r="E113" s="24" t="str">
        <f>IF('DDF Original'!B113="","",IF(TRIM('DDF Original'!I113)="",0,'DDF Original'!I113))</f>
        <v/>
      </c>
      <c r="F113" s="20" t="str">
        <f t="shared" si="7"/>
        <v/>
      </c>
      <c r="G113" s="37" t="str">
        <f>IF('DDF Original'!B113="","",IF(TRIM('DDF Original'!P113)="",0,'DDF Original'!P113))</f>
        <v/>
      </c>
      <c r="H113" s="20" t="str">
        <f t="shared" si="8"/>
        <v/>
      </c>
      <c r="I113" s="25" t="str">
        <f t="shared" si="9"/>
        <v/>
      </c>
      <c r="J113" s="20" t="str">
        <f t="shared" si="10"/>
        <v/>
      </c>
      <c r="K113" s="20" t="str">
        <f t="shared" si="11"/>
        <v/>
      </c>
      <c r="L113" s="20" t="str">
        <f>IF(B113="","",70*'DDF Original'!$Q$4)</f>
        <v/>
      </c>
      <c r="M113" s="20" t="str">
        <f t="shared" si="12"/>
        <v/>
      </c>
      <c r="N113" s="20" t="str">
        <f>IF(AND(OR(B113="",J113&gt;G113,M113&gt;G113),'DDF Original'!L113&lt;&gt; "MI"),G113,IF(M113&gt;J113,M113,J113))</f>
        <v/>
      </c>
    </row>
    <row r="114" spans="2:14" x14ac:dyDescent="0.2">
      <c r="B114" s="19" t="str">
        <f>IF('DDF Original'!B114="","",'DDF Original'!B114)</f>
        <v/>
      </c>
      <c r="C114" s="19" t="e">
        <f t="shared" si="13"/>
        <v>#VALUE!</v>
      </c>
      <c r="D114" s="20" t="str">
        <f>IF('DDF Original'!C114="","",'DDF Original'!C114)</f>
        <v/>
      </c>
      <c r="E114" s="24" t="str">
        <f>IF('DDF Original'!B114="","",IF(TRIM('DDF Original'!I114)="",0,'DDF Original'!I114))</f>
        <v/>
      </c>
      <c r="F114" s="20" t="str">
        <f t="shared" si="7"/>
        <v/>
      </c>
      <c r="G114" s="37" t="str">
        <f>IF('DDF Original'!B114="","",IF(TRIM('DDF Original'!P114)="",0,'DDF Original'!P114))</f>
        <v/>
      </c>
      <c r="H114" s="20" t="str">
        <f t="shared" si="8"/>
        <v/>
      </c>
      <c r="I114" s="25" t="str">
        <f t="shared" si="9"/>
        <v/>
      </c>
      <c r="J114" s="20" t="str">
        <f t="shared" si="10"/>
        <v/>
      </c>
      <c r="K114" s="20" t="str">
        <f t="shared" si="11"/>
        <v/>
      </c>
      <c r="L114" s="20" t="str">
        <f>IF(B114="","",70*'DDF Original'!$Q$4)</f>
        <v/>
      </c>
      <c r="M114" s="20" t="str">
        <f t="shared" si="12"/>
        <v/>
      </c>
      <c r="N114" s="20" t="str">
        <f>IF(AND(OR(B114="",J114&gt;G114,M114&gt;G114),'DDF Original'!L114&lt;&gt; "MI"),G114,IF(M114&gt;J114,M114,J114))</f>
        <v/>
      </c>
    </row>
    <row r="115" spans="2:14" x14ac:dyDescent="0.2">
      <c r="B115" s="19" t="str">
        <f>IF('DDF Original'!B115="","",'DDF Original'!B115)</f>
        <v/>
      </c>
      <c r="C115" s="19" t="e">
        <f t="shared" si="13"/>
        <v>#VALUE!</v>
      </c>
      <c r="D115" s="20" t="str">
        <f>IF('DDF Original'!C115="","",'DDF Original'!C115)</f>
        <v/>
      </c>
      <c r="E115" s="24" t="str">
        <f>IF('DDF Original'!B115="","",IF(TRIM('DDF Original'!I115)="",0,'DDF Original'!I115))</f>
        <v/>
      </c>
      <c r="F115" s="20" t="str">
        <f t="shared" si="7"/>
        <v/>
      </c>
      <c r="G115" s="37" t="str">
        <f>IF('DDF Original'!B115="","",IF(TRIM('DDF Original'!P115)="",0,'DDF Original'!P115))</f>
        <v/>
      </c>
      <c r="H115" s="20" t="str">
        <f t="shared" si="8"/>
        <v/>
      </c>
      <c r="I115" s="25" t="str">
        <f t="shared" si="9"/>
        <v/>
      </c>
      <c r="J115" s="20" t="str">
        <f t="shared" si="10"/>
        <v/>
      </c>
      <c r="K115" s="20" t="str">
        <f t="shared" si="11"/>
        <v/>
      </c>
      <c r="L115" s="20" t="str">
        <f>IF(B115="","",70*'DDF Original'!$Q$4)</f>
        <v/>
      </c>
      <c r="M115" s="20" t="str">
        <f t="shared" si="12"/>
        <v/>
      </c>
      <c r="N115" s="20" t="str">
        <f>IF(AND(OR(B115="",J115&gt;G115,M115&gt;G115),'DDF Original'!L115&lt;&gt; "MI"),G115,IF(M115&gt;J115,M115,J115))</f>
        <v/>
      </c>
    </row>
    <row r="116" spans="2:14" x14ac:dyDescent="0.2">
      <c r="B116" s="19" t="str">
        <f>IF('DDF Original'!B116="","",'DDF Original'!B116)</f>
        <v/>
      </c>
      <c r="C116" s="19" t="e">
        <f t="shared" si="13"/>
        <v>#VALUE!</v>
      </c>
      <c r="D116" s="20" t="str">
        <f>IF('DDF Original'!C116="","",'DDF Original'!C116)</f>
        <v/>
      </c>
      <c r="E116" s="24" t="str">
        <f>IF('DDF Original'!B116="","",IF(TRIM('DDF Original'!I116)="",0,'DDF Original'!I116))</f>
        <v/>
      </c>
      <c r="F116" s="20" t="str">
        <f t="shared" si="7"/>
        <v/>
      </c>
      <c r="G116" s="37" t="str">
        <f>IF('DDF Original'!B116="","",IF(TRIM('DDF Original'!P116)="",0,'DDF Original'!P116))</f>
        <v/>
      </c>
      <c r="H116" s="20" t="str">
        <f t="shared" si="8"/>
        <v/>
      </c>
      <c r="I116" s="25" t="str">
        <f t="shared" si="9"/>
        <v/>
      </c>
      <c r="J116" s="20" t="str">
        <f t="shared" si="10"/>
        <v/>
      </c>
      <c r="K116" s="20" t="str">
        <f t="shared" si="11"/>
        <v/>
      </c>
      <c r="L116" s="20" t="str">
        <f>IF(B116="","",70*'DDF Original'!$Q$4)</f>
        <v/>
      </c>
      <c r="M116" s="20" t="str">
        <f t="shared" si="12"/>
        <v/>
      </c>
      <c r="N116" s="20" t="str">
        <f>IF(AND(OR(B116="",J116&gt;G116,M116&gt;G116),'DDF Original'!L116&lt;&gt; "MI"),G116,IF(M116&gt;J116,M116,J116))</f>
        <v/>
      </c>
    </row>
    <row r="117" spans="2:14" x14ac:dyDescent="0.2">
      <c r="B117" s="19" t="str">
        <f>IF('DDF Original'!B117="","",'DDF Original'!B117)</f>
        <v/>
      </c>
      <c r="C117" s="19" t="e">
        <f t="shared" si="13"/>
        <v>#VALUE!</v>
      </c>
      <c r="D117" s="20" t="str">
        <f>IF('DDF Original'!C117="","",'DDF Original'!C117)</f>
        <v/>
      </c>
      <c r="E117" s="24" t="str">
        <f>IF('DDF Original'!B117="","",IF(TRIM('DDF Original'!I117)="",0,'DDF Original'!I117))</f>
        <v/>
      </c>
      <c r="F117" s="20" t="str">
        <f t="shared" si="7"/>
        <v/>
      </c>
      <c r="G117" s="37" t="str">
        <f>IF('DDF Original'!B117="","",IF(TRIM('DDF Original'!P117)="",0,'DDF Original'!P117))</f>
        <v/>
      </c>
      <c r="H117" s="20" t="str">
        <f t="shared" si="8"/>
        <v/>
      </c>
      <c r="I117" s="25" t="str">
        <f t="shared" si="9"/>
        <v/>
      </c>
      <c r="J117" s="20" t="str">
        <f t="shared" si="10"/>
        <v/>
      </c>
      <c r="K117" s="20" t="str">
        <f t="shared" si="11"/>
        <v/>
      </c>
      <c r="L117" s="20" t="str">
        <f>IF(B117="","",70*'DDF Original'!$Q$4)</f>
        <v/>
      </c>
      <c r="M117" s="20" t="str">
        <f t="shared" si="12"/>
        <v/>
      </c>
      <c r="N117" s="20" t="str">
        <f>IF(AND(OR(B117="",J117&gt;G117,M117&gt;G117),'DDF Original'!L117&lt;&gt; "MI"),G117,IF(M117&gt;J117,M117,J117))</f>
        <v/>
      </c>
    </row>
    <row r="118" spans="2:14" x14ac:dyDescent="0.2">
      <c r="B118" s="19" t="str">
        <f>IF('DDF Original'!B118="","",'DDF Original'!B118)</f>
        <v/>
      </c>
      <c r="C118" s="19" t="e">
        <f t="shared" si="13"/>
        <v>#VALUE!</v>
      </c>
      <c r="D118" s="20" t="str">
        <f>IF('DDF Original'!C118="","",'DDF Original'!C118)</f>
        <v/>
      </c>
      <c r="E118" s="24" t="str">
        <f>IF('DDF Original'!B118="","",IF(TRIM('DDF Original'!I118)="",0,'DDF Original'!I118))</f>
        <v/>
      </c>
      <c r="F118" s="20" t="str">
        <f t="shared" si="7"/>
        <v/>
      </c>
      <c r="G118" s="37" t="str">
        <f>IF('DDF Original'!B118="","",IF(TRIM('DDF Original'!P118)="",0,'DDF Original'!P118))</f>
        <v/>
      </c>
      <c r="H118" s="20" t="str">
        <f t="shared" si="8"/>
        <v/>
      </c>
      <c r="I118" s="25" t="str">
        <f t="shared" si="9"/>
        <v/>
      </c>
      <c r="J118" s="20" t="str">
        <f t="shared" si="10"/>
        <v/>
      </c>
      <c r="K118" s="20" t="str">
        <f t="shared" si="11"/>
        <v/>
      </c>
      <c r="L118" s="20" t="str">
        <f>IF(B118="","",70*'DDF Original'!$Q$4)</f>
        <v/>
      </c>
      <c r="M118" s="20" t="str">
        <f t="shared" si="12"/>
        <v/>
      </c>
      <c r="N118" s="20" t="str">
        <f>IF(AND(OR(B118="",J118&gt;G118,M118&gt;G118),'DDF Original'!L118&lt;&gt; "MI"),G118,IF(M118&gt;J118,M118,J118))</f>
        <v/>
      </c>
    </row>
    <row r="119" spans="2:14" x14ac:dyDescent="0.2">
      <c r="B119" s="19" t="str">
        <f>IF('DDF Original'!B119="","",'DDF Original'!B119)</f>
        <v/>
      </c>
      <c r="C119" s="19" t="e">
        <f t="shared" si="13"/>
        <v>#VALUE!</v>
      </c>
      <c r="D119" s="20" t="str">
        <f>IF('DDF Original'!C119="","",'DDF Original'!C119)</f>
        <v/>
      </c>
      <c r="E119" s="24" t="str">
        <f>IF('DDF Original'!B119="","",IF(TRIM('DDF Original'!I119)="",0,'DDF Original'!I119))</f>
        <v/>
      </c>
      <c r="F119" s="20" t="str">
        <f t="shared" si="7"/>
        <v/>
      </c>
      <c r="G119" s="37" t="str">
        <f>IF('DDF Original'!B119="","",IF(TRIM('DDF Original'!P119)="",0,'DDF Original'!P119))</f>
        <v/>
      </c>
      <c r="H119" s="20" t="str">
        <f t="shared" si="8"/>
        <v/>
      </c>
      <c r="I119" s="25" t="str">
        <f t="shared" si="9"/>
        <v/>
      </c>
      <c r="J119" s="20" t="str">
        <f t="shared" si="10"/>
        <v/>
      </c>
      <c r="K119" s="20" t="str">
        <f t="shared" si="11"/>
        <v/>
      </c>
      <c r="L119" s="20" t="str">
        <f>IF(B119="","",70*'DDF Original'!$Q$4)</f>
        <v/>
      </c>
      <c r="M119" s="20" t="str">
        <f t="shared" si="12"/>
        <v/>
      </c>
      <c r="N119" s="20" t="str">
        <f>IF(AND(OR(B119="",J119&gt;G119,M119&gt;G119),'DDF Original'!L119&lt;&gt; "MI"),G119,IF(M119&gt;J119,M119,J119))</f>
        <v/>
      </c>
    </row>
    <row r="120" spans="2:14" x14ac:dyDescent="0.2">
      <c r="B120" s="19" t="str">
        <f>IF('DDF Original'!B120="","",'DDF Original'!B120)</f>
        <v/>
      </c>
      <c r="C120" s="19" t="e">
        <f t="shared" si="13"/>
        <v>#VALUE!</v>
      </c>
      <c r="D120" s="20" t="str">
        <f>IF('DDF Original'!C120="","",'DDF Original'!C120)</f>
        <v/>
      </c>
      <c r="E120" s="24" t="str">
        <f>IF('DDF Original'!B120="","",IF(TRIM('DDF Original'!I120)="",0,'DDF Original'!I120))</f>
        <v/>
      </c>
      <c r="F120" s="20" t="str">
        <f t="shared" si="7"/>
        <v/>
      </c>
      <c r="G120" s="37" t="str">
        <f>IF('DDF Original'!B120="","",IF(TRIM('DDF Original'!P120)="",0,'DDF Original'!P120))</f>
        <v/>
      </c>
      <c r="H120" s="20" t="str">
        <f t="shared" si="8"/>
        <v/>
      </c>
      <c r="I120" s="25" t="str">
        <f t="shared" si="9"/>
        <v/>
      </c>
      <c r="J120" s="20" t="str">
        <f t="shared" si="10"/>
        <v/>
      </c>
      <c r="K120" s="20" t="str">
        <f t="shared" si="11"/>
        <v/>
      </c>
      <c r="L120" s="20" t="str">
        <f>IF(B120="","",70*'DDF Original'!$Q$4)</f>
        <v/>
      </c>
      <c r="M120" s="20" t="str">
        <f t="shared" si="12"/>
        <v/>
      </c>
      <c r="N120" s="20" t="str">
        <f>IF(AND(OR(B120="",J120&gt;G120,M120&gt;G120),'DDF Original'!L120&lt;&gt; "MI"),G120,IF(M120&gt;J120,M120,J120))</f>
        <v/>
      </c>
    </row>
    <row r="121" spans="2:14" x14ac:dyDescent="0.2">
      <c r="B121" s="19" t="str">
        <f>IF('DDF Original'!B121="","",'DDF Original'!B121)</f>
        <v/>
      </c>
      <c r="C121" s="19" t="e">
        <f t="shared" si="13"/>
        <v>#VALUE!</v>
      </c>
      <c r="D121" s="20" t="str">
        <f>IF('DDF Original'!C121="","",'DDF Original'!C121)</f>
        <v/>
      </c>
      <c r="E121" s="24" t="str">
        <f>IF('DDF Original'!B121="","",IF(TRIM('DDF Original'!I121)="",0,'DDF Original'!I121))</f>
        <v/>
      </c>
      <c r="F121" s="20" t="str">
        <f t="shared" si="7"/>
        <v/>
      </c>
      <c r="G121" s="37" t="str">
        <f>IF('DDF Original'!B121="","",IF(TRIM('DDF Original'!P121)="",0,'DDF Original'!P121))</f>
        <v/>
      </c>
      <c r="H121" s="20" t="str">
        <f t="shared" si="8"/>
        <v/>
      </c>
      <c r="I121" s="25" t="str">
        <f t="shared" si="9"/>
        <v/>
      </c>
      <c r="J121" s="20" t="str">
        <f t="shared" si="10"/>
        <v/>
      </c>
      <c r="K121" s="20" t="str">
        <f t="shared" si="11"/>
        <v/>
      </c>
      <c r="L121" s="20" t="str">
        <f>IF(B121="","",70*'DDF Original'!$Q$4)</f>
        <v/>
      </c>
      <c r="M121" s="20" t="str">
        <f t="shared" si="12"/>
        <v/>
      </c>
      <c r="N121" s="20" t="str">
        <f>IF(AND(OR(B121="",J121&gt;G121,M121&gt;G121),'DDF Original'!L121&lt;&gt; "MI"),G121,IF(M121&gt;J121,M121,J121))</f>
        <v/>
      </c>
    </row>
    <row r="122" spans="2:14" x14ac:dyDescent="0.2">
      <c r="B122" s="19" t="str">
        <f>IF('DDF Original'!B122="","",'DDF Original'!B122)</f>
        <v/>
      </c>
      <c r="C122" s="19" t="e">
        <f t="shared" si="13"/>
        <v>#VALUE!</v>
      </c>
      <c r="D122" s="20" t="str">
        <f>IF('DDF Original'!C122="","",'DDF Original'!C122)</f>
        <v/>
      </c>
      <c r="E122" s="24" t="str">
        <f>IF('DDF Original'!B122="","",IF(TRIM('DDF Original'!I122)="",0,'DDF Original'!I122))</f>
        <v/>
      </c>
      <c r="F122" s="20" t="str">
        <f t="shared" si="7"/>
        <v/>
      </c>
      <c r="G122" s="37" t="str">
        <f>IF('DDF Original'!B122="","",IF(TRIM('DDF Original'!P122)="",0,'DDF Original'!P122))</f>
        <v/>
      </c>
      <c r="H122" s="20" t="str">
        <f t="shared" si="8"/>
        <v/>
      </c>
      <c r="I122" s="25" t="str">
        <f t="shared" si="9"/>
        <v/>
      </c>
      <c r="J122" s="20" t="str">
        <f t="shared" si="10"/>
        <v/>
      </c>
      <c r="K122" s="20" t="str">
        <f t="shared" si="11"/>
        <v/>
      </c>
      <c r="L122" s="20" t="str">
        <f>IF(B122="","",70*'DDF Original'!$Q$4)</f>
        <v/>
      </c>
      <c r="M122" s="20" t="str">
        <f t="shared" si="12"/>
        <v/>
      </c>
      <c r="N122" s="20" t="str">
        <f>IF(AND(OR(B122="",J122&gt;G122,M122&gt;G122),'DDF Original'!L122&lt;&gt; "MI"),G122,IF(M122&gt;J122,M122,J122))</f>
        <v/>
      </c>
    </row>
    <row r="123" spans="2:14" x14ac:dyDescent="0.2">
      <c r="B123" s="19" t="str">
        <f>IF('DDF Original'!B123="","",'DDF Original'!B123)</f>
        <v/>
      </c>
      <c r="C123" s="19" t="e">
        <f t="shared" si="13"/>
        <v>#VALUE!</v>
      </c>
      <c r="D123" s="20" t="str">
        <f>IF('DDF Original'!C123="","",'DDF Original'!C123)</f>
        <v/>
      </c>
      <c r="E123" s="24" t="str">
        <f>IF('DDF Original'!B123="","",IF(TRIM('DDF Original'!I123)="",0,'DDF Original'!I123))</f>
        <v/>
      </c>
      <c r="F123" s="20" t="str">
        <f t="shared" si="7"/>
        <v/>
      </c>
      <c r="G123" s="37" t="str">
        <f>IF('DDF Original'!B123="","",IF(TRIM('DDF Original'!P123)="",0,'DDF Original'!P123))</f>
        <v/>
      </c>
      <c r="H123" s="20" t="str">
        <f t="shared" si="8"/>
        <v/>
      </c>
      <c r="I123" s="25" t="str">
        <f t="shared" si="9"/>
        <v/>
      </c>
      <c r="J123" s="20" t="str">
        <f t="shared" si="10"/>
        <v/>
      </c>
      <c r="K123" s="20" t="str">
        <f t="shared" si="11"/>
        <v/>
      </c>
      <c r="L123" s="20" t="str">
        <f>IF(B123="","",70*'DDF Original'!$Q$4)</f>
        <v/>
      </c>
      <c r="M123" s="20" t="str">
        <f t="shared" si="12"/>
        <v/>
      </c>
      <c r="N123" s="20" t="str">
        <f>IF(AND(OR(B123="",J123&gt;G123,M123&gt;G123),'DDF Original'!L123&lt;&gt; "MI"),G123,IF(M123&gt;J123,M123,J123))</f>
        <v/>
      </c>
    </row>
    <row r="124" spans="2:14" x14ac:dyDescent="0.2">
      <c r="B124" s="19" t="str">
        <f>IF('DDF Original'!B124="","",'DDF Original'!B124)</f>
        <v/>
      </c>
      <c r="C124" s="19" t="e">
        <f t="shared" si="13"/>
        <v>#VALUE!</v>
      </c>
      <c r="D124" s="20" t="str">
        <f>IF('DDF Original'!C124="","",'DDF Original'!C124)</f>
        <v/>
      </c>
      <c r="E124" s="24" t="str">
        <f>IF('DDF Original'!B124="","",IF(TRIM('DDF Original'!I124)="",0,'DDF Original'!I124))</f>
        <v/>
      </c>
      <c r="F124" s="20" t="str">
        <f t="shared" si="7"/>
        <v/>
      </c>
      <c r="G124" s="37" t="str">
        <f>IF('DDF Original'!B124="","",IF(TRIM('DDF Original'!P124)="",0,'DDF Original'!P124))</f>
        <v/>
      </c>
      <c r="H124" s="20" t="str">
        <f t="shared" si="8"/>
        <v/>
      </c>
      <c r="I124" s="25" t="str">
        <f t="shared" si="9"/>
        <v/>
      </c>
      <c r="J124" s="20" t="str">
        <f t="shared" si="10"/>
        <v/>
      </c>
      <c r="K124" s="20" t="str">
        <f t="shared" si="11"/>
        <v/>
      </c>
      <c r="L124" s="20" t="str">
        <f>IF(B124="","",70*'DDF Original'!$Q$4)</f>
        <v/>
      </c>
      <c r="M124" s="20" t="str">
        <f t="shared" si="12"/>
        <v/>
      </c>
      <c r="N124" s="20" t="str">
        <f>IF(AND(OR(B124="",J124&gt;G124,M124&gt;G124),'DDF Original'!L124&lt;&gt; "MI"),G124,IF(M124&gt;J124,M124,J124))</f>
        <v/>
      </c>
    </row>
    <row r="125" spans="2:14" x14ac:dyDescent="0.2">
      <c r="B125" s="19" t="str">
        <f>IF('DDF Original'!B125="","",'DDF Original'!B125)</f>
        <v/>
      </c>
      <c r="C125" s="19" t="e">
        <f t="shared" si="13"/>
        <v>#VALUE!</v>
      </c>
      <c r="D125" s="20" t="str">
        <f>IF('DDF Original'!C125="","",'DDF Original'!C125)</f>
        <v/>
      </c>
      <c r="E125" s="24" t="str">
        <f>IF('DDF Original'!B125="","",IF(TRIM('DDF Original'!I125)="",0,'DDF Original'!I125))</f>
        <v/>
      </c>
      <c r="F125" s="20" t="str">
        <f t="shared" si="7"/>
        <v/>
      </c>
      <c r="G125" s="37" t="str">
        <f>IF('DDF Original'!B125="","",IF(TRIM('DDF Original'!P125)="",0,'DDF Original'!P125))</f>
        <v/>
      </c>
      <c r="H125" s="20" t="str">
        <f t="shared" si="8"/>
        <v/>
      </c>
      <c r="I125" s="25" t="str">
        <f t="shared" si="9"/>
        <v/>
      </c>
      <c r="J125" s="20" t="str">
        <f t="shared" si="10"/>
        <v/>
      </c>
      <c r="K125" s="20" t="str">
        <f t="shared" si="11"/>
        <v/>
      </c>
      <c r="L125" s="20" t="str">
        <f>IF(B125="","",70*'DDF Original'!$Q$4)</f>
        <v/>
      </c>
      <c r="M125" s="20" t="str">
        <f t="shared" si="12"/>
        <v/>
      </c>
      <c r="N125" s="20" t="str">
        <f>IF(AND(OR(B125="",J125&gt;G125,M125&gt;G125),'DDF Original'!L125&lt;&gt; "MI"),G125,IF(M125&gt;J125,M125,J125))</f>
        <v/>
      </c>
    </row>
    <row r="126" spans="2:14" x14ac:dyDescent="0.2">
      <c r="B126" s="19" t="str">
        <f>IF('DDF Original'!B126="","",'DDF Original'!B126)</f>
        <v/>
      </c>
      <c r="C126" s="19" t="e">
        <f t="shared" si="13"/>
        <v>#VALUE!</v>
      </c>
      <c r="D126" s="20" t="str">
        <f>IF('DDF Original'!C126="","",'DDF Original'!C126)</f>
        <v/>
      </c>
      <c r="E126" s="24" t="str">
        <f>IF('DDF Original'!B126="","",IF(TRIM('DDF Original'!I126)="",0,'DDF Original'!I126))</f>
        <v/>
      </c>
      <c r="F126" s="20" t="str">
        <f t="shared" si="7"/>
        <v/>
      </c>
      <c r="G126" s="37" t="str">
        <f>IF('DDF Original'!B126="","",IF(TRIM('DDF Original'!P126)="",0,'DDF Original'!P126))</f>
        <v/>
      </c>
      <c r="H126" s="20" t="str">
        <f t="shared" si="8"/>
        <v/>
      </c>
      <c r="I126" s="25" t="str">
        <f t="shared" si="9"/>
        <v/>
      </c>
      <c r="J126" s="20" t="str">
        <f t="shared" si="10"/>
        <v/>
      </c>
      <c r="K126" s="20" t="str">
        <f t="shared" si="11"/>
        <v/>
      </c>
      <c r="L126" s="20" t="str">
        <f>IF(B126="","",70*'DDF Original'!$Q$4)</f>
        <v/>
      </c>
      <c r="M126" s="20" t="str">
        <f t="shared" si="12"/>
        <v/>
      </c>
      <c r="N126" s="20" t="str">
        <f>IF(AND(OR(B126="",J126&gt;G126,M126&gt;G126),'DDF Original'!L126&lt;&gt; "MI"),G126,IF(M126&gt;J126,M126,J126))</f>
        <v/>
      </c>
    </row>
    <row r="127" spans="2:14" x14ac:dyDescent="0.2">
      <c r="B127" s="19" t="str">
        <f>IF('DDF Original'!B127="","",'DDF Original'!B127)</f>
        <v/>
      </c>
      <c r="C127" s="19" t="e">
        <f t="shared" si="13"/>
        <v>#VALUE!</v>
      </c>
      <c r="D127" s="20" t="str">
        <f>IF('DDF Original'!C127="","",'DDF Original'!C127)</f>
        <v/>
      </c>
      <c r="E127" s="24" t="str">
        <f>IF('DDF Original'!B127="","",IF(TRIM('DDF Original'!I127)="",0,'DDF Original'!I127))</f>
        <v/>
      </c>
      <c r="F127" s="20" t="str">
        <f t="shared" si="7"/>
        <v/>
      </c>
      <c r="G127" s="37" t="str">
        <f>IF('DDF Original'!B127="","",IF(TRIM('DDF Original'!P127)="",0,'DDF Original'!P127))</f>
        <v/>
      </c>
      <c r="H127" s="20" t="str">
        <f t="shared" si="8"/>
        <v/>
      </c>
      <c r="I127" s="25" t="str">
        <f t="shared" si="9"/>
        <v/>
      </c>
      <c r="J127" s="20" t="str">
        <f t="shared" si="10"/>
        <v/>
      </c>
      <c r="K127" s="20" t="str">
        <f t="shared" si="11"/>
        <v/>
      </c>
      <c r="L127" s="20" t="str">
        <f>IF(B127="","",70*'DDF Original'!$Q$4)</f>
        <v/>
      </c>
      <c r="M127" s="20" t="str">
        <f t="shared" si="12"/>
        <v/>
      </c>
      <c r="N127" s="20" t="str">
        <f>IF(AND(OR(B127="",J127&gt;G127,M127&gt;G127),'DDF Original'!L127&lt;&gt; "MI"),G127,IF(M127&gt;J127,M127,J127))</f>
        <v/>
      </c>
    </row>
    <row r="128" spans="2:14" x14ac:dyDescent="0.2">
      <c r="B128" s="19" t="str">
        <f>IF('DDF Original'!B128="","",'DDF Original'!B128)</f>
        <v/>
      </c>
      <c r="C128" s="19" t="e">
        <f t="shared" si="13"/>
        <v>#VALUE!</v>
      </c>
      <c r="D128" s="20" t="str">
        <f>IF('DDF Original'!C128="","",'DDF Original'!C128)</f>
        <v/>
      </c>
      <c r="E128" s="24" t="str">
        <f>IF('DDF Original'!B128="","",IF(TRIM('DDF Original'!I128)="",0,'DDF Original'!I128))</f>
        <v/>
      </c>
      <c r="F128" s="20" t="str">
        <f t="shared" si="7"/>
        <v/>
      </c>
      <c r="G128" s="37" t="str">
        <f>IF('DDF Original'!B128="","",IF(TRIM('DDF Original'!P128)="",0,'DDF Original'!P128))</f>
        <v/>
      </c>
      <c r="H128" s="20" t="str">
        <f t="shared" si="8"/>
        <v/>
      </c>
      <c r="I128" s="25" t="str">
        <f t="shared" si="9"/>
        <v/>
      </c>
      <c r="J128" s="20" t="str">
        <f t="shared" si="10"/>
        <v/>
      </c>
      <c r="K128" s="20" t="str">
        <f t="shared" si="11"/>
        <v/>
      </c>
      <c r="L128" s="20" t="str">
        <f>IF(B128="","",70*'DDF Original'!$Q$4)</f>
        <v/>
      </c>
      <c r="M128" s="20" t="str">
        <f t="shared" si="12"/>
        <v/>
      </c>
      <c r="N128" s="20" t="str">
        <f>IF(AND(OR(B128="",J128&gt;G128,M128&gt;G128),'DDF Original'!L128&lt;&gt; "MI"),G128,IF(M128&gt;J128,M128,J128))</f>
        <v/>
      </c>
    </row>
    <row r="129" spans="2:14" x14ac:dyDescent="0.2">
      <c r="B129" s="19" t="str">
        <f>IF('DDF Original'!B129="","",'DDF Original'!B129)</f>
        <v/>
      </c>
      <c r="C129" s="19" t="e">
        <f t="shared" si="13"/>
        <v>#VALUE!</v>
      </c>
      <c r="D129" s="20" t="str">
        <f>IF('DDF Original'!C129="","",'DDF Original'!C129)</f>
        <v/>
      </c>
      <c r="E129" s="24" t="str">
        <f>IF('DDF Original'!B129="","",IF(TRIM('DDF Original'!I129)="",0,'DDF Original'!I129))</f>
        <v/>
      </c>
      <c r="F129" s="20" t="str">
        <f t="shared" si="7"/>
        <v/>
      </c>
      <c r="G129" s="37" t="str">
        <f>IF('DDF Original'!B129="","",IF(TRIM('DDF Original'!P129)="",0,'DDF Original'!P129))</f>
        <v/>
      </c>
      <c r="H129" s="20" t="str">
        <f t="shared" si="8"/>
        <v/>
      </c>
      <c r="I129" s="25" t="str">
        <f t="shared" si="9"/>
        <v/>
      </c>
      <c r="J129" s="20" t="str">
        <f t="shared" si="10"/>
        <v/>
      </c>
      <c r="K129" s="20" t="str">
        <f t="shared" si="11"/>
        <v/>
      </c>
      <c r="L129" s="20" t="str">
        <f>IF(B129="","",70*'DDF Original'!$Q$4)</f>
        <v/>
      </c>
      <c r="M129" s="20" t="str">
        <f t="shared" si="12"/>
        <v/>
      </c>
      <c r="N129" s="20" t="str">
        <f>IF(AND(OR(B129="",J129&gt;G129,M129&gt;G129),'DDF Original'!L129&lt;&gt; "MI"),G129,IF(M129&gt;J129,M129,J129))</f>
        <v/>
      </c>
    </row>
    <row r="130" spans="2:14" x14ac:dyDescent="0.2">
      <c r="B130" s="19" t="str">
        <f>IF('DDF Original'!B130="","",'DDF Original'!B130)</f>
        <v/>
      </c>
      <c r="C130" s="19" t="e">
        <f t="shared" si="13"/>
        <v>#VALUE!</v>
      </c>
      <c r="D130" s="20" t="str">
        <f>IF('DDF Original'!C130="","",'DDF Original'!C130)</f>
        <v/>
      </c>
      <c r="E130" s="24" t="str">
        <f>IF('DDF Original'!B130="","",IF(TRIM('DDF Original'!I130)="",0,'DDF Original'!I130))</f>
        <v/>
      </c>
      <c r="F130" s="20" t="str">
        <f t="shared" si="7"/>
        <v/>
      </c>
      <c r="G130" s="37" t="str">
        <f>IF('DDF Original'!B130="","",IF(TRIM('DDF Original'!P130)="",0,'DDF Original'!P130))</f>
        <v/>
      </c>
      <c r="H130" s="20" t="str">
        <f t="shared" si="8"/>
        <v/>
      </c>
      <c r="I130" s="25" t="str">
        <f t="shared" si="9"/>
        <v/>
      </c>
      <c r="J130" s="20" t="str">
        <f t="shared" si="10"/>
        <v/>
      </c>
      <c r="K130" s="20" t="str">
        <f t="shared" si="11"/>
        <v/>
      </c>
      <c r="L130" s="20" t="str">
        <f>IF(B130="","",70*'DDF Original'!$Q$4)</f>
        <v/>
      </c>
      <c r="M130" s="20" t="str">
        <f t="shared" si="12"/>
        <v/>
      </c>
      <c r="N130" s="20" t="str">
        <f>IF(AND(OR(B130="",J130&gt;G130,M130&gt;G130),'DDF Original'!L130&lt;&gt; "MI"),G130,IF(M130&gt;J130,M130,J130))</f>
        <v/>
      </c>
    </row>
    <row r="131" spans="2:14" x14ac:dyDescent="0.2">
      <c r="B131" s="19" t="str">
        <f>IF('DDF Original'!B131="","",'DDF Original'!B131)</f>
        <v/>
      </c>
      <c r="C131" s="19" t="e">
        <f t="shared" si="13"/>
        <v>#VALUE!</v>
      </c>
      <c r="D131" s="20" t="str">
        <f>IF('DDF Original'!C131="","",'DDF Original'!C131)</f>
        <v/>
      </c>
      <c r="E131" s="24" t="str">
        <f>IF('DDF Original'!B131="","",IF(TRIM('DDF Original'!I131)="",0,'DDF Original'!I131))</f>
        <v/>
      </c>
      <c r="F131" s="20" t="str">
        <f t="shared" si="7"/>
        <v/>
      </c>
      <c r="G131" s="37" t="str">
        <f>IF('DDF Original'!B131="","",IF(TRIM('DDF Original'!P131)="",0,'DDF Original'!P131))</f>
        <v/>
      </c>
      <c r="H131" s="20" t="str">
        <f t="shared" si="8"/>
        <v/>
      </c>
      <c r="I131" s="25" t="str">
        <f t="shared" si="9"/>
        <v/>
      </c>
      <c r="J131" s="20" t="str">
        <f t="shared" si="10"/>
        <v/>
      </c>
      <c r="K131" s="20" t="str">
        <f t="shared" si="11"/>
        <v/>
      </c>
      <c r="L131" s="20" t="str">
        <f>IF(B131="","",70*'DDF Original'!$Q$4)</f>
        <v/>
      </c>
      <c r="M131" s="20" t="str">
        <f t="shared" si="12"/>
        <v/>
      </c>
      <c r="N131" s="20" t="str">
        <f>IF(AND(OR(B131="",J131&gt;G131,M131&gt;G131),'DDF Original'!L131&lt;&gt; "MI"),G131,IF(M131&gt;J131,M131,J131))</f>
        <v/>
      </c>
    </row>
    <row r="132" spans="2:14" x14ac:dyDescent="0.2">
      <c r="B132" s="19" t="str">
        <f>IF('DDF Original'!B132="","",'DDF Original'!B132)</f>
        <v/>
      </c>
      <c r="C132" s="19" t="e">
        <f t="shared" si="13"/>
        <v>#VALUE!</v>
      </c>
      <c r="D132" s="20" t="str">
        <f>IF('DDF Original'!C132="","",'DDF Original'!C132)</f>
        <v/>
      </c>
      <c r="E132" s="24" t="str">
        <f>IF('DDF Original'!B132="","",IF(TRIM('DDF Original'!I132)="",0,'DDF Original'!I132))</f>
        <v/>
      </c>
      <c r="F132" s="20" t="str">
        <f t="shared" si="7"/>
        <v/>
      </c>
      <c r="G132" s="37" t="str">
        <f>IF('DDF Original'!B132="","",IF(TRIM('DDF Original'!P132)="",0,'DDF Original'!P132))</f>
        <v/>
      </c>
      <c r="H132" s="20" t="str">
        <f t="shared" si="8"/>
        <v/>
      </c>
      <c r="I132" s="25" t="str">
        <f t="shared" si="9"/>
        <v/>
      </c>
      <c r="J132" s="20" t="str">
        <f t="shared" si="10"/>
        <v/>
      </c>
      <c r="K132" s="20" t="str">
        <f t="shared" si="11"/>
        <v/>
      </c>
      <c r="L132" s="20" t="str">
        <f>IF(B132="","",70*'DDF Original'!$Q$4)</f>
        <v/>
      </c>
      <c r="M132" s="20" t="str">
        <f t="shared" si="12"/>
        <v/>
      </c>
      <c r="N132" s="20" t="str">
        <f>IF(AND(OR(B132="",J132&gt;G132,M132&gt;G132),'DDF Original'!L132&lt;&gt; "MI"),G132,IF(M132&gt;J132,M132,J132))</f>
        <v/>
      </c>
    </row>
    <row r="133" spans="2:14" x14ac:dyDescent="0.2">
      <c r="B133" s="19" t="str">
        <f>IF('DDF Original'!B133="","",'DDF Original'!B133)</f>
        <v/>
      </c>
      <c r="C133" s="19" t="e">
        <f t="shared" si="13"/>
        <v>#VALUE!</v>
      </c>
      <c r="D133" s="20" t="str">
        <f>IF('DDF Original'!C133="","",'DDF Original'!C133)</f>
        <v/>
      </c>
      <c r="E133" s="24" t="str">
        <f>IF('DDF Original'!B133="","",IF(TRIM('DDF Original'!I133)="",0,'DDF Original'!I133))</f>
        <v/>
      </c>
      <c r="F133" s="20" t="str">
        <f t="shared" si="7"/>
        <v/>
      </c>
      <c r="G133" s="37" t="str">
        <f>IF('DDF Original'!B133="","",IF(TRIM('DDF Original'!P133)="",0,'DDF Original'!P133))</f>
        <v/>
      </c>
      <c r="H133" s="20" t="str">
        <f t="shared" si="8"/>
        <v/>
      </c>
      <c r="I133" s="25" t="str">
        <f t="shared" si="9"/>
        <v/>
      </c>
      <c r="J133" s="20" t="str">
        <f t="shared" si="10"/>
        <v/>
      </c>
      <c r="K133" s="20" t="str">
        <f t="shared" si="11"/>
        <v/>
      </c>
      <c r="L133" s="20" t="str">
        <f>IF(B133="","",70*'DDF Original'!$Q$4)</f>
        <v/>
      </c>
      <c r="M133" s="20" t="str">
        <f t="shared" si="12"/>
        <v/>
      </c>
      <c r="N133" s="20" t="str">
        <f>IF(AND(OR(B133="",J133&gt;G133,M133&gt;G133),'DDF Original'!L133&lt;&gt; "MI"),G133,IF(M133&gt;J133,M133,J133))</f>
        <v/>
      </c>
    </row>
    <row r="134" spans="2:14" x14ac:dyDescent="0.2">
      <c r="B134" s="19" t="str">
        <f>IF('DDF Original'!B134="","",'DDF Original'!B134)</f>
        <v/>
      </c>
      <c r="C134" s="19" t="e">
        <f t="shared" si="13"/>
        <v>#VALUE!</v>
      </c>
      <c r="D134" s="20" t="str">
        <f>IF('DDF Original'!C134="","",'DDF Original'!C134)</f>
        <v/>
      </c>
      <c r="E134" s="24" t="str">
        <f>IF('DDF Original'!B134="","",IF(TRIM('DDF Original'!I134)="",0,'DDF Original'!I134))</f>
        <v/>
      </c>
      <c r="F134" s="20" t="str">
        <f t="shared" si="7"/>
        <v/>
      </c>
      <c r="G134" s="37" t="str">
        <f>IF('DDF Original'!B134="","",IF(TRIM('DDF Original'!P134)="",0,'DDF Original'!P134))</f>
        <v/>
      </c>
      <c r="H134" s="20" t="str">
        <f t="shared" si="8"/>
        <v/>
      </c>
      <c r="I134" s="25" t="str">
        <f t="shared" si="9"/>
        <v/>
      </c>
      <c r="J134" s="20" t="str">
        <f t="shared" si="10"/>
        <v/>
      </c>
      <c r="K134" s="20" t="str">
        <f t="shared" si="11"/>
        <v/>
      </c>
      <c r="L134" s="20" t="str">
        <f>IF(B134="","",70*'DDF Original'!$Q$4)</f>
        <v/>
      </c>
      <c r="M134" s="20" t="str">
        <f t="shared" si="12"/>
        <v/>
      </c>
      <c r="N134" s="20" t="str">
        <f>IF(AND(OR(B134="",J134&gt;G134,M134&gt;G134),'DDF Original'!L134&lt;&gt; "MI"),G134,IF(M134&gt;J134,M134,J134))</f>
        <v/>
      </c>
    </row>
    <row r="135" spans="2:14" x14ac:dyDescent="0.2">
      <c r="B135" s="19" t="str">
        <f>IF('DDF Original'!B135="","",'DDF Original'!B135)</f>
        <v/>
      </c>
      <c r="C135" s="19" t="e">
        <f t="shared" si="13"/>
        <v>#VALUE!</v>
      </c>
      <c r="D135" s="20" t="str">
        <f>IF('DDF Original'!C135="","",'DDF Original'!C135)</f>
        <v/>
      </c>
      <c r="E135" s="24" t="str">
        <f>IF('DDF Original'!B135="","",IF(TRIM('DDF Original'!I135)="",0,'DDF Original'!I135))</f>
        <v/>
      </c>
      <c r="F135" s="20" t="str">
        <f t="shared" si="7"/>
        <v/>
      </c>
      <c r="G135" s="37" t="str">
        <f>IF('DDF Original'!B135="","",IF(TRIM('DDF Original'!P135)="",0,'DDF Original'!P135))</f>
        <v/>
      </c>
      <c r="H135" s="20" t="str">
        <f t="shared" si="8"/>
        <v/>
      </c>
      <c r="I135" s="25" t="str">
        <f t="shared" si="9"/>
        <v/>
      </c>
      <c r="J135" s="20" t="str">
        <f t="shared" si="10"/>
        <v/>
      </c>
      <c r="K135" s="20" t="str">
        <f t="shared" si="11"/>
        <v/>
      </c>
      <c r="L135" s="20" t="str">
        <f>IF(B135="","",70*'DDF Original'!$Q$4)</f>
        <v/>
      </c>
      <c r="M135" s="20" t="str">
        <f t="shared" si="12"/>
        <v/>
      </c>
      <c r="N135" s="20" t="str">
        <f>IF(AND(OR(B135="",J135&gt;G135,M135&gt;G135),'DDF Original'!L135&lt;&gt; "MI"),G135,IF(M135&gt;J135,M135,J135))</f>
        <v/>
      </c>
    </row>
    <row r="136" spans="2:14" x14ac:dyDescent="0.2">
      <c r="B136" s="19" t="str">
        <f>IF('DDF Original'!B136="","",'DDF Original'!B136)</f>
        <v/>
      </c>
      <c r="C136" s="19" t="e">
        <f t="shared" si="13"/>
        <v>#VALUE!</v>
      </c>
      <c r="D136" s="20" t="str">
        <f>IF('DDF Original'!C136="","",'DDF Original'!C136)</f>
        <v/>
      </c>
      <c r="E136" s="24" t="str">
        <f>IF('DDF Original'!B136="","",IF(TRIM('DDF Original'!I136)="",0,'DDF Original'!I136))</f>
        <v/>
      </c>
      <c r="F136" s="20" t="str">
        <f t="shared" si="7"/>
        <v/>
      </c>
      <c r="G136" s="37" t="str">
        <f>IF('DDF Original'!B136="","",IF(TRIM('DDF Original'!P136)="",0,'DDF Original'!P136))</f>
        <v/>
      </c>
      <c r="H136" s="20" t="str">
        <f t="shared" si="8"/>
        <v/>
      </c>
      <c r="I136" s="25" t="str">
        <f t="shared" si="9"/>
        <v/>
      </c>
      <c r="J136" s="20" t="str">
        <f t="shared" si="10"/>
        <v/>
      </c>
      <c r="K136" s="20" t="str">
        <f t="shared" si="11"/>
        <v/>
      </c>
      <c r="L136" s="20" t="str">
        <f>IF(B136="","",70*'DDF Original'!$Q$4)</f>
        <v/>
      </c>
      <c r="M136" s="20" t="str">
        <f t="shared" si="12"/>
        <v/>
      </c>
      <c r="N136" s="20" t="str">
        <f>IF(AND(OR(B136="",J136&gt;G136,M136&gt;G136),'DDF Original'!L136&lt;&gt; "MI"),G136,IF(M136&gt;J136,M136,J136))</f>
        <v/>
      </c>
    </row>
    <row r="137" spans="2:14" x14ac:dyDescent="0.2">
      <c r="B137" s="19" t="str">
        <f>IF('DDF Original'!B137="","",'DDF Original'!B137)</f>
        <v/>
      </c>
      <c r="C137" s="19" t="e">
        <f t="shared" si="13"/>
        <v>#VALUE!</v>
      </c>
      <c r="D137" s="20" t="str">
        <f>IF('DDF Original'!C137="","",'DDF Original'!C137)</f>
        <v/>
      </c>
      <c r="E137" s="24" t="str">
        <f>IF('DDF Original'!B137="","",IF(TRIM('DDF Original'!I137)="",0,'DDF Original'!I137))</f>
        <v/>
      </c>
      <c r="F137" s="20" t="str">
        <f t="shared" ref="F137:F200" si="14">IF(D137="",D137,ROUND(D137*(1+E137/100),2))</f>
        <v/>
      </c>
      <c r="G137" s="37" t="str">
        <f>IF('DDF Original'!B137="","",IF(TRIM('DDF Original'!P137)="",0,'DDF Original'!P137))</f>
        <v/>
      </c>
      <c r="H137" s="20" t="str">
        <f t="shared" ref="H137:H200" si="15">IF(OR(D137=0,D137=""),G137,F137)</f>
        <v/>
      </c>
      <c r="I137" s="25" t="str">
        <f t="shared" ref="I137:I200" si="16">IF(B137="","",IF(OR(D137=0,D137=""),50,35))</f>
        <v/>
      </c>
      <c r="J137" s="20" t="str">
        <f t="shared" ref="J137:J200" si="17">IF(B137="","",ROUND(H137*I137/100,2))</f>
        <v/>
      </c>
      <c r="K137" s="20" t="str">
        <f t="shared" ref="K137:K200" si="18">IF(B137="","",SUMIFS($J$9:$J$508,$C$9:$C$508,"="&amp;C137))</f>
        <v/>
      </c>
      <c r="L137" s="20" t="str">
        <f>IF(B137="","",70*'DDF Original'!$Q$4)</f>
        <v/>
      </c>
      <c r="M137" s="20" t="str">
        <f t="shared" ref="M137:M200" si="19">IF(B137="","",ROUND(J137/K137*L137,2))</f>
        <v/>
      </c>
      <c r="N137" s="20" t="str">
        <f>IF(AND(OR(B137="",J137&gt;G137,M137&gt;G137),'DDF Original'!L137&lt;&gt; "MI"),G137,IF(M137&gt;J137,M137,J137))</f>
        <v/>
      </c>
    </row>
    <row r="138" spans="2:14" x14ac:dyDescent="0.2">
      <c r="B138" s="19" t="str">
        <f>IF('DDF Original'!B138="","",'DDF Original'!B138)</f>
        <v/>
      </c>
      <c r="C138" s="19" t="e">
        <f t="shared" ref="C138:C201" si="20">LEFT(B138,FIND(".",B138)-1)</f>
        <v>#VALUE!</v>
      </c>
      <c r="D138" s="20" t="str">
        <f>IF('DDF Original'!C138="","",'DDF Original'!C138)</f>
        <v/>
      </c>
      <c r="E138" s="24" t="str">
        <f>IF('DDF Original'!B138="","",IF(TRIM('DDF Original'!I138)="",0,'DDF Original'!I138))</f>
        <v/>
      </c>
      <c r="F138" s="20" t="str">
        <f t="shared" si="14"/>
        <v/>
      </c>
      <c r="G138" s="37" t="str">
        <f>IF('DDF Original'!B138="","",IF(TRIM('DDF Original'!P138)="",0,'DDF Original'!P138))</f>
        <v/>
      </c>
      <c r="H138" s="20" t="str">
        <f t="shared" si="15"/>
        <v/>
      </c>
      <c r="I138" s="25" t="str">
        <f t="shared" si="16"/>
        <v/>
      </c>
      <c r="J138" s="20" t="str">
        <f t="shared" si="17"/>
        <v/>
      </c>
      <c r="K138" s="20" t="str">
        <f t="shared" si="18"/>
        <v/>
      </c>
      <c r="L138" s="20" t="str">
        <f>IF(B138="","",70*'DDF Original'!$Q$4)</f>
        <v/>
      </c>
      <c r="M138" s="20" t="str">
        <f t="shared" si="19"/>
        <v/>
      </c>
      <c r="N138" s="20" t="str">
        <f>IF(AND(OR(B138="",J138&gt;G138,M138&gt;G138),'DDF Original'!L138&lt;&gt; "MI"),G138,IF(M138&gt;J138,M138,J138))</f>
        <v/>
      </c>
    </row>
    <row r="139" spans="2:14" x14ac:dyDescent="0.2">
      <c r="B139" s="19" t="str">
        <f>IF('DDF Original'!B139="","",'DDF Original'!B139)</f>
        <v/>
      </c>
      <c r="C139" s="19" t="e">
        <f t="shared" si="20"/>
        <v>#VALUE!</v>
      </c>
      <c r="D139" s="20" t="str">
        <f>IF('DDF Original'!C139="","",'DDF Original'!C139)</f>
        <v/>
      </c>
      <c r="E139" s="24" t="str">
        <f>IF('DDF Original'!B139="","",IF(TRIM('DDF Original'!I139)="",0,'DDF Original'!I139))</f>
        <v/>
      </c>
      <c r="F139" s="20" t="str">
        <f t="shared" si="14"/>
        <v/>
      </c>
      <c r="G139" s="37" t="str">
        <f>IF('DDF Original'!B139="","",IF(TRIM('DDF Original'!P139)="",0,'DDF Original'!P139))</f>
        <v/>
      </c>
      <c r="H139" s="20" t="str">
        <f t="shared" si="15"/>
        <v/>
      </c>
      <c r="I139" s="25" t="str">
        <f t="shared" si="16"/>
        <v/>
      </c>
      <c r="J139" s="20" t="str">
        <f t="shared" si="17"/>
        <v/>
      </c>
      <c r="K139" s="20" t="str">
        <f t="shared" si="18"/>
        <v/>
      </c>
      <c r="L139" s="20" t="str">
        <f>IF(B139="","",70*'DDF Original'!$Q$4)</f>
        <v/>
      </c>
      <c r="M139" s="20" t="str">
        <f t="shared" si="19"/>
        <v/>
      </c>
      <c r="N139" s="20" t="str">
        <f>IF(AND(OR(B139="",J139&gt;G139,M139&gt;G139),'DDF Original'!L139&lt;&gt; "MI"),G139,IF(M139&gt;J139,M139,J139))</f>
        <v/>
      </c>
    </row>
    <row r="140" spans="2:14" x14ac:dyDescent="0.2">
      <c r="B140" s="19" t="str">
        <f>IF('DDF Original'!B140="","",'DDF Original'!B140)</f>
        <v/>
      </c>
      <c r="C140" s="19" t="e">
        <f t="shared" si="20"/>
        <v>#VALUE!</v>
      </c>
      <c r="D140" s="20" t="str">
        <f>IF('DDF Original'!C140="","",'DDF Original'!C140)</f>
        <v/>
      </c>
      <c r="E140" s="24" t="str">
        <f>IF('DDF Original'!B140="","",IF(TRIM('DDF Original'!I140)="",0,'DDF Original'!I140))</f>
        <v/>
      </c>
      <c r="F140" s="20" t="str">
        <f t="shared" si="14"/>
        <v/>
      </c>
      <c r="G140" s="37" t="str">
        <f>IF('DDF Original'!B140="","",IF(TRIM('DDF Original'!P140)="",0,'DDF Original'!P140))</f>
        <v/>
      </c>
      <c r="H140" s="20" t="str">
        <f t="shared" si="15"/>
        <v/>
      </c>
      <c r="I140" s="25" t="str">
        <f t="shared" si="16"/>
        <v/>
      </c>
      <c r="J140" s="20" t="str">
        <f t="shared" si="17"/>
        <v/>
      </c>
      <c r="K140" s="20" t="str">
        <f t="shared" si="18"/>
        <v/>
      </c>
      <c r="L140" s="20" t="str">
        <f>IF(B140="","",70*'DDF Original'!$Q$4)</f>
        <v/>
      </c>
      <c r="M140" s="20" t="str">
        <f t="shared" si="19"/>
        <v/>
      </c>
      <c r="N140" s="20" t="str">
        <f>IF(AND(OR(B140="",J140&gt;G140,M140&gt;G140),'DDF Original'!L140&lt;&gt; "MI"),G140,IF(M140&gt;J140,M140,J140))</f>
        <v/>
      </c>
    </row>
    <row r="141" spans="2:14" x14ac:dyDescent="0.2">
      <c r="B141" s="19" t="str">
        <f>IF('DDF Original'!B141="","",'DDF Original'!B141)</f>
        <v/>
      </c>
      <c r="C141" s="19" t="e">
        <f t="shared" si="20"/>
        <v>#VALUE!</v>
      </c>
      <c r="D141" s="20" t="str">
        <f>IF('DDF Original'!C141="","",'DDF Original'!C141)</f>
        <v/>
      </c>
      <c r="E141" s="24" t="str">
        <f>IF('DDF Original'!B141="","",IF(TRIM('DDF Original'!I141)="",0,'DDF Original'!I141))</f>
        <v/>
      </c>
      <c r="F141" s="20" t="str">
        <f t="shared" si="14"/>
        <v/>
      </c>
      <c r="G141" s="37" t="str">
        <f>IF('DDF Original'!B141="","",IF(TRIM('DDF Original'!P141)="",0,'DDF Original'!P141))</f>
        <v/>
      </c>
      <c r="H141" s="20" t="str">
        <f t="shared" si="15"/>
        <v/>
      </c>
      <c r="I141" s="25" t="str">
        <f t="shared" si="16"/>
        <v/>
      </c>
      <c r="J141" s="20" t="str">
        <f t="shared" si="17"/>
        <v/>
      </c>
      <c r="K141" s="20" t="str">
        <f t="shared" si="18"/>
        <v/>
      </c>
      <c r="L141" s="20" t="str">
        <f>IF(B141="","",70*'DDF Original'!$Q$4)</f>
        <v/>
      </c>
      <c r="M141" s="20" t="str">
        <f t="shared" si="19"/>
        <v/>
      </c>
      <c r="N141" s="20" t="str">
        <f>IF(AND(OR(B141="",J141&gt;G141,M141&gt;G141),'DDF Original'!L141&lt;&gt; "MI"),G141,IF(M141&gt;J141,M141,J141))</f>
        <v/>
      </c>
    </row>
    <row r="142" spans="2:14" x14ac:dyDescent="0.2">
      <c r="B142" s="19" t="str">
        <f>IF('DDF Original'!B142="","",'DDF Original'!B142)</f>
        <v/>
      </c>
      <c r="C142" s="19" t="e">
        <f t="shared" si="20"/>
        <v>#VALUE!</v>
      </c>
      <c r="D142" s="20" t="str">
        <f>IF('DDF Original'!C142="","",'DDF Original'!C142)</f>
        <v/>
      </c>
      <c r="E142" s="24" t="str">
        <f>IF('DDF Original'!B142="","",IF(TRIM('DDF Original'!I142)="",0,'DDF Original'!I142))</f>
        <v/>
      </c>
      <c r="F142" s="20" t="str">
        <f t="shared" si="14"/>
        <v/>
      </c>
      <c r="G142" s="37" t="str">
        <f>IF('DDF Original'!B142="","",IF(TRIM('DDF Original'!P142)="",0,'DDF Original'!P142))</f>
        <v/>
      </c>
      <c r="H142" s="20" t="str">
        <f t="shared" si="15"/>
        <v/>
      </c>
      <c r="I142" s="25" t="str">
        <f t="shared" si="16"/>
        <v/>
      </c>
      <c r="J142" s="20" t="str">
        <f t="shared" si="17"/>
        <v/>
      </c>
      <c r="K142" s="20" t="str">
        <f t="shared" si="18"/>
        <v/>
      </c>
      <c r="L142" s="20" t="str">
        <f>IF(B142="","",70*'DDF Original'!$Q$4)</f>
        <v/>
      </c>
      <c r="M142" s="20" t="str">
        <f t="shared" si="19"/>
        <v/>
      </c>
      <c r="N142" s="20" t="str">
        <f>IF(AND(OR(B142="",J142&gt;G142,M142&gt;G142),'DDF Original'!L142&lt;&gt; "MI"),G142,IF(M142&gt;J142,M142,J142))</f>
        <v/>
      </c>
    </row>
    <row r="143" spans="2:14" x14ac:dyDescent="0.2">
      <c r="B143" s="19" t="str">
        <f>IF('DDF Original'!B143="","",'DDF Original'!B143)</f>
        <v/>
      </c>
      <c r="C143" s="19" t="e">
        <f t="shared" si="20"/>
        <v>#VALUE!</v>
      </c>
      <c r="D143" s="20" t="str">
        <f>IF('DDF Original'!C143="","",'DDF Original'!C143)</f>
        <v/>
      </c>
      <c r="E143" s="24" t="str">
        <f>IF('DDF Original'!B143="","",IF(TRIM('DDF Original'!I143)="",0,'DDF Original'!I143))</f>
        <v/>
      </c>
      <c r="F143" s="20" t="str">
        <f t="shared" si="14"/>
        <v/>
      </c>
      <c r="G143" s="37" t="str">
        <f>IF('DDF Original'!B143="","",IF(TRIM('DDF Original'!P143)="",0,'DDF Original'!P143))</f>
        <v/>
      </c>
      <c r="H143" s="20" t="str">
        <f t="shared" si="15"/>
        <v/>
      </c>
      <c r="I143" s="25" t="str">
        <f t="shared" si="16"/>
        <v/>
      </c>
      <c r="J143" s="20" t="str">
        <f t="shared" si="17"/>
        <v/>
      </c>
      <c r="K143" s="20" t="str">
        <f t="shared" si="18"/>
        <v/>
      </c>
      <c r="L143" s="20" t="str">
        <f>IF(B143="","",70*'DDF Original'!$Q$4)</f>
        <v/>
      </c>
      <c r="M143" s="20" t="str">
        <f t="shared" si="19"/>
        <v/>
      </c>
      <c r="N143" s="20" t="str">
        <f>IF(AND(OR(B143="",J143&gt;G143,M143&gt;G143),'DDF Original'!L143&lt;&gt; "MI"),G143,IF(M143&gt;J143,M143,J143))</f>
        <v/>
      </c>
    </row>
    <row r="144" spans="2:14" x14ac:dyDescent="0.2">
      <c r="B144" s="19" t="str">
        <f>IF('DDF Original'!B144="","",'DDF Original'!B144)</f>
        <v/>
      </c>
      <c r="C144" s="19" t="e">
        <f t="shared" si="20"/>
        <v>#VALUE!</v>
      </c>
      <c r="D144" s="20" t="str">
        <f>IF('DDF Original'!C144="","",'DDF Original'!C144)</f>
        <v/>
      </c>
      <c r="E144" s="24" t="str">
        <f>IF('DDF Original'!B144="","",IF(TRIM('DDF Original'!I144)="",0,'DDF Original'!I144))</f>
        <v/>
      </c>
      <c r="F144" s="20" t="str">
        <f t="shared" si="14"/>
        <v/>
      </c>
      <c r="G144" s="37" t="str">
        <f>IF('DDF Original'!B144="","",IF(TRIM('DDF Original'!P144)="",0,'DDF Original'!P144))</f>
        <v/>
      </c>
      <c r="H144" s="20" t="str">
        <f t="shared" si="15"/>
        <v/>
      </c>
      <c r="I144" s="25" t="str">
        <f t="shared" si="16"/>
        <v/>
      </c>
      <c r="J144" s="20" t="str">
        <f t="shared" si="17"/>
        <v/>
      </c>
      <c r="K144" s="20" t="str">
        <f t="shared" si="18"/>
        <v/>
      </c>
      <c r="L144" s="20" t="str">
        <f>IF(B144="","",70*'DDF Original'!$Q$4)</f>
        <v/>
      </c>
      <c r="M144" s="20" t="str">
        <f t="shared" si="19"/>
        <v/>
      </c>
      <c r="N144" s="20" t="str">
        <f>IF(AND(OR(B144="",J144&gt;G144,M144&gt;G144),'DDF Original'!L144&lt;&gt; "MI"),G144,IF(M144&gt;J144,M144,J144))</f>
        <v/>
      </c>
    </row>
    <row r="145" spans="2:14" x14ac:dyDescent="0.2">
      <c r="B145" s="19" t="str">
        <f>IF('DDF Original'!B145="","",'DDF Original'!B145)</f>
        <v/>
      </c>
      <c r="C145" s="19" t="e">
        <f t="shared" si="20"/>
        <v>#VALUE!</v>
      </c>
      <c r="D145" s="20" t="str">
        <f>IF('DDF Original'!C145="","",'DDF Original'!C145)</f>
        <v/>
      </c>
      <c r="E145" s="24" t="str">
        <f>IF('DDF Original'!B145="","",IF(TRIM('DDF Original'!I145)="",0,'DDF Original'!I145))</f>
        <v/>
      </c>
      <c r="F145" s="20" t="str">
        <f t="shared" si="14"/>
        <v/>
      </c>
      <c r="G145" s="37" t="str">
        <f>IF('DDF Original'!B145="","",IF(TRIM('DDF Original'!P145)="",0,'DDF Original'!P145))</f>
        <v/>
      </c>
      <c r="H145" s="20" t="str">
        <f t="shared" si="15"/>
        <v/>
      </c>
      <c r="I145" s="25" t="str">
        <f t="shared" si="16"/>
        <v/>
      </c>
      <c r="J145" s="20" t="str">
        <f t="shared" si="17"/>
        <v/>
      </c>
      <c r="K145" s="20" t="str">
        <f t="shared" si="18"/>
        <v/>
      </c>
      <c r="L145" s="20" t="str">
        <f>IF(B145="","",70*'DDF Original'!$Q$4)</f>
        <v/>
      </c>
      <c r="M145" s="20" t="str">
        <f t="shared" si="19"/>
        <v/>
      </c>
      <c r="N145" s="20" t="str">
        <f>IF(AND(OR(B145="",J145&gt;G145,M145&gt;G145),'DDF Original'!L145&lt;&gt; "MI"),G145,IF(M145&gt;J145,M145,J145))</f>
        <v/>
      </c>
    </row>
    <row r="146" spans="2:14" x14ac:dyDescent="0.2">
      <c r="B146" s="19" t="str">
        <f>IF('DDF Original'!B146="","",'DDF Original'!B146)</f>
        <v/>
      </c>
      <c r="C146" s="19" t="e">
        <f t="shared" si="20"/>
        <v>#VALUE!</v>
      </c>
      <c r="D146" s="20" t="str">
        <f>IF('DDF Original'!C146="","",'DDF Original'!C146)</f>
        <v/>
      </c>
      <c r="E146" s="24" t="str">
        <f>IF('DDF Original'!B146="","",IF(TRIM('DDF Original'!I146)="",0,'DDF Original'!I146))</f>
        <v/>
      </c>
      <c r="F146" s="20" t="str">
        <f t="shared" si="14"/>
        <v/>
      </c>
      <c r="G146" s="37" t="str">
        <f>IF('DDF Original'!B146="","",IF(TRIM('DDF Original'!P146)="",0,'DDF Original'!P146))</f>
        <v/>
      </c>
      <c r="H146" s="20" t="str">
        <f t="shared" si="15"/>
        <v/>
      </c>
      <c r="I146" s="25" t="str">
        <f t="shared" si="16"/>
        <v/>
      </c>
      <c r="J146" s="20" t="str">
        <f t="shared" si="17"/>
        <v/>
      </c>
      <c r="K146" s="20" t="str">
        <f t="shared" si="18"/>
        <v/>
      </c>
      <c r="L146" s="20" t="str">
        <f>IF(B146="","",70*'DDF Original'!$Q$4)</f>
        <v/>
      </c>
      <c r="M146" s="20" t="str">
        <f t="shared" si="19"/>
        <v/>
      </c>
      <c r="N146" s="20" t="str">
        <f>IF(AND(OR(B146="",J146&gt;G146,M146&gt;G146),'DDF Original'!L146&lt;&gt; "MI"),G146,IF(M146&gt;J146,M146,J146))</f>
        <v/>
      </c>
    </row>
    <row r="147" spans="2:14" x14ac:dyDescent="0.2">
      <c r="B147" s="19" t="str">
        <f>IF('DDF Original'!B147="","",'DDF Original'!B147)</f>
        <v/>
      </c>
      <c r="C147" s="19" t="e">
        <f t="shared" si="20"/>
        <v>#VALUE!</v>
      </c>
      <c r="D147" s="20" t="str">
        <f>IF('DDF Original'!C147="","",'DDF Original'!C147)</f>
        <v/>
      </c>
      <c r="E147" s="24" t="str">
        <f>IF('DDF Original'!B147="","",IF(TRIM('DDF Original'!I147)="",0,'DDF Original'!I147))</f>
        <v/>
      </c>
      <c r="F147" s="20" t="str">
        <f t="shared" si="14"/>
        <v/>
      </c>
      <c r="G147" s="37" t="str">
        <f>IF('DDF Original'!B147="","",IF(TRIM('DDF Original'!P147)="",0,'DDF Original'!P147))</f>
        <v/>
      </c>
      <c r="H147" s="20" t="str">
        <f t="shared" si="15"/>
        <v/>
      </c>
      <c r="I147" s="25" t="str">
        <f t="shared" si="16"/>
        <v/>
      </c>
      <c r="J147" s="20" t="str">
        <f t="shared" si="17"/>
        <v/>
      </c>
      <c r="K147" s="20" t="str">
        <f t="shared" si="18"/>
        <v/>
      </c>
      <c r="L147" s="20" t="str">
        <f>IF(B147="","",70*'DDF Original'!$Q$4)</f>
        <v/>
      </c>
      <c r="M147" s="20" t="str">
        <f t="shared" si="19"/>
        <v/>
      </c>
      <c r="N147" s="20" t="str">
        <f>IF(AND(OR(B147="",J147&gt;G147,M147&gt;G147),'DDF Original'!L147&lt;&gt; "MI"),G147,IF(M147&gt;J147,M147,J147))</f>
        <v/>
      </c>
    </row>
    <row r="148" spans="2:14" x14ac:dyDescent="0.2">
      <c r="B148" s="19" t="str">
        <f>IF('DDF Original'!B148="","",'DDF Original'!B148)</f>
        <v/>
      </c>
      <c r="C148" s="19" t="e">
        <f t="shared" si="20"/>
        <v>#VALUE!</v>
      </c>
      <c r="D148" s="20" t="str">
        <f>IF('DDF Original'!C148="","",'DDF Original'!C148)</f>
        <v/>
      </c>
      <c r="E148" s="24" t="str">
        <f>IF('DDF Original'!B148="","",IF(TRIM('DDF Original'!I148)="",0,'DDF Original'!I148))</f>
        <v/>
      </c>
      <c r="F148" s="20" t="str">
        <f t="shared" si="14"/>
        <v/>
      </c>
      <c r="G148" s="37" t="str">
        <f>IF('DDF Original'!B148="","",IF(TRIM('DDF Original'!P148)="",0,'DDF Original'!P148))</f>
        <v/>
      </c>
      <c r="H148" s="20" t="str">
        <f t="shared" si="15"/>
        <v/>
      </c>
      <c r="I148" s="25" t="str">
        <f t="shared" si="16"/>
        <v/>
      </c>
      <c r="J148" s="20" t="str">
        <f t="shared" si="17"/>
        <v/>
      </c>
      <c r="K148" s="20" t="str">
        <f t="shared" si="18"/>
        <v/>
      </c>
      <c r="L148" s="20" t="str">
        <f>IF(B148="","",70*'DDF Original'!$Q$4)</f>
        <v/>
      </c>
      <c r="M148" s="20" t="str">
        <f t="shared" si="19"/>
        <v/>
      </c>
      <c r="N148" s="20" t="str">
        <f>IF(AND(OR(B148="",J148&gt;G148,M148&gt;G148),'DDF Original'!L148&lt;&gt; "MI"),G148,IF(M148&gt;J148,M148,J148))</f>
        <v/>
      </c>
    </row>
    <row r="149" spans="2:14" x14ac:dyDescent="0.2">
      <c r="B149" s="19" t="str">
        <f>IF('DDF Original'!B149="","",'DDF Original'!B149)</f>
        <v/>
      </c>
      <c r="C149" s="19" t="e">
        <f t="shared" si="20"/>
        <v>#VALUE!</v>
      </c>
      <c r="D149" s="20" t="str">
        <f>IF('DDF Original'!C149="","",'DDF Original'!C149)</f>
        <v/>
      </c>
      <c r="E149" s="24" t="str">
        <f>IF('DDF Original'!B149="","",IF(TRIM('DDF Original'!I149)="",0,'DDF Original'!I149))</f>
        <v/>
      </c>
      <c r="F149" s="20" t="str">
        <f t="shared" si="14"/>
        <v/>
      </c>
      <c r="G149" s="37" t="str">
        <f>IF('DDF Original'!B149="","",IF(TRIM('DDF Original'!P149)="",0,'DDF Original'!P149))</f>
        <v/>
      </c>
      <c r="H149" s="20" t="str">
        <f t="shared" si="15"/>
        <v/>
      </c>
      <c r="I149" s="25" t="str">
        <f t="shared" si="16"/>
        <v/>
      </c>
      <c r="J149" s="20" t="str">
        <f t="shared" si="17"/>
        <v/>
      </c>
      <c r="K149" s="20" t="str">
        <f t="shared" si="18"/>
        <v/>
      </c>
      <c r="L149" s="20" t="str">
        <f>IF(B149="","",70*'DDF Original'!$Q$4)</f>
        <v/>
      </c>
      <c r="M149" s="20" t="str">
        <f t="shared" si="19"/>
        <v/>
      </c>
      <c r="N149" s="20" t="str">
        <f>IF(AND(OR(B149="",J149&gt;G149,M149&gt;G149),'DDF Original'!L149&lt;&gt; "MI"),G149,IF(M149&gt;J149,M149,J149))</f>
        <v/>
      </c>
    </row>
    <row r="150" spans="2:14" x14ac:dyDescent="0.2">
      <c r="B150" s="19" t="str">
        <f>IF('DDF Original'!B150="","",'DDF Original'!B150)</f>
        <v/>
      </c>
      <c r="C150" s="19" t="e">
        <f t="shared" si="20"/>
        <v>#VALUE!</v>
      </c>
      <c r="D150" s="20" t="str">
        <f>IF('DDF Original'!C150="","",'DDF Original'!C150)</f>
        <v/>
      </c>
      <c r="E150" s="24" t="str">
        <f>IF('DDF Original'!B150="","",IF(TRIM('DDF Original'!I150)="",0,'DDF Original'!I150))</f>
        <v/>
      </c>
      <c r="F150" s="20" t="str">
        <f t="shared" si="14"/>
        <v/>
      </c>
      <c r="G150" s="37" t="str">
        <f>IF('DDF Original'!B150="","",IF(TRIM('DDF Original'!P150)="",0,'DDF Original'!P150))</f>
        <v/>
      </c>
      <c r="H150" s="20" t="str">
        <f t="shared" si="15"/>
        <v/>
      </c>
      <c r="I150" s="25" t="str">
        <f t="shared" si="16"/>
        <v/>
      </c>
      <c r="J150" s="20" t="str">
        <f t="shared" si="17"/>
        <v/>
      </c>
      <c r="K150" s="20" t="str">
        <f t="shared" si="18"/>
        <v/>
      </c>
      <c r="L150" s="20" t="str">
        <f>IF(B150="","",70*'DDF Original'!$Q$4)</f>
        <v/>
      </c>
      <c r="M150" s="20" t="str">
        <f t="shared" si="19"/>
        <v/>
      </c>
      <c r="N150" s="20" t="str">
        <f>IF(AND(OR(B150="",J150&gt;G150,M150&gt;G150),'DDF Original'!L150&lt;&gt; "MI"),G150,IF(M150&gt;J150,M150,J150))</f>
        <v/>
      </c>
    </row>
    <row r="151" spans="2:14" x14ac:dyDescent="0.2">
      <c r="B151" s="19" t="str">
        <f>IF('DDF Original'!B151="","",'DDF Original'!B151)</f>
        <v/>
      </c>
      <c r="C151" s="19" t="e">
        <f t="shared" si="20"/>
        <v>#VALUE!</v>
      </c>
      <c r="D151" s="20" t="str">
        <f>IF('DDF Original'!C151="","",'DDF Original'!C151)</f>
        <v/>
      </c>
      <c r="E151" s="24" t="str">
        <f>IF('DDF Original'!B151="","",IF(TRIM('DDF Original'!I151)="",0,'DDF Original'!I151))</f>
        <v/>
      </c>
      <c r="F151" s="20" t="str">
        <f t="shared" si="14"/>
        <v/>
      </c>
      <c r="G151" s="37" t="str">
        <f>IF('DDF Original'!B151="","",IF(TRIM('DDF Original'!P151)="",0,'DDF Original'!P151))</f>
        <v/>
      </c>
      <c r="H151" s="20" t="str">
        <f t="shared" si="15"/>
        <v/>
      </c>
      <c r="I151" s="25" t="str">
        <f t="shared" si="16"/>
        <v/>
      </c>
      <c r="J151" s="20" t="str">
        <f t="shared" si="17"/>
        <v/>
      </c>
      <c r="K151" s="20" t="str">
        <f t="shared" si="18"/>
        <v/>
      </c>
      <c r="L151" s="20" t="str">
        <f>IF(B151="","",70*'DDF Original'!$Q$4)</f>
        <v/>
      </c>
      <c r="M151" s="20" t="str">
        <f t="shared" si="19"/>
        <v/>
      </c>
      <c r="N151" s="20" t="str">
        <f>IF(AND(OR(B151="",J151&gt;G151,M151&gt;G151),'DDF Original'!L151&lt;&gt; "MI"),G151,IF(M151&gt;J151,M151,J151))</f>
        <v/>
      </c>
    </row>
    <row r="152" spans="2:14" x14ac:dyDescent="0.2">
      <c r="B152" s="19" t="str">
        <f>IF('DDF Original'!B152="","",'DDF Original'!B152)</f>
        <v/>
      </c>
      <c r="C152" s="19" t="e">
        <f t="shared" si="20"/>
        <v>#VALUE!</v>
      </c>
      <c r="D152" s="20" t="str">
        <f>IF('DDF Original'!C152="","",'DDF Original'!C152)</f>
        <v/>
      </c>
      <c r="E152" s="24" t="str">
        <f>IF('DDF Original'!B152="","",IF(TRIM('DDF Original'!I152)="",0,'DDF Original'!I152))</f>
        <v/>
      </c>
      <c r="F152" s="20" t="str">
        <f t="shared" si="14"/>
        <v/>
      </c>
      <c r="G152" s="37" t="str">
        <f>IF('DDF Original'!B152="","",IF(TRIM('DDF Original'!P152)="",0,'DDF Original'!P152))</f>
        <v/>
      </c>
      <c r="H152" s="20" t="str">
        <f t="shared" si="15"/>
        <v/>
      </c>
      <c r="I152" s="25" t="str">
        <f t="shared" si="16"/>
        <v/>
      </c>
      <c r="J152" s="20" t="str">
        <f t="shared" si="17"/>
        <v/>
      </c>
      <c r="K152" s="20" t="str">
        <f t="shared" si="18"/>
        <v/>
      </c>
      <c r="L152" s="20" t="str">
        <f>IF(B152="","",70*'DDF Original'!$Q$4)</f>
        <v/>
      </c>
      <c r="M152" s="20" t="str">
        <f t="shared" si="19"/>
        <v/>
      </c>
      <c r="N152" s="20" t="str">
        <f>IF(AND(OR(B152="",J152&gt;G152,M152&gt;G152),'DDF Original'!L152&lt;&gt; "MI"),G152,IF(M152&gt;J152,M152,J152))</f>
        <v/>
      </c>
    </row>
    <row r="153" spans="2:14" x14ac:dyDescent="0.2">
      <c r="B153" s="19" t="str">
        <f>IF('DDF Original'!B153="","",'DDF Original'!B153)</f>
        <v/>
      </c>
      <c r="C153" s="19" t="e">
        <f t="shared" si="20"/>
        <v>#VALUE!</v>
      </c>
      <c r="D153" s="20" t="str">
        <f>IF('DDF Original'!C153="","",'DDF Original'!C153)</f>
        <v/>
      </c>
      <c r="E153" s="24" t="str">
        <f>IF('DDF Original'!B153="","",IF(TRIM('DDF Original'!I153)="",0,'DDF Original'!I153))</f>
        <v/>
      </c>
      <c r="F153" s="20" t="str">
        <f t="shared" si="14"/>
        <v/>
      </c>
      <c r="G153" s="37" t="str">
        <f>IF('DDF Original'!B153="","",IF(TRIM('DDF Original'!P153)="",0,'DDF Original'!P153))</f>
        <v/>
      </c>
      <c r="H153" s="20" t="str">
        <f t="shared" si="15"/>
        <v/>
      </c>
      <c r="I153" s="25" t="str">
        <f t="shared" si="16"/>
        <v/>
      </c>
      <c r="J153" s="20" t="str">
        <f t="shared" si="17"/>
        <v/>
      </c>
      <c r="K153" s="20" t="str">
        <f t="shared" si="18"/>
        <v/>
      </c>
      <c r="L153" s="20" t="str">
        <f>IF(B153="","",70*'DDF Original'!$Q$4)</f>
        <v/>
      </c>
      <c r="M153" s="20" t="str">
        <f t="shared" si="19"/>
        <v/>
      </c>
      <c r="N153" s="20" t="str">
        <f>IF(AND(OR(B153="",J153&gt;G153,M153&gt;G153),'DDF Original'!L153&lt;&gt; "MI"),G153,IF(M153&gt;J153,M153,J153))</f>
        <v/>
      </c>
    </row>
    <row r="154" spans="2:14" x14ac:dyDescent="0.2">
      <c r="B154" s="19" t="str">
        <f>IF('DDF Original'!B154="","",'DDF Original'!B154)</f>
        <v/>
      </c>
      <c r="C154" s="19" t="e">
        <f t="shared" si="20"/>
        <v>#VALUE!</v>
      </c>
      <c r="D154" s="20" t="str">
        <f>IF('DDF Original'!C154="","",'DDF Original'!C154)</f>
        <v/>
      </c>
      <c r="E154" s="24" t="str">
        <f>IF('DDF Original'!B154="","",IF(TRIM('DDF Original'!I154)="",0,'DDF Original'!I154))</f>
        <v/>
      </c>
      <c r="F154" s="20" t="str">
        <f t="shared" si="14"/>
        <v/>
      </c>
      <c r="G154" s="37" t="str">
        <f>IF('DDF Original'!B154="","",IF(TRIM('DDF Original'!P154)="",0,'DDF Original'!P154))</f>
        <v/>
      </c>
      <c r="H154" s="20" t="str">
        <f t="shared" si="15"/>
        <v/>
      </c>
      <c r="I154" s="25" t="str">
        <f t="shared" si="16"/>
        <v/>
      </c>
      <c r="J154" s="20" t="str">
        <f t="shared" si="17"/>
        <v/>
      </c>
      <c r="K154" s="20" t="str">
        <f t="shared" si="18"/>
        <v/>
      </c>
      <c r="L154" s="20" t="str">
        <f>IF(B154="","",70*'DDF Original'!$Q$4)</f>
        <v/>
      </c>
      <c r="M154" s="20" t="str">
        <f t="shared" si="19"/>
        <v/>
      </c>
      <c r="N154" s="20" t="str">
        <f>IF(AND(OR(B154="",J154&gt;G154,M154&gt;G154),'DDF Original'!L154&lt;&gt; "MI"),G154,IF(M154&gt;J154,M154,J154))</f>
        <v/>
      </c>
    </row>
    <row r="155" spans="2:14" x14ac:dyDescent="0.2">
      <c r="B155" s="19" t="str">
        <f>IF('DDF Original'!B155="","",'DDF Original'!B155)</f>
        <v/>
      </c>
      <c r="C155" s="19" t="e">
        <f t="shared" si="20"/>
        <v>#VALUE!</v>
      </c>
      <c r="D155" s="20" t="str">
        <f>IF('DDF Original'!C155="","",'DDF Original'!C155)</f>
        <v/>
      </c>
      <c r="E155" s="24" t="str">
        <f>IF('DDF Original'!B155="","",IF(TRIM('DDF Original'!I155)="",0,'DDF Original'!I155))</f>
        <v/>
      </c>
      <c r="F155" s="20" t="str">
        <f t="shared" si="14"/>
        <v/>
      </c>
      <c r="G155" s="37" t="str">
        <f>IF('DDF Original'!B155="","",IF(TRIM('DDF Original'!P155)="",0,'DDF Original'!P155))</f>
        <v/>
      </c>
      <c r="H155" s="20" t="str">
        <f t="shared" si="15"/>
        <v/>
      </c>
      <c r="I155" s="25" t="str">
        <f t="shared" si="16"/>
        <v/>
      </c>
      <c r="J155" s="20" t="str">
        <f t="shared" si="17"/>
        <v/>
      </c>
      <c r="K155" s="20" t="str">
        <f t="shared" si="18"/>
        <v/>
      </c>
      <c r="L155" s="20" t="str">
        <f>IF(B155="","",70*'DDF Original'!$Q$4)</f>
        <v/>
      </c>
      <c r="M155" s="20" t="str">
        <f t="shared" si="19"/>
        <v/>
      </c>
      <c r="N155" s="20" t="str">
        <f>IF(AND(OR(B155="",J155&gt;G155,M155&gt;G155),'DDF Original'!L155&lt;&gt; "MI"),G155,IF(M155&gt;J155,M155,J155))</f>
        <v/>
      </c>
    </row>
    <row r="156" spans="2:14" x14ac:dyDescent="0.2">
      <c r="B156" s="19" t="str">
        <f>IF('DDF Original'!B156="","",'DDF Original'!B156)</f>
        <v/>
      </c>
      <c r="C156" s="19" t="e">
        <f t="shared" si="20"/>
        <v>#VALUE!</v>
      </c>
      <c r="D156" s="20" t="str">
        <f>IF('DDF Original'!C156="","",'DDF Original'!C156)</f>
        <v/>
      </c>
      <c r="E156" s="24" t="str">
        <f>IF('DDF Original'!B156="","",IF(TRIM('DDF Original'!I156)="",0,'DDF Original'!I156))</f>
        <v/>
      </c>
      <c r="F156" s="20" t="str">
        <f t="shared" si="14"/>
        <v/>
      </c>
      <c r="G156" s="37" t="str">
        <f>IF('DDF Original'!B156="","",IF(TRIM('DDF Original'!P156)="",0,'DDF Original'!P156))</f>
        <v/>
      </c>
      <c r="H156" s="20" t="str">
        <f t="shared" si="15"/>
        <v/>
      </c>
      <c r="I156" s="25" t="str">
        <f t="shared" si="16"/>
        <v/>
      </c>
      <c r="J156" s="20" t="str">
        <f t="shared" si="17"/>
        <v/>
      </c>
      <c r="K156" s="20" t="str">
        <f t="shared" si="18"/>
        <v/>
      </c>
      <c r="L156" s="20" t="str">
        <f>IF(B156="","",70*'DDF Original'!$Q$4)</f>
        <v/>
      </c>
      <c r="M156" s="20" t="str">
        <f t="shared" si="19"/>
        <v/>
      </c>
      <c r="N156" s="20" t="str">
        <f>IF(AND(OR(B156="",J156&gt;G156,M156&gt;G156),'DDF Original'!L156&lt;&gt; "MI"),G156,IF(M156&gt;J156,M156,J156))</f>
        <v/>
      </c>
    </row>
    <row r="157" spans="2:14" x14ac:dyDescent="0.2">
      <c r="B157" s="19" t="str">
        <f>IF('DDF Original'!B157="","",'DDF Original'!B157)</f>
        <v/>
      </c>
      <c r="C157" s="19" t="e">
        <f t="shared" si="20"/>
        <v>#VALUE!</v>
      </c>
      <c r="D157" s="20" t="str">
        <f>IF('DDF Original'!C157="","",'DDF Original'!C157)</f>
        <v/>
      </c>
      <c r="E157" s="24" t="str">
        <f>IF('DDF Original'!B157="","",IF(TRIM('DDF Original'!I157)="",0,'DDF Original'!I157))</f>
        <v/>
      </c>
      <c r="F157" s="20" t="str">
        <f t="shared" si="14"/>
        <v/>
      </c>
      <c r="G157" s="37" t="str">
        <f>IF('DDF Original'!B157="","",IF(TRIM('DDF Original'!P157)="",0,'DDF Original'!P157))</f>
        <v/>
      </c>
      <c r="H157" s="20" t="str">
        <f t="shared" si="15"/>
        <v/>
      </c>
      <c r="I157" s="25" t="str">
        <f t="shared" si="16"/>
        <v/>
      </c>
      <c r="J157" s="20" t="str">
        <f t="shared" si="17"/>
        <v/>
      </c>
      <c r="K157" s="20" t="str">
        <f t="shared" si="18"/>
        <v/>
      </c>
      <c r="L157" s="20" t="str">
        <f>IF(B157="","",70*'DDF Original'!$Q$4)</f>
        <v/>
      </c>
      <c r="M157" s="20" t="str">
        <f t="shared" si="19"/>
        <v/>
      </c>
      <c r="N157" s="20" t="str">
        <f>IF(AND(OR(B157="",J157&gt;G157,M157&gt;G157),'DDF Original'!L157&lt;&gt; "MI"),G157,IF(M157&gt;J157,M157,J157))</f>
        <v/>
      </c>
    </row>
    <row r="158" spans="2:14" x14ac:dyDescent="0.2">
      <c r="B158" s="19" t="str">
        <f>IF('DDF Original'!B158="","",'DDF Original'!B158)</f>
        <v/>
      </c>
      <c r="C158" s="19" t="e">
        <f t="shared" si="20"/>
        <v>#VALUE!</v>
      </c>
      <c r="D158" s="20" t="str">
        <f>IF('DDF Original'!C158="","",'DDF Original'!C158)</f>
        <v/>
      </c>
      <c r="E158" s="24" t="str">
        <f>IF('DDF Original'!B158="","",IF(TRIM('DDF Original'!I158)="",0,'DDF Original'!I158))</f>
        <v/>
      </c>
      <c r="F158" s="20" t="str">
        <f t="shared" si="14"/>
        <v/>
      </c>
      <c r="G158" s="37" t="str">
        <f>IF('DDF Original'!B158="","",IF(TRIM('DDF Original'!P158)="",0,'DDF Original'!P158))</f>
        <v/>
      </c>
      <c r="H158" s="20" t="str">
        <f t="shared" si="15"/>
        <v/>
      </c>
      <c r="I158" s="25" t="str">
        <f t="shared" si="16"/>
        <v/>
      </c>
      <c r="J158" s="20" t="str">
        <f t="shared" si="17"/>
        <v/>
      </c>
      <c r="K158" s="20" t="str">
        <f t="shared" si="18"/>
        <v/>
      </c>
      <c r="L158" s="20" t="str">
        <f>IF(B158="","",70*'DDF Original'!$Q$4)</f>
        <v/>
      </c>
      <c r="M158" s="20" t="str">
        <f t="shared" si="19"/>
        <v/>
      </c>
      <c r="N158" s="20" t="str">
        <f>IF(AND(OR(B158="",J158&gt;G158,M158&gt;G158),'DDF Original'!L158&lt;&gt; "MI"),G158,IF(M158&gt;J158,M158,J158))</f>
        <v/>
      </c>
    </row>
    <row r="159" spans="2:14" x14ac:dyDescent="0.2">
      <c r="B159" s="19" t="str">
        <f>IF('DDF Original'!B159="","",'DDF Original'!B159)</f>
        <v/>
      </c>
      <c r="C159" s="19" t="e">
        <f t="shared" si="20"/>
        <v>#VALUE!</v>
      </c>
      <c r="D159" s="20" t="str">
        <f>IF('DDF Original'!C159="","",'DDF Original'!C159)</f>
        <v/>
      </c>
      <c r="E159" s="24" t="str">
        <f>IF('DDF Original'!B159="","",IF(TRIM('DDF Original'!I159)="",0,'DDF Original'!I159))</f>
        <v/>
      </c>
      <c r="F159" s="20" t="str">
        <f t="shared" si="14"/>
        <v/>
      </c>
      <c r="G159" s="37" t="str">
        <f>IF('DDF Original'!B159="","",IF(TRIM('DDF Original'!P159)="",0,'DDF Original'!P159))</f>
        <v/>
      </c>
      <c r="H159" s="20" t="str">
        <f t="shared" si="15"/>
        <v/>
      </c>
      <c r="I159" s="25" t="str">
        <f t="shared" si="16"/>
        <v/>
      </c>
      <c r="J159" s="20" t="str">
        <f t="shared" si="17"/>
        <v/>
      </c>
      <c r="K159" s="20" t="str">
        <f t="shared" si="18"/>
        <v/>
      </c>
      <c r="L159" s="20" t="str">
        <f>IF(B159="","",70*'DDF Original'!$Q$4)</f>
        <v/>
      </c>
      <c r="M159" s="20" t="str">
        <f t="shared" si="19"/>
        <v/>
      </c>
      <c r="N159" s="20" t="str">
        <f>IF(AND(OR(B159="",J159&gt;G159,M159&gt;G159),'DDF Original'!L159&lt;&gt; "MI"),G159,IF(M159&gt;J159,M159,J159))</f>
        <v/>
      </c>
    </row>
    <row r="160" spans="2:14" x14ac:dyDescent="0.2">
      <c r="B160" s="19" t="str">
        <f>IF('DDF Original'!B160="","",'DDF Original'!B160)</f>
        <v/>
      </c>
      <c r="C160" s="19" t="e">
        <f t="shared" si="20"/>
        <v>#VALUE!</v>
      </c>
      <c r="D160" s="20" t="str">
        <f>IF('DDF Original'!C160="","",'DDF Original'!C160)</f>
        <v/>
      </c>
      <c r="E160" s="24" t="str">
        <f>IF('DDF Original'!B160="","",IF(TRIM('DDF Original'!I160)="",0,'DDF Original'!I160))</f>
        <v/>
      </c>
      <c r="F160" s="20" t="str">
        <f t="shared" si="14"/>
        <v/>
      </c>
      <c r="G160" s="37" t="str">
        <f>IF('DDF Original'!B160="","",IF(TRIM('DDF Original'!P160)="",0,'DDF Original'!P160))</f>
        <v/>
      </c>
      <c r="H160" s="20" t="str">
        <f t="shared" si="15"/>
        <v/>
      </c>
      <c r="I160" s="25" t="str">
        <f t="shared" si="16"/>
        <v/>
      </c>
      <c r="J160" s="20" t="str">
        <f t="shared" si="17"/>
        <v/>
      </c>
      <c r="K160" s="20" t="str">
        <f t="shared" si="18"/>
        <v/>
      </c>
      <c r="L160" s="20" t="str">
        <f>IF(B160="","",70*'DDF Original'!$Q$4)</f>
        <v/>
      </c>
      <c r="M160" s="20" t="str">
        <f t="shared" si="19"/>
        <v/>
      </c>
      <c r="N160" s="20" t="str">
        <f>IF(AND(OR(B160="",J160&gt;G160,M160&gt;G160),'DDF Original'!L160&lt;&gt; "MI"),G160,IF(M160&gt;J160,M160,J160))</f>
        <v/>
      </c>
    </row>
    <row r="161" spans="2:14" x14ac:dyDescent="0.2">
      <c r="B161" s="19" t="str">
        <f>IF('DDF Original'!B161="","",'DDF Original'!B161)</f>
        <v/>
      </c>
      <c r="C161" s="19" t="e">
        <f t="shared" si="20"/>
        <v>#VALUE!</v>
      </c>
      <c r="D161" s="20" t="str">
        <f>IF('DDF Original'!C161="","",'DDF Original'!C161)</f>
        <v/>
      </c>
      <c r="E161" s="24" t="str">
        <f>IF('DDF Original'!B161="","",IF(TRIM('DDF Original'!I161)="",0,'DDF Original'!I161))</f>
        <v/>
      </c>
      <c r="F161" s="20" t="str">
        <f t="shared" si="14"/>
        <v/>
      </c>
      <c r="G161" s="37" t="str">
        <f>IF('DDF Original'!B161="","",IF(TRIM('DDF Original'!P161)="",0,'DDF Original'!P161))</f>
        <v/>
      </c>
      <c r="H161" s="20" t="str">
        <f t="shared" si="15"/>
        <v/>
      </c>
      <c r="I161" s="25" t="str">
        <f t="shared" si="16"/>
        <v/>
      </c>
      <c r="J161" s="20" t="str">
        <f t="shared" si="17"/>
        <v/>
      </c>
      <c r="K161" s="20" t="str">
        <f t="shared" si="18"/>
        <v/>
      </c>
      <c r="L161" s="20" t="str">
        <f>IF(B161="","",70*'DDF Original'!$Q$4)</f>
        <v/>
      </c>
      <c r="M161" s="20" t="str">
        <f t="shared" si="19"/>
        <v/>
      </c>
      <c r="N161" s="20" t="str">
        <f>IF(AND(OR(B161="",J161&gt;G161,M161&gt;G161),'DDF Original'!L161&lt;&gt; "MI"),G161,IF(M161&gt;J161,M161,J161))</f>
        <v/>
      </c>
    </row>
    <row r="162" spans="2:14" x14ac:dyDescent="0.2">
      <c r="B162" s="19" t="str">
        <f>IF('DDF Original'!B162="","",'DDF Original'!B162)</f>
        <v/>
      </c>
      <c r="C162" s="19" t="e">
        <f t="shared" si="20"/>
        <v>#VALUE!</v>
      </c>
      <c r="D162" s="20" t="str">
        <f>IF('DDF Original'!C162="","",'DDF Original'!C162)</f>
        <v/>
      </c>
      <c r="E162" s="24" t="str">
        <f>IF('DDF Original'!B162="","",IF(TRIM('DDF Original'!I162)="",0,'DDF Original'!I162))</f>
        <v/>
      </c>
      <c r="F162" s="20" t="str">
        <f t="shared" si="14"/>
        <v/>
      </c>
      <c r="G162" s="37" t="str">
        <f>IF('DDF Original'!B162="","",IF(TRIM('DDF Original'!P162)="",0,'DDF Original'!P162))</f>
        <v/>
      </c>
      <c r="H162" s="20" t="str">
        <f t="shared" si="15"/>
        <v/>
      </c>
      <c r="I162" s="25" t="str">
        <f t="shared" si="16"/>
        <v/>
      </c>
      <c r="J162" s="20" t="str">
        <f t="shared" si="17"/>
        <v/>
      </c>
      <c r="K162" s="20" t="str">
        <f t="shared" si="18"/>
        <v/>
      </c>
      <c r="L162" s="20" t="str">
        <f>IF(B162="","",70*'DDF Original'!$Q$4)</f>
        <v/>
      </c>
      <c r="M162" s="20" t="str">
        <f t="shared" si="19"/>
        <v/>
      </c>
      <c r="N162" s="20" t="str">
        <f>IF(AND(OR(B162="",J162&gt;G162,M162&gt;G162),'DDF Original'!L162&lt;&gt; "MI"),G162,IF(M162&gt;J162,M162,J162))</f>
        <v/>
      </c>
    </row>
    <row r="163" spans="2:14" x14ac:dyDescent="0.2">
      <c r="B163" s="19" t="str">
        <f>IF('DDF Original'!B163="","",'DDF Original'!B163)</f>
        <v/>
      </c>
      <c r="C163" s="19" t="e">
        <f t="shared" si="20"/>
        <v>#VALUE!</v>
      </c>
      <c r="D163" s="20" t="str">
        <f>IF('DDF Original'!C163="","",'DDF Original'!C163)</f>
        <v/>
      </c>
      <c r="E163" s="24" t="str">
        <f>IF('DDF Original'!B163="","",IF(TRIM('DDF Original'!I163)="",0,'DDF Original'!I163))</f>
        <v/>
      </c>
      <c r="F163" s="20" t="str">
        <f t="shared" si="14"/>
        <v/>
      </c>
      <c r="G163" s="37" t="str">
        <f>IF('DDF Original'!B163="","",IF(TRIM('DDF Original'!P163)="",0,'DDF Original'!P163))</f>
        <v/>
      </c>
      <c r="H163" s="20" t="str">
        <f t="shared" si="15"/>
        <v/>
      </c>
      <c r="I163" s="25" t="str">
        <f t="shared" si="16"/>
        <v/>
      </c>
      <c r="J163" s="20" t="str">
        <f t="shared" si="17"/>
        <v/>
      </c>
      <c r="K163" s="20" t="str">
        <f t="shared" si="18"/>
        <v/>
      </c>
      <c r="L163" s="20" t="str">
        <f>IF(B163="","",70*'DDF Original'!$Q$4)</f>
        <v/>
      </c>
      <c r="M163" s="20" t="str">
        <f t="shared" si="19"/>
        <v/>
      </c>
      <c r="N163" s="20" t="str">
        <f>IF(AND(OR(B163="",J163&gt;G163,M163&gt;G163),'DDF Original'!L163&lt;&gt; "MI"),G163,IF(M163&gt;J163,M163,J163))</f>
        <v/>
      </c>
    </row>
    <row r="164" spans="2:14" x14ac:dyDescent="0.2">
      <c r="B164" s="19" t="str">
        <f>IF('DDF Original'!B164="","",'DDF Original'!B164)</f>
        <v/>
      </c>
      <c r="C164" s="19" t="e">
        <f t="shared" si="20"/>
        <v>#VALUE!</v>
      </c>
      <c r="D164" s="20" t="str">
        <f>IF('DDF Original'!C164="","",'DDF Original'!C164)</f>
        <v/>
      </c>
      <c r="E164" s="24" t="str">
        <f>IF('DDF Original'!B164="","",IF(TRIM('DDF Original'!I164)="",0,'DDF Original'!I164))</f>
        <v/>
      </c>
      <c r="F164" s="20" t="str">
        <f t="shared" si="14"/>
        <v/>
      </c>
      <c r="G164" s="37" t="str">
        <f>IF('DDF Original'!B164="","",IF(TRIM('DDF Original'!P164)="",0,'DDF Original'!P164))</f>
        <v/>
      </c>
      <c r="H164" s="20" t="str">
        <f t="shared" si="15"/>
        <v/>
      </c>
      <c r="I164" s="25" t="str">
        <f t="shared" si="16"/>
        <v/>
      </c>
      <c r="J164" s="20" t="str">
        <f t="shared" si="17"/>
        <v/>
      </c>
      <c r="K164" s="20" t="str">
        <f t="shared" si="18"/>
        <v/>
      </c>
      <c r="L164" s="20" t="str">
        <f>IF(B164="","",70*'DDF Original'!$Q$4)</f>
        <v/>
      </c>
      <c r="M164" s="20" t="str">
        <f t="shared" si="19"/>
        <v/>
      </c>
      <c r="N164" s="20" t="str">
        <f>IF(AND(OR(B164="",J164&gt;G164,M164&gt;G164),'DDF Original'!L164&lt;&gt; "MI"),G164,IF(M164&gt;J164,M164,J164))</f>
        <v/>
      </c>
    </row>
    <row r="165" spans="2:14" x14ac:dyDescent="0.2">
      <c r="B165" s="19" t="str">
        <f>IF('DDF Original'!B165="","",'DDF Original'!B165)</f>
        <v/>
      </c>
      <c r="C165" s="19" t="e">
        <f t="shared" si="20"/>
        <v>#VALUE!</v>
      </c>
      <c r="D165" s="20" t="str">
        <f>IF('DDF Original'!C165="","",'DDF Original'!C165)</f>
        <v/>
      </c>
      <c r="E165" s="24" t="str">
        <f>IF('DDF Original'!B165="","",IF(TRIM('DDF Original'!I165)="",0,'DDF Original'!I165))</f>
        <v/>
      </c>
      <c r="F165" s="20" t="str">
        <f t="shared" si="14"/>
        <v/>
      </c>
      <c r="G165" s="37" t="str">
        <f>IF('DDF Original'!B165="","",IF(TRIM('DDF Original'!P165)="",0,'DDF Original'!P165))</f>
        <v/>
      </c>
      <c r="H165" s="20" t="str">
        <f t="shared" si="15"/>
        <v/>
      </c>
      <c r="I165" s="25" t="str">
        <f t="shared" si="16"/>
        <v/>
      </c>
      <c r="J165" s="20" t="str">
        <f t="shared" si="17"/>
        <v/>
      </c>
      <c r="K165" s="20" t="str">
        <f t="shared" si="18"/>
        <v/>
      </c>
      <c r="L165" s="20" t="str">
        <f>IF(B165="","",70*'DDF Original'!$Q$4)</f>
        <v/>
      </c>
      <c r="M165" s="20" t="str">
        <f t="shared" si="19"/>
        <v/>
      </c>
      <c r="N165" s="20" t="str">
        <f>IF(AND(OR(B165="",J165&gt;G165,M165&gt;G165),'DDF Original'!L165&lt;&gt; "MI"),G165,IF(M165&gt;J165,M165,J165))</f>
        <v/>
      </c>
    </row>
    <row r="166" spans="2:14" x14ac:dyDescent="0.2">
      <c r="B166" s="19" t="str">
        <f>IF('DDF Original'!B166="","",'DDF Original'!B166)</f>
        <v/>
      </c>
      <c r="C166" s="19" t="e">
        <f t="shared" si="20"/>
        <v>#VALUE!</v>
      </c>
      <c r="D166" s="20" t="str">
        <f>IF('DDF Original'!C166="","",'DDF Original'!C166)</f>
        <v/>
      </c>
      <c r="E166" s="24" t="str">
        <f>IF('DDF Original'!B166="","",IF(TRIM('DDF Original'!I166)="",0,'DDF Original'!I166))</f>
        <v/>
      </c>
      <c r="F166" s="20" t="str">
        <f t="shared" si="14"/>
        <v/>
      </c>
      <c r="G166" s="37" t="str">
        <f>IF('DDF Original'!B166="","",IF(TRIM('DDF Original'!P166)="",0,'DDF Original'!P166))</f>
        <v/>
      </c>
      <c r="H166" s="20" t="str">
        <f t="shared" si="15"/>
        <v/>
      </c>
      <c r="I166" s="25" t="str">
        <f t="shared" si="16"/>
        <v/>
      </c>
      <c r="J166" s="20" t="str">
        <f t="shared" si="17"/>
        <v/>
      </c>
      <c r="K166" s="20" t="str">
        <f t="shared" si="18"/>
        <v/>
      </c>
      <c r="L166" s="20" t="str">
        <f>IF(B166="","",70*'DDF Original'!$Q$4)</f>
        <v/>
      </c>
      <c r="M166" s="20" t="str">
        <f t="shared" si="19"/>
        <v/>
      </c>
      <c r="N166" s="20" t="str">
        <f>IF(AND(OR(B166="",J166&gt;G166,M166&gt;G166),'DDF Original'!L166&lt;&gt; "MI"),G166,IF(M166&gt;J166,M166,J166))</f>
        <v/>
      </c>
    </row>
    <row r="167" spans="2:14" x14ac:dyDescent="0.2">
      <c r="B167" s="19" t="str">
        <f>IF('DDF Original'!B167="","",'DDF Original'!B167)</f>
        <v/>
      </c>
      <c r="C167" s="19" t="e">
        <f t="shared" si="20"/>
        <v>#VALUE!</v>
      </c>
      <c r="D167" s="20" t="str">
        <f>IF('DDF Original'!C167="","",'DDF Original'!C167)</f>
        <v/>
      </c>
      <c r="E167" s="24" t="str">
        <f>IF('DDF Original'!B167="","",IF(TRIM('DDF Original'!I167)="",0,'DDF Original'!I167))</f>
        <v/>
      </c>
      <c r="F167" s="20" t="str">
        <f t="shared" si="14"/>
        <v/>
      </c>
      <c r="G167" s="37" t="str">
        <f>IF('DDF Original'!B167="","",IF(TRIM('DDF Original'!P167)="",0,'DDF Original'!P167))</f>
        <v/>
      </c>
      <c r="H167" s="20" t="str">
        <f t="shared" si="15"/>
        <v/>
      </c>
      <c r="I167" s="25" t="str">
        <f t="shared" si="16"/>
        <v/>
      </c>
      <c r="J167" s="20" t="str">
        <f t="shared" si="17"/>
        <v/>
      </c>
      <c r="K167" s="20" t="str">
        <f t="shared" si="18"/>
        <v/>
      </c>
      <c r="L167" s="20" t="str">
        <f>IF(B167="","",70*'DDF Original'!$Q$4)</f>
        <v/>
      </c>
      <c r="M167" s="20" t="str">
        <f t="shared" si="19"/>
        <v/>
      </c>
      <c r="N167" s="20" t="str">
        <f>IF(AND(OR(B167="",J167&gt;G167,M167&gt;G167),'DDF Original'!L167&lt;&gt; "MI"),G167,IF(M167&gt;J167,M167,J167))</f>
        <v/>
      </c>
    </row>
    <row r="168" spans="2:14" x14ac:dyDescent="0.2">
      <c r="B168" s="19" t="str">
        <f>IF('DDF Original'!B168="","",'DDF Original'!B168)</f>
        <v/>
      </c>
      <c r="C168" s="19" t="e">
        <f t="shared" si="20"/>
        <v>#VALUE!</v>
      </c>
      <c r="D168" s="20" t="str">
        <f>IF('DDF Original'!C168="","",'DDF Original'!C168)</f>
        <v/>
      </c>
      <c r="E168" s="24" t="str">
        <f>IF('DDF Original'!B168="","",IF(TRIM('DDF Original'!I168)="",0,'DDF Original'!I168))</f>
        <v/>
      </c>
      <c r="F168" s="20" t="str">
        <f t="shared" si="14"/>
        <v/>
      </c>
      <c r="G168" s="37" t="str">
        <f>IF('DDF Original'!B168="","",IF(TRIM('DDF Original'!P168)="",0,'DDF Original'!P168))</f>
        <v/>
      </c>
      <c r="H168" s="20" t="str">
        <f t="shared" si="15"/>
        <v/>
      </c>
      <c r="I168" s="25" t="str">
        <f t="shared" si="16"/>
        <v/>
      </c>
      <c r="J168" s="20" t="str">
        <f t="shared" si="17"/>
        <v/>
      </c>
      <c r="K168" s="20" t="str">
        <f t="shared" si="18"/>
        <v/>
      </c>
      <c r="L168" s="20" t="str">
        <f>IF(B168="","",70*'DDF Original'!$Q$4)</f>
        <v/>
      </c>
      <c r="M168" s="20" t="str">
        <f t="shared" si="19"/>
        <v/>
      </c>
      <c r="N168" s="20" t="str">
        <f>IF(AND(OR(B168="",J168&gt;G168,M168&gt;G168),'DDF Original'!L168&lt;&gt; "MI"),G168,IF(M168&gt;J168,M168,J168))</f>
        <v/>
      </c>
    </row>
    <row r="169" spans="2:14" x14ac:dyDescent="0.2">
      <c r="B169" s="19" t="str">
        <f>IF('DDF Original'!B169="","",'DDF Original'!B169)</f>
        <v/>
      </c>
      <c r="C169" s="19" t="e">
        <f t="shared" si="20"/>
        <v>#VALUE!</v>
      </c>
      <c r="D169" s="20" t="str">
        <f>IF('DDF Original'!C169="","",'DDF Original'!C169)</f>
        <v/>
      </c>
      <c r="E169" s="24" t="str">
        <f>IF('DDF Original'!B169="","",IF(TRIM('DDF Original'!I169)="",0,'DDF Original'!I169))</f>
        <v/>
      </c>
      <c r="F169" s="20" t="str">
        <f t="shared" si="14"/>
        <v/>
      </c>
      <c r="G169" s="37" t="str">
        <f>IF('DDF Original'!B169="","",IF(TRIM('DDF Original'!P169)="",0,'DDF Original'!P169))</f>
        <v/>
      </c>
      <c r="H169" s="20" t="str">
        <f t="shared" si="15"/>
        <v/>
      </c>
      <c r="I169" s="25" t="str">
        <f t="shared" si="16"/>
        <v/>
      </c>
      <c r="J169" s="20" t="str">
        <f t="shared" si="17"/>
        <v/>
      </c>
      <c r="K169" s="20" t="str">
        <f t="shared" si="18"/>
        <v/>
      </c>
      <c r="L169" s="20" t="str">
        <f>IF(B169="","",70*'DDF Original'!$Q$4)</f>
        <v/>
      </c>
      <c r="M169" s="20" t="str">
        <f t="shared" si="19"/>
        <v/>
      </c>
      <c r="N169" s="20" t="str">
        <f>IF(AND(OR(B169="",J169&gt;G169,M169&gt;G169),'DDF Original'!L169&lt;&gt; "MI"),G169,IF(M169&gt;J169,M169,J169))</f>
        <v/>
      </c>
    </row>
    <row r="170" spans="2:14" x14ac:dyDescent="0.2">
      <c r="B170" s="19" t="str">
        <f>IF('DDF Original'!B170="","",'DDF Original'!B170)</f>
        <v/>
      </c>
      <c r="C170" s="19" t="e">
        <f t="shared" si="20"/>
        <v>#VALUE!</v>
      </c>
      <c r="D170" s="20" t="str">
        <f>IF('DDF Original'!C170="","",'DDF Original'!C170)</f>
        <v/>
      </c>
      <c r="E170" s="24" t="str">
        <f>IF('DDF Original'!B170="","",IF(TRIM('DDF Original'!I170)="",0,'DDF Original'!I170))</f>
        <v/>
      </c>
      <c r="F170" s="20" t="str">
        <f t="shared" si="14"/>
        <v/>
      </c>
      <c r="G170" s="37" t="str">
        <f>IF('DDF Original'!B170="","",IF(TRIM('DDF Original'!P170)="",0,'DDF Original'!P170))</f>
        <v/>
      </c>
      <c r="H170" s="20" t="str">
        <f t="shared" si="15"/>
        <v/>
      </c>
      <c r="I170" s="25" t="str">
        <f t="shared" si="16"/>
        <v/>
      </c>
      <c r="J170" s="20" t="str">
        <f t="shared" si="17"/>
        <v/>
      </c>
      <c r="K170" s="20" t="str">
        <f t="shared" si="18"/>
        <v/>
      </c>
      <c r="L170" s="20" t="str">
        <f>IF(B170="","",70*'DDF Original'!$Q$4)</f>
        <v/>
      </c>
      <c r="M170" s="20" t="str">
        <f t="shared" si="19"/>
        <v/>
      </c>
      <c r="N170" s="20" t="str">
        <f>IF(AND(OR(B170="",J170&gt;G170,M170&gt;G170),'DDF Original'!L170&lt;&gt; "MI"),G170,IF(M170&gt;J170,M170,J170))</f>
        <v/>
      </c>
    </row>
    <row r="171" spans="2:14" x14ac:dyDescent="0.2">
      <c r="B171" s="19" t="str">
        <f>IF('DDF Original'!B171="","",'DDF Original'!B171)</f>
        <v/>
      </c>
      <c r="C171" s="19" t="e">
        <f t="shared" si="20"/>
        <v>#VALUE!</v>
      </c>
      <c r="D171" s="20" t="str">
        <f>IF('DDF Original'!C171="","",'DDF Original'!C171)</f>
        <v/>
      </c>
      <c r="E171" s="24" t="str">
        <f>IF('DDF Original'!B171="","",IF(TRIM('DDF Original'!I171)="",0,'DDF Original'!I171))</f>
        <v/>
      </c>
      <c r="F171" s="20" t="str">
        <f t="shared" si="14"/>
        <v/>
      </c>
      <c r="G171" s="37" t="str">
        <f>IF('DDF Original'!B171="","",IF(TRIM('DDF Original'!P171)="",0,'DDF Original'!P171))</f>
        <v/>
      </c>
      <c r="H171" s="20" t="str">
        <f t="shared" si="15"/>
        <v/>
      </c>
      <c r="I171" s="25" t="str">
        <f t="shared" si="16"/>
        <v/>
      </c>
      <c r="J171" s="20" t="str">
        <f t="shared" si="17"/>
        <v/>
      </c>
      <c r="K171" s="20" t="str">
        <f t="shared" si="18"/>
        <v/>
      </c>
      <c r="L171" s="20" t="str">
        <f>IF(B171="","",70*'DDF Original'!$Q$4)</f>
        <v/>
      </c>
      <c r="M171" s="20" t="str">
        <f t="shared" si="19"/>
        <v/>
      </c>
      <c r="N171" s="20" t="str">
        <f>IF(AND(OR(B171="",J171&gt;G171,M171&gt;G171),'DDF Original'!L171&lt;&gt; "MI"),G171,IF(M171&gt;J171,M171,J171))</f>
        <v/>
      </c>
    </row>
    <row r="172" spans="2:14" x14ac:dyDescent="0.2">
      <c r="B172" s="19" t="str">
        <f>IF('DDF Original'!B172="","",'DDF Original'!B172)</f>
        <v/>
      </c>
      <c r="C172" s="19" t="e">
        <f t="shared" si="20"/>
        <v>#VALUE!</v>
      </c>
      <c r="D172" s="20" t="str">
        <f>IF('DDF Original'!C172="","",'DDF Original'!C172)</f>
        <v/>
      </c>
      <c r="E172" s="24" t="str">
        <f>IF('DDF Original'!B172="","",IF(TRIM('DDF Original'!I172)="",0,'DDF Original'!I172))</f>
        <v/>
      </c>
      <c r="F172" s="20" t="str">
        <f t="shared" si="14"/>
        <v/>
      </c>
      <c r="G172" s="37" t="str">
        <f>IF('DDF Original'!B172="","",IF(TRIM('DDF Original'!P172)="",0,'DDF Original'!P172))</f>
        <v/>
      </c>
      <c r="H172" s="20" t="str">
        <f t="shared" si="15"/>
        <v/>
      </c>
      <c r="I172" s="25" t="str">
        <f t="shared" si="16"/>
        <v/>
      </c>
      <c r="J172" s="20" t="str">
        <f t="shared" si="17"/>
        <v/>
      </c>
      <c r="K172" s="20" t="str">
        <f t="shared" si="18"/>
        <v/>
      </c>
      <c r="L172" s="20" t="str">
        <f>IF(B172="","",70*'DDF Original'!$Q$4)</f>
        <v/>
      </c>
      <c r="M172" s="20" t="str">
        <f t="shared" si="19"/>
        <v/>
      </c>
      <c r="N172" s="20" t="str">
        <f>IF(AND(OR(B172="",J172&gt;G172,M172&gt;G172),'DDF Original'!L172&lt;&gt; "MI"),G172,IF(M172&gt;J172,M172,J172))</f>
        <v/>
      </c>
    </row>
    <row r="173" spans="2:14" x14ac:dyDescent="0.2">
      <c r="B173" s="19" t="str">
        <f>IF('DDF Original'!B173="","",'DDF Original'!B173)</f>
        <v/>
      </c>
      <c r="C173" s="19" t="e">
        <f t="shared" si="20"/>
        <v>#VALUE!</v>
      </c>
      <c r="D173" s="20" t="str">
        <f>IF('DDF Original'!C173="","",'DDF Original'!C173)</f>
        <v/>
      </c>
      <c r="E173" s="24" t="str">
        <f>IF('DDF Original'!B173="","",IF(TRIM('DDF Original'!I173)="",0,'DDF Original'!I173))</f>
        <v/>
      </c>
      <c r="F173" s="20" t="str">
        <f t="shared" si="14"/>
        <v/>
      </c>
      <c r="G173" s="37" t="str">
        <f>IF('DDF Original'!B173="","",IF(TRIM('DDF Original'!P173)="",0,'DDF Original'!P173))</f>
        <v/>
      </c>
      <c r="H173" s="20" t="str">
        <f t="shared" si="15"/>
        <v/>
      </c>
      <c r="I173" s="25" t="str">
        <f t="shared" si="16"/>
        <v/>
      </c>
      <c r="J173" s="20" t="str">
        <f t="shared" si="17"/>
        <v/>
      </c>
      <c r="K173" s="20" t="str">
        <f t="shared" si="18"/>
        <v/>
      </c>
      <c r="L173" s="20" t="str">
        <f>IF(B173="","",70*'DDF Original'!$Q$4)</f>
        <v/>
      </c>
      <c r="M173" s="20" t="str">
        <f t="shared" si="19"/>
        <v/>
      </c>
      <c r="N173" s="20" t="str">
        <f>IF(AND(OR(B173="",J173&gt;G173,M173&gt;G173),'DDF Original'!L173&lt;&gt; "MI"),G173,IF(M173&gt;J173,M173,J173))</f>
        <v/>
      </c>
    </row>
    <row r="174" spans="2:14" x14ac:dyDescent="0.2">
      <c r="B174" s="19" t="str">
        <f>IF('DDF Original'!B174="","",'DDF Original'!B174)</f>
        <v/>
      </c>
      <c r="C174" s="19" t="e">
        <f t="shared" si="20"/>
        <v>#VALUE!</v>
      </c>
      <c r="D174" s="20" t="str">
        <f>IF('DDF Original'!C174="","",'DDF Original'!C174)</f>
        <v/>
      </c>
      <c r="E174" s="24" t="str">
        <f>IF('DDF Original'!B174="","",IF(TRIM('DDF Original'!I174)="",0,'DDF Original'!I174))</f>
        <v/>
      </c>
      <c r="F174" s="20" t="str">
        <f t="shared" si="14"/>
        <v/>
      </c>
      <c r="G174" s="37" t="str">
        <f>IF('DDF Original'!B174="","",IF(TRIM('DDF Original'!P174)="",0,'DDF Original'!P174))</f>
        <v/>
      </c>
      <c r="H174" s="20" t="str">
        <f t="shared" si="15"/>
        <v/>
      </c>
      <c r="I174" s="25" t="str">
        <f t="shared" si="16"/>
        <v/>
      </c>
      <c r="J174" s="20" t="str">
        <f t="shared" si="17"/>
        <v/>
      </c>
      <c r="K174" s="20" t="str">
        <f t="shared" si="18"/>
        <v/>
      </c>
      <c r="L174" s="20" t="str">
        <f>IF(B174="","",70*'DDF Original'!$Q$4)</f>
        <v/>
      </c>
      <c r="M174" s="20" t="str">
        <f t="shared" si="19"/>
        <v/>
      </c>
      <c r="N174" s="20" t="str">
        <f>IF(AND(OR(B174="",J174&gt;G174,M174&gt;G174),'DDF Original'!L174&lt;&gt; "MI"),G174,IF(M174&gt;J174,M174,J174))</f>
        <v/>
      </c>
    </row>
    <row r="175" spans="2:14" x14ac:dyDescent="0.2">
      <c r="B175" s="19" t="str">
        <f>IF('DDF Original'!B175="","",'DDF Original'!B175)</f>
        <v/>
      </c>
      <c r="C175" s="19" t="e">
        <f t="shared" si="20"/>
        <v>#VALUE!</v>
      </c>
      <c r="D175" s="20" t="str">
        <f>IF('DDF Original'!C175="","",'DDF Original'!C175)</f>
        <v/>
      </c>
      <c r="E175" s="24" t="str">
        <f>IF('DDF Original'!B175="","",IF(TRIM('DDF Original'!I175)="",0,'DDF Original'!I175))</f>
        <v/>
      </c>
      <c r="F175" s="20" t="str">
        <f t="shared" si="14"/>
        <v/>
      </c>
      <c r="G175" s="37" t="str">
        <f>IF('DDF Original'!B175="","",IF(TRIM('DDF Original'!P175)="",0,'DDF Original'!P175))</f>
        <v/>
      </c>
      <c r="H175" s="20" t="str">
        <f t="shared" si="15"/>
        <v/>
      </c>
      <c r="I175" s="25" t="str">
        <f t="shared" si="16"/>
        <v/>
      </c>
      <c r="J175" s="20" t="str">
        <f t="shared" si="17"/>
        <v/>
      </c>
      <c r="K175" s="20" t="str">
        <f t="shared" si="18"/>
        <v/>
      </c>
      <c r="L175" s="20" t="str">
        <f>IF(B175="","",70*'DDF Original'!$Q$4)</f>
        <v/>
      </c>
      <c r="M175" s="20" t="str">
        <f t="shared" si="19"/>
        <v/>
      </c>
      <c r="N175" s="20" t="str">
        <f>IF(AND(OR(B175="",J175&gt;G175,M175&gt;G175),'DDF Original'!L175&lt;&gt; "MI"),G175,IF(M175&gt;J175,M175,J175))</f>
        <v/>
      </c>
    </row>
    <row r="176" spans="2:14" x14ac:dyDescent="0.2">
      <c r="B176" s="19" t="str">
        <f>IF('DDF Original'!B176="","",'DDF Original'!B176)</f>
        <v/>
      </c>
      <c r="C176" s="19" t="e">
        <f t="shared" si="20"/>
        <v>#VALUE!</v>
      </c>
      <c r="D176" s="20" t="str">
        <f>IF('DDF Original'!C176="","",'DDF Original'!C176)</f>
        <v/>
      </c>
      <c r="E176" s="24" t="str">
        <f>IF('DDF Original'!B176="","",IF(TRIM('DDF Original'!I176)="",0,'DDF Original'!I176))</f>
        <v/>
      </c>
      <c r="F176" s="20" t="str">
        <f t="shared" si="14"/>
        <v/>
      </c>
      <c r="G176" s="37" t="str">
        <f>IF('DDF Original'!B176="","",IF(TRIM('DDF Original'!P176)="",0,'DDF Original'!P176))</f>
        <v/>
      </c>
      <c r="H176" s="20" t="str">
        <f t="shared" si="15"/>
        <v/>
      </c>
      <c r="I176" s="25" t="str">
        <f t="shared" si="16"/>
        <v/>
      </c>
      <c r="J176" s="20" t="str">
        <f t="shared" si="17"/>
        <v/>
      </c>
      <c r="K176" s="20" t="str">
        <f t="shared" si="18"/>
        <v/>
      </c>
      <c r="L176" s="20" t="str">
        <f>IF(B176="","",70*'DDF Original'!$Q$4)</f>
        <v/>
      </c>
      <c r="M176" s="20" t="str">
        <f t="shared" si="19"/>
        <v/>
      </c>
      <c r="N176" s="20" t="str">
        <f>IF(AND(OR(B176="",J176&gt;G176,M176&gt;G176),'DDF Original'!L176&lt;&gt; "MI"),G176,IF(M176&gt;J176,M176,J176))</f>
        <v/>
      </c>
    </row>
    <row r="177" spans="2:14" x14ac:dyDescent="0.2">
      <c r="B177" s="19" t="str">
        <f>IF('DDF Original'!B177="","",'DDF Original'!B177)</f>
        <v/>
      </c>
      <c r="C177" s="19" t="e">
        <f t="shared" si="20"/>
        <v>#VALUE!</v>
      </c>
      <c r="D177" s="20" t="str">
        <f>IF('DDF Original'!C177="","",'DDF Original'!C177)</f>
        <v/>
      </c>
      <c r="E177" s="24" t="str">
        <f>IF('DDF Original'!B177="","",IF(TRIM('DDF Original'!I177)="",0,'DDF Original'!I177))</f>
        <v/>
      </c>
      <c r="F177" s="20" t="str">
        <f t="shared" si="14"/>
        <v/>
      </c>
      <c r="G177" s="37" t="str">
        <f>IF('DDF Original'!B177="","",IF(TRIM('DDF Original'!P177)="",0,'DDF Original'!P177))</f>
        <v/>
      </c>
      <c r="H177" s="20" t="str">
        <f t="shared" si="15"/>
        <v/>
      </c>
      <c r="I177" s="25" t="str">
        <f t="shared" si="16"/>
        <v/>
      </c>
      <c r="J177" s="20" t="str">
        <f t="shared" si="17"/>
        <v/>
      </c>
      <c r="K177" s="20" t="str">
        <f t="shared" si="18"/>
        <v/>
      </c>
      <c r="L177" s="20" t="str">
        <f>IF(B177="","",70*'DDF Original'!$Q$4)</f>
        <v/>
      </c>
      <c r="M177" s="20" t="str">
        <f t="shared" si="19"/>
        <v/>
      </c>
      <c r="N177" s="20" t="str">
        <f>IF(AND(OR(B177="",J177&gt;G177,M177&gt;G177),'DDF Original'!L177&lt;&gt; "MI"),G177,IF(M177&gt;J177,M177,J177))</f>
        <v/>
      </c>
    </row>
    <row r="178" spans="2:14" x14ac:dyDescent="0.2">
      <c r="B178" s="19" t="str">
        <f>IF('DDF Original'!B178="","",'DDF Original'!B178)</f>
        <v/>
      </c>
      <c r="C178" s="19" t="e">
        <f t="shared" si="20"/>
        <v>#VALUE!</v>
      </c>
      <c r="D178" s="20" t="str">
        <f>IF('DDF Original'!C178="","",'DDF Original'!C178)</f>
        <v/>
      </c>
      <c r="E178" s="24" t="str">
        <f>IF('DDF Original'!B178="","",IF(TRIM('DDF Original'!I178)="",0,'DDF Original'!I178))</f>
        <v/>
      </c>
      <c r="F178" s="20" t="str">
        <f t="shared" si="14"/>
        <v/>
      </c>
      <c r="G178" s="37" t="str">
        <f>IF('DDF Original'!B178="","",IF(TRIM('DDF Original'!P178)="",0,'DDF Original'!P178))</f>
        <v/>
      </c>
      <c r="H178" s="20" t="str">
        <f t="shared" si="15"/>
        <v/>
      </c>
      <c r="I178" s="25" t="str">
        <f t="shared" si="16"/>
        <v/>
      </c>
      <c r="J178" s="20" t="str">
        <f t="shared" si="17"/>
        <v/>
      </c>
      <c r="K178" s="20" t="str">
        <f t="shared" si="18"/>
        <v/>
      </c>
      <c r="L178" s="20" t="str">
        <f>IF(B178="","",70*'DDF Original'!$Q$4)</f>
        <v/>
      </c>
      <c r="M178" s="20" t="str">
        <f t="shared" si="19"/>
        <v/>
      </c>
      <c r="N178" s="20" t="str">
        <f>IF(AND(OR(B178="",J178&gt;G178,M178&gt;G178),'DDF Original'!L178&lt;&gt; "MI"),G178,IF(M178&gt;J178,M178,J178))</f>
        <v/>
      </c>
    </row>
    <row r="179" spans="2:14" x14ac:dyDescent="0.2">
      <c r="B179" s="19" t="str">
        <f>IF('DDF Original'!B179="","",'DDF Original'!B179)</f>
        <v/>
      </c>
      <c r="C179" s="19" t="e">
        <f t="shared" si="20"/>
        <v>#VALUE!</v>
      </c>
      <c r="D179" s="20" t="str">
        <f>IF('DDF Original'!C179="","",'DDF Original'!C179)</f>
        <v/>
      </c>
      <c r="E179" s="24" t="str">
        <f>IF('DDF Original'!B179="","",IF(TRIM('DDF Original'!I179)="",0,'DDF Original'!I179))</f>
        <v/>
      </c>
      <c r="F179" s="20" t="str">
        <f t="shared" si="14"/>
        <v/>
      </c>
      <c r="G179" s="37" t="str">
        <f>IF('DDF Original'!B179="","",IF(TRIM('DDF Original'!P179)="",0,'DDF Original'!P179))</f>
        <v/>
      </c>
      <c r="H179" s="20" t="str">
        <f t="shared" si="15"/>
        <v/>
      </c>
      <c r="I179" s="25" t="str">
        <f t="shared" si="16"/>
        <v/>
      </c>
      <c r="J179" s="20" t="str">
        <f t="shared" si="17"/>
        <v/>
      </c>
      <c r="K179" s="20" t="str">
        <f t="shared" si="18"/>
        <v/>
      </c>
      <c r="L179" s="20" t="str">
        <f>IF(B179="","",70*'DDF Original'!$Q$4)</f>
        <v/>
      </c>
      <c r="M179" s="20" t="str">
        <f t="shared" si="19"/>
        <v/>
      </c>
      <c r="N179" s="20" t="str">
        <f>IF(AND(OR(B179="",J179&gt;G179,M179&gt;G179),'DDF Original'!L179&lt;&gt; "MI"),G179,IF(M179&gt;J179,M179,J179))</f>
        <v/>
      </c>
    </row>
    <row r="180" spans="2:14" x14ac:dyDescent="0.2">
      <c r="B180" s="19" t="str">
        <f>IF('DDF Original'!B180="","",'DDF Original'!B180)</f>
        <v/>
      </c>
      <c r="C180" s="19" t="e">
        <f t="shared" si="20"/>
        <v>#VALUE!</v>
      </c>
      <c r="D180" s="20" t="str">
        <f>IF('DDF Original'!C180="","",'DDF Original'!C180)</f>
        <v/>
      </c>
      <c r="E180" s="24" t="str">
        <f>IF('DDF Original'!B180="","",IF(TRIM('DDF Original'!I180)="",0,'DDF Original'!I180))</f>
        <v/>
      </c>
      <c r="F180" s="20" t="str">
        <f t="shared" si="14"/>
        <v/>
      </c>
      <c r="G180" s="37" t="str">
        <f>IF('DDF Original'!B180="","",IF(TRIM('DDF Original'!P180)="",0,'DDF Original'!P180))</f>
        <v/>
      </c>
      <c r="H180" s="20" t="str">
        <f t="shared" si="15"/>
        <v/>
      </c>
      <c r="I180" s="25" t="str">
        <f t="shared" si="16"/>
        <v/>
      </c>
      <c r="J180" s="20" t="str">
        <f t="shared" si="17"/>
        <v/>
      </c>
      <c r="K180" s="20" t="str">
        <f t="shared" si="18"/>
        <v/>
      </c>
      <c r="L180" s="20" t="str">
        <f>IF(B180="","",70*'DDF Original'!$Q$4)</f>
        <v/>
      </c>
      <c r="M180" s="20" t="str">
        <f t="shared" si="19"/>
        <v/>
      </c>
      <c r="N180" s="20" t="str">
        <f>IF(AND(OR(B180="",J180&gt;G180,M180&gt;G180),'DDF Original'!L180&lt;&gt; "MI"),G180,IF(M180&gt;J180,M180,J180))</f>
        <v/>
      </c>
    </row>
    <row r="181" spans="2:14" x14ac:dyDescent="0.2">
      <c r="B181" s="19" t="str">
        <f>IF('DDF Original'!B181="","",'DDF Original'!B181)</f>
        <v/>
      </c>
      <c r="C181" s="19" t="e">
        <f t="shared" si="20"/>
        <v>#VALUE!</v>
      </c>
      <c r="D181" s="20" t="str">
        <f>IF('DDF Original'!C181="","",'DDF Original'!C181)</f>
        <v/>
      </c>
      <c r="E181" s="24" t="str">
        <f>IF('DDF Original'!B181="","",IF(TRIM('DDF Original'!I181)="",0,'DDF Original'!I181))</f>
        <v/>
      </c>
      <c r="F181" s="20" t="str">
        <f t="shared" si="14"/>
        <v/>
      </c>
      <c r="G181" s="37" t="str">
        <f>IF('DDF Original'!B181="","",IF(TRIM('DDF Original'!P181)="",0,'DDF Original'!P181))</f>
        <v/>
      </c>
      <c r="H181" s="20" t="str">
        <f t="shared" si="15"/>
        <v/>
      </c>
      <c r="I181" s="25" t="str">
        <f t="shared" si="16"/>
        <v/>
      </c>
      <c r="J181" s="20" t="str">
        <f t="shared" si="17"/>
        <v/>
      </c>
      <c r="K181" s="20" t="str">
        <f t="shared" si="18"/>
        <v/>
      </c>
      <c r="L181" s="20" t="str">
        <f>IF(B181="","",70*'DDF Original'!$Q$4)</f>
        <v/>
      </c>
      <c r="M181" s="20" t="str">
        <f t="shared" si="19"/>
        <v/>
      </c>
      <c r="N181" s="20" t="str">
        <f>IF(AND(OR(B181="",J181&gt;G181,M181&gt;G181),'DDF Original'!L181&lt;&gt; "MI"),G181,IF(M181&gt;J181,M181,J181))</f>
        <v/>
      </c>
    </row>
    <row r="182" spans="2:14" x14ac:dyDescent="0.2">
      <c r="B182" s="19" t="str">
        <f>IF('DDF Original'!B182="","",'DDF Original'!B182)</f>
        <v/>
      </c>
      <c r="C182" s="19" t="e">
        <f t="shared" si="20"/>
        <v>#VALUE!</v>
      </c>
      <c r="D182" s="20" t="str">
        <f>IF('DDF Original'!C182="","",'DDF Original'!C182)</f>
        <v/>
      </c>
      <c r="E182" s="24" t="str">
        <f>IF('DDF Original'!B182="","",IF(TRIM('DDF Original'!I182)="",0,'DDF Original'!I182))</f>
        <v/>
      </c>
      <c r="F182" s="20" t="str">
        <f t="shared" si="14"/>
        <v/>
      </c>
      <c r="G182" s="37" t="str">
        <f>IF('DDF Original'!B182="","",IF(TRIM('DDF Original'!P182)="",0,'DDF Original'!P182))</f>
        <v/>
      </c>
      <c r="H182" s="20" t="str">
        <f t="shared" si="15"/>
        <v/>
      </c>
      <c r="I182" s="25" t="str">
        <f t="shared" si="16"/>
        <v/>
      </c>
      <c r="J182" s="20" t="str">
        <f t="shared" si="17"/>
        <v/>
      </c>
      <c r="K182" s="20" t="str">
        <f t="shared" si="18"/>
        <v/>
      </c>
      <c r="L182" s="20" t="str">
        <f>IF(B182="","",70*'DDF Original'!$Q$4)</f>
        <v/>
      </c>
      <c r="M182" s="20" t="str">
        <f t="shared" si="19"/>
        <v/>
      </c>
      <c r="N182" s="20" t="str">
        <f>IF(AND(OR(B182="",J182&gt;G182,M182&gt;G182),'DDF Original'!L182&lt;&gt; "MI"),G182,IF(M182&gt;J182,M182,J182))</f>
        <v/>
      </c>
    </row>
    <row r="183" spans="2:14" x14ac:dyDescent="0.2">
      <c r="B183" s="19" t="str">
        <f>IF('DDF Original'!B183="","",'DDF Original'!B183)</f>
        <v/>
      </c>
      <c r="C183" s="19" t="e">
        <f t="shared" si="20"/>
        <v>#VALUE!</v>
      </c>
      <c r="D183" s="20" t="str">
        <f>IF('DDF Original'!C183="","",'DDF Original'!C183)</f>
        <v/>
      </c>
      <c r="E183" s="24" t="str">
        <f>IF('DDF Original'!B183="","",IF(TRIM('DDF Original'!I183)="",0,'DDF Original'!I183))</f>
        <v/>
      </c>
      <c r="F183" s="20" t="str">
        <f t="shared" si="14"/>
        <v/>
      </c>
      <c r="G183" s="37" t="str">
        <f>IF('DDF Original'!B183="","",IF(TRIM('DDF Original'!P183)="",0,'DDF Original'!P183))</f>
        <v/>
      </c>
      <c r="H183" s="20" t="str">
        <f t="shared" si="15"/>
        <v/>
      </c>
      <c r="I183" s="25" t="str">
        <f t="shared" si="16"/>
        <v/>
      </c>
      <c r="J183" s="20" t="str">
        <f t="shared" si="17"/>
        <v/>
      </c>
      <c r="K183" s="20" t="str">
        <f t="shared" si="18"/>
        <v/>
      </c>
      <c r="L183" s="20" t="str">
        <f>IF(B183="","",70*'DDF Original'!$Q$4)</f>
        <v/>
      </c>
      <c r="M183" s="20" t="str">
        <f t="shared" si="19"/>
        <v/>
      </c>
      <c r="N183" s="20" t="str">
        <f>IF(AND(OR(B183="",J183&gt;G183,M183&gt;G183),'DDF Original'!L183&lt;&gt; "MI"),G183,IF(M183&gt;J183,M183,J183))</f>
        <v/>
      </c>
    </row>
    <row r="184" spans="2:14" x14ac:dyDescent="0.2">
      <c r="B184" s="19" t="str">
        <f>IF('DDF Original'!B184="","",'DDF Original'!B184)</f>
        <v/>
      </c>
      <c r="C184" s="19" t="e">
        <f t="shared" si="20"/>
        <v>#VALUE!</v>
      </c>
      <c r="D184" s="20" t="str">
        <f>IF('DDF Original'!C184="","",'DDF Original'!C184)</f>
        <v/>
      </c>
      <c r="E184" s="24" t="str">
        <f>IF('DDF Original'!B184="","",IF(TRIM('DDF Original'!I184)="",0,'DDF Original'!I184))</f>
        <v/>
      </c>
      <c r="F184" s="20" t="str">
        <f t="shared" si="14"/>
        <v/>
      </c>
      <c r="G184" s="37" t="str">
        <f>IF('DDF Original'!B184="","",IF(TRIM('DDF Original'!P184)="",0,'DDF Original'!P184))</f>
        <v/>
      </c>
      <c r="H184" s="20" t="str">
        <f t="shared" si="15"/>
        <v/>
      </c>
      <c r="I184" s="25" t="str">
        <f t="shared" si="16"/>
        <v/>
      </c>
      <c r="J184" s="20" t="str">
        <f t="shared" si="17"/>
        <v/>
      </c>
      <c r="K184" s="20" t="str">
        <f t="shared" si="18"/>
        <v/>
      </c>
      <c r="L184" s="20" t="str">
        <f>IF(B184="","",70*'DDF Original'!$Q$4)</f>
        <v/>
      </c>
      <c r="M184" s="20" t="str">
        <f t="shared" si="19"/>
        <v/>
      </c>
      <c r="N184" s="20" t="str">
        <f>IF(AND(OR(B184="",J184&gt;G184,M184&gt;G184),'DDF Original'!L184&lt;&gt; "MI"),G184,IF(M184&gt;J184,M184,J184))</f>
        <v/>
      </c>
    </row>
    <row r="185" spans="2:14" x14ac:dyDescent="0.2">
      <c r="B185" s="19" t="str">
        <f>IF('DDF Original'!B185="","",'DDF Original'!B185)</f>
        <v/>
      </c>
      <c r="C185" s="19" t="e">
        <f t="shared" si="20"/>
        <v>#VALUE!</v>
      </c>
      <c r="D185" s="20" t="str">
        <f>IF('DDF Original'!C185="","",'DDF Original'!C185)</f>
        <v/>
      </c>
      <c r="E185" s="24" t="str">
        <f>IF('DDF Original'!B185="","",IF(TRIM('DDF Original'!I185)="",0,'DDF Original'!I185))</f>
        <v/>
      </c>
      <c r="F185" s="20" t="str">
        <f t="shared" si="14"/>
        <v/>
      </c>
      <c r="G185" s="37" t="str">
        <f>IF('DDF Original'!B185="","",IF(TRIM('DDF Original'!P185)="",0,'DDF Original'!P185))</f>
        <v/>
      </c>
      <c r="H185" s="20" t="str">
        <f t="shared" si="15"/>
        <v/>
      </c>
      <c r="I185" s="25" t="str">
        <f t="shared" si="16"/>
        <v/>
      </c>
      <c r="J185" s="20" t="str">
        <f t="shared" si="17"/>
        <v/>
      </c>
      <c r="K185" s="20" t="str">
        <f t="shared" si="18"/>
        <v/>
      </c>
      <c r="L185" s="20" t="str">
        <f>IF(B185="","",70*'DDF Original'!$Q$4)</f>
        <v/>
      </c>
      <c r="M185" s="20" t="str">
        <f t="shared" si="19"/>
        <v/>
      </c>
      <c r="N185" s="20" t="str">
        <f>IF(AND(OR(B185="",J185&gt;G185,M185&gt;G185),'DDF Original'!L185&lt;&gt; "MI"),G185,IF(M185&gt;J185,M185,J185))</f>
        <v/>
      </c>
    </row>
    <row r="186" spans="2:14" x14ac:dyDescent="0.2">
      <c r="B186" s="19" t="str">
        <f>IF('DDF Original'!B186="","",'DDF Original'!B186)</f>
        <v/>
      </c>
      <c r="C186" s="19" t="e">
        <f t="shared" si="20"/>
        <v>#VALUE!</v>
      </c>
      <c r="D186" s="20" t="str">
        <f>IF('DDF Original'!C186="","",'DDF Original'!C186)</f>
        <v/>
      </c>
      <c r="E186" s="24" t="str">
        <f>IF('DDF Original'!B186="","",IF(TRIM('DDF Original'!I186)="",0,'DDF Original'!I186))</f>
        <v/>
      </c>
      <c r="F186" s="20" t="str">
        <f t="shared" si="14"/>
        <v/>
      </c>
      <c r="G186" s="37" t="str">
        <f>IF('DDF Original'!B186="","",IF(TRIM('DDF Original'!P186)="",0,'DDF Original'!P186))</f>
        <v/>
      </c>
      <c r="H186" s="20" t="str">
        <f t="shared" si="15"/>
        <v/>
      </c>
      <c r="I186" s="25" t="str">
        <f t="shared" si="16"/>
        <v/>
      </c>
      <c r="J186" s="20" t="str">
        <f t="shared" si="17"/>
        <v/>
      </c>
      <c r="K186" s="20" t="str">
        <f t="shared" si="18"/>
        <v/>
      </c>
      <c r="L186" s="20" t="str">
        <f>IF(B186="","",70*'DDF Original'!$Q$4)</f>
        <v/>
      </c>
      <c r="M186" s="20" t="str">
        <f t="shared" si="19"/>
        <v/>
      </c>
      <c r="N186" s="20" t="str">
        <f>IF(AND(OR(B186="",J186&gt;G186,M186&gt;G186),'DDF Original'!L186&lt;&gt; "MI"),G186,IF(M186&gt;J186,M186,J186))</f>
        <v/>
      </c>
    </row>
    <row r="187" spans="2:14" x14ac:dyDescent="0.2">
      <c r="B187" s="19" t="str">
        <f>IF('DDF Original'!B187="","",'DDF Original'!B187)</f>
        <v/>
      </c>
      <c r="C187" s="19" t="e">
        <f t="shared" si="20"/>
        <v>#VALUE!</v>
      </c>
      <c r="D187" s="20" t="str">
        <f>IF('DDF Original'!C187="","",'DDF Original'!C187)</f>
        <v/>
      </c>
      <c r="E187" s="24" t="str">
        <f>IF('DDF Original'!B187="","",IF(TRIM('DDF Original'!I187)="",0,'DDF Original'!I187))</f>
        <v/>
      </c>
      <c r="F187" s="20" t="str">
        <f t="shared" si="14"/>
        <v/>
      </c>
      <c r="G187" s="37" t="str">
        <f>IF('DDF Original'!B187="","",IF(TRIM('DDF Original'!P187)="",0,'DDF Original'!P187))</f>
        <v/>
      </c>
      <c r="H187" s="20" t="str">
        <f t="shared" si="15"/>
        <v/>
      </c>
      <c r="I187" s="25" t="str">
        <f t="shared" si="16"/>
        <v/>
      </c>
      <c r="J187" s="20" t="str">
        <f t="shared" si="17"/>
        <v/>
      </c>
      <c r="K187" s="20" t="str">
        <f t="shared" si="18"/>
        <v/>
      </c>
      <c r="L187" s="20" t="str">
        <f>IF(B187="","",70*'DDF Original'!$Q$4)</f>
        <v/>
      </c>
      <c r="M187" s="20" t="str">
        <f t="shared" si="19"/>
        <v/>
      </c>
      <c r="N187" s="20" t="str">
        <f>IF(AND(OR(B187="",J187&gt;G187,M187&gt;G187),'DDF Original'!L187&lt;&gt; "MI"),G187,IF(M187&gt;J187,M187,J187))</f>
        <v/>
      </c>
    </row>
    <row r="188" spans="2:14" x14ac:dyDescent="0.2">
      <c r="B188" s="19" t="str">
        <f>IF('DDF Original'!B188="","",'DDF Original'!B188)</f>
        <v/>
      </c>
      <c r="C188" s="19" t="e">
        <f t="shared" si="20"/>
        <v>#VALUE!</v>
      </c>
      <c r="D188" s="20" t="str">
        <f>IF('DDF Original'!C188="","",'DDF Original'!C188)</f>
        <v/>
      </c>
      <c r="E188" s="24" t="str">
        <f>IF('DDF Original'!B188="","",IF(TRIM('DDF Original'!I188)="",0,'DDF Original'!I188))</f>
        <v/>
      </c>
      <c r="F188" s="20" t="str">
        <f t="shared" si="14"/>
        <v/>
      </c>
      <c r="G188" s="37" t="str">
        <f>IF('DDF Original'!B188="","",IF(TRIM('DDF Original'!P188)="",0,'DDF Original'!P188))</f>
        <v/>
      </c>
      <c r="H188" s="20" t="str">
        <f t="shared" si="15"/>
        <v/>
      </c>
      <c r="I188" s="25" t="str">
        <f t="shared" si="16"/>
        <v/>
      </c>
      <c r="J188" s="20" t="str">
        <f t="shared" si="17"/>
        <v/>
      </c>
      <c r="K188" s="20" t="str">
        <f t="shared" si="18"/>
        <v/>
      </c>
      <c r="L188" s="20" t="str">
        <f>IF(B188="","",70*'DDF Original'!$Q$4)</f>
        <v/>
      </c>
      <c r="M188" s="20" t="str">
        <f t="shared" si="19"/>
        <v/>
      </c>
      <c r="N188" s="20" t="str">
        <f>IF(AND(OR(B188="",J188&gt;G188,M188&gt;G188),'DDF Original'!L188&lt;&gt; "MI"),G188,IF(M188&gt;J188,M188,J188))</f>
        <v/>
      </c>
    </row>
    <row r="189" spans="2:14" x14ac:dyDescent="0.2">
      <c r="B189" s="19" t="str">
        <f>IF('DDF Original'!B189="","",'DDF Original'!B189)</f>
        <v/>
      </c>
      <c r="C189" s="19" t="e">
        <f t="shared" si="20"/>
        <v>#VALUE!</v>
      </c>
      <c r="D189" s="20" t="str">
        <f>IF('DDF Original'!C189="","",'DDF Original'!C189)</f>
        <v/>
      </c>
      <c r="E189" s="24" t="str">
        <f>IF('DDF Original'!B189="","",IF(TRIM('DDF Original'!I189)="",0,'DDF Original'!I189))</f>
        <v/>
      </c>
      <c r="F189" s="20" t="str">
        <f t="shared" si="14"/>
        <v/>
      </c>
      <c r="G189" s="37" t="str">
        <f>IF('DDF Original'!B189="","",IF(TRIM('DDF Original'!P189)="",0,'DDF Original'!P189))</f>
        <v/>
      </c>
      <c r="H189" s="20" t="str">
        <f t="shared" si="15"/>
        <v/>
      </c>
      <c r="I189" s="25" t="str">
        <f t="shared" si="16"/>
        <v/>
      </c>
      <c r="J189" s="20" t="str">
        <f t="shared" si="17"/>
        <v/>
      </c>
      <c r="K189" s="20" t="str">
        <f t="shared" si="18"/>
        <v/>
      </c>
      <c r="L189" s="20" t="str">
        <f>IF(B189="","",70*'DDF Original'!$Q$4)</f>
        <v/>
      </c>
      <c r="M189" s="20" t="str">
        <f t="shared" si="19"/>
        <v/>
      </c>
      <c r="N189" s="20" t="str">
        <f>IF(AND(OR(B189="",J189&gt;G189,M189&gt;G189),'DDF Original'!L189&lt;&gt; "MI"),G189,IF(M189&gt;J189,M189,J189))</f>
        <v/>
      </c>
    </row>
    <row r="190" spans="2:14" x14ac:dyDescent="0.2">
      <c r="B190" s="19" t="str">
        <f>IF('DDF Original'!B190="","",'DDF Original'!B190)</f>
        <v/>
      </c>
      <c r="C190" s="19" t="e">
        <f t="shared" si="20"/>
        <v>#VALUE!</v>
      </c>
      <c r="D190" s="20" t="str">
        <f>IF('DDF Original'!C190="","",'DDF Original'!C190)</f>
        <v/>
      </c>
      <c r="E190" s="24" t="str">
        <f>IF('DDF Original'!B190="","",IF(TRIM('DDF Original'!I190)="",0,'DDF Original'!I190))</f>
        <v/>
      </c>
      <c r="F190" s="20" t="str">
        <f t="shared" si="14"/>
        <v/>
      </c>
      <c r="G190" s="37" t="str">
        <f>IF('DDF Original'!B190="","",IF(TRIM('DDF Original'!P190)="",0,'DDF Original'!P190))</f>
        <v/>
      </c>
      <c r="H190" s="20" t="str">
        <f t="shared" si="15"/>
        <v/>
      </c>
      <c r="I190" s="25" t="str">
        <f t="shared" si="16"/>
        <v/>
      </c>
      <c r="J190" s="20" t="str">
        <f t="shared" si="17"/>
        <v/>
      </c>
      <c r="K190" s="20" t="str">
        <f t="shared" si="18"/>
        <v/>
      </c>
      <c r="L190" s="20" t="str">
        <f>IF(B190="","",70*'DDF Original'!$Q$4)</f>
        <v/>
      </c>
      <c r="M190" s="20" t="str">
        <f t="shared" si="19"/>
        <v/>
      </c>
      <c r="N190" s="20" t="str">
        <f>IF(AND(OR(B190="",J190&gt;G190,M190&gt;G190),'DDF Original'!L190&lt;&gt; "MI"),G190,IF(M190&gt;J190,M190,J190))</f>
        <v/>
      </c>
    </row>
    <row r="191" spans="2:14" x14ac:dyDescent="0.2">
      <c r="B191" s="19" t="str">
        <f>IF('DDF Original'!B191="","",'DDF Original'!B191)</f>
        <v/>
      </c>
      <c r="C191" s="19" t="e">
        <f t="shared" si="20"/>
        <v>#VALUE!</v>
      </c>
      <c r="D191" s="20" t="str">
        <f>IF('DDF Original'!C191="","",'DDF Original'!C191)</f>
        <v/>
      </c>
      <c r="E191" s="24" t="str">
        <f>IF('DDF Original'!B191="","",IF(TRIM('DDF Original'!I191)="",0,'DDF Original'!I191))</f>
        <v/>
      </c>
      <c r="F191" s="20" t="str">
        <f t="shared" si="14"/>
        <v/>
      </c>
      <c r="G191" s="37" t="str">
        <f>IF('DDF Original'!B191="","",IF(TRIM('DDF Original'!P191)="",0,'DDF Original'!P191))</f>
        <v/>
      </c>
      <c r="H191" s="20" t="str">
        <f t="shared" si="15"/>
        <v/>
      </c>
      <c r="I191" s="25" t="str">
        <f t="shared" si="16"/>
        <v/>
      </c>
      <c r="J191" s="20" t="str">
        <f t="shared" si="17"/>
        <v/>
      </c>
      <c r="K191" s="20" t="str">
        <f t="shared" si="18"/>
        <v/>
      </c>
      <c r="L191" s="20" t="str">
        <f>IF(B191="","",70*'DDF Original'!$Q$4)</f>
        <v/>
      </c>
      <c r="M191" s="20" t="str">
        <f t="shared" si="19"/>
        <v/>
      </c>
      <c r="N191" s="20" t="str">
        <f>IF(AND(OR(B191="",J191&gt;G191,M191&gt;G191),'DDF Original'!L191&lt;&gt; "MI"),G191,IF(M191&gt;J191,M191,J191))</f>
        <v/>
      </c>
    </row>
    <row r="192" spans="2:14" x14ac:dyDescent="0.2">
      <c r="B192" s="19" t="str">
        <f>IF('DDF Original'!B192="","",'DDF Original'!B192)</f>
        <v/>
      </c>
      <c r="C192" s="19" t="e">
        <f t="shared" si="20"/>
        <v>#VALUE!</v>
      </c>
      <c r="D192" s="20" t="str">
        <f>IF('DDF Original'!C192="","",'DDF Original'!C192)</f>
        <v/>
      </c>
      <c r="E192" s="24" t="str">
        <f>IF('DDF Original'!B192="","",IF(TRIM('DDF Original'!I192)="",0,'DDF Original'!I192))</f>
        <v/>
      </c>
      <c r="F192" s="20" t="str">
        <f t="shared" si="14"/>
        <v/>
      </c>
      <c r="G192" s="37" t="str">
        <f>IF('DDF Original'!B192="","",IF(TRIM('DDF Original'!P192)="",0,'DDF Original'!P192))</f>
        <v/>
      </c>
      <c r="H192" s="20" t="str">
        <f t="shared" si="15"/>
        <v/>
      </c>
      <c r="I192" s="25" t="str">
        <f t="shared" si="16"/>
        <v/>
      </c>
      <c r="J192" s="20" t="str">
        <f t="shared" si="17"/>
        <v/>
      </c>
      <c r="K192" s="20" t="str">
        <f t="shared" si="18"/>
        <v/>
      </c>
      <c r="L192" s="20" t="str">
        <f>IF(B192="","",70*'DDF Original'!$Q$4)</f>
        <v/>
      </c>
      <c r="M192" s="20" t="str">
        <f t="shared" si="19"/>
        <v/>
      </c>
      <c r="N192" s="20" t="str">
        <f>IF(AND(OR(B192="",J192&gt;G192,M192&gt;G192),'DDF Original'!L192&lt;&gt; "MI"),G192,IF(M192&gt;J192,M192,J192))</f>
        <v/>
      </c>
    </row>
    <row r="193" spans="2:14" x14ac:dyDescent="0.2">
      <c r="B193" s="19" t="str">
        <f>IF('DDF Original'!B193="","",'DDF Original'!B193)</f>
        <v/>
      </c>
      <c r="C193" s="19" t="e">
        <f t="shared" si="20"/>
        <v>#VALUE!</v>
      </c>
      <c r="D193" s="20" t="str">
        <f>IF('DDF Original'!C193="","",'DDF Original'!C193)</f>
        <v/>
      </c>
      <c r="E193" s="24" t="str">
        <f>IF('DDF Original'!B193="","",IF(TRIM('DDF Original'!I193)="",0,'DDF Original'!I193))</f>
        <v/>
      </c>
      <c r="F193" s="20" t="str">
        <f t="shared" si="14"/>
        <v/>
      </c>
      <c r="G193" s="37" t="str">
        <f>IF('DDF Original'!B193="","",IF(TRIM('DDF Original'!P193)="",0,'DDF Original'!P193))</f>
        <v/>
      </c>
      <c r="H193" s="20" t="str">
        <f t="shared" si="15"/>
        <v/>
      </c>
      <c r="I193" s="25" t="str">
        <f t="shared" si="16"/>
        <v/>
      </c>
      <c r="J193" s="20" t="str">
        <f t="shared" si="17"/>
        <v/>
      </c>
      <c r="K193" s="20" t="str">
        <f t="shared" si="18"/>
        <v/>
      </c>
      <c r="L193" s="20" t="str">
        <f>IF(B193="","",70*'DDF Original'!$Q$4)</f>
        <v/>
      </c>
      <c r="M193" s="20" t="str">
        <f t="shared" si="19"/>
        <v/>
      </c>
      <c r="N193" s="20" t="str">
        <f>IF(AND(OR(B193="",J193&gt;G193,M193&gt;G193),'DDF Original'!L193&lt;&gt; "MI"),G193,IF(M193&gt;J193,M193,J193))</f>
        <v/>
      </c>
    </row>
    <row r="194" spans="2:14" x14ac:dyDescent="0.2">
      <c r="B194" s="19" t="str">
        <f>IF('DDF Original'!B194="","",'DDF Original'!B194)</f>
        <v/>
      </c>
      <c r="C194" s="19" t="e">
        <f t="shared" si="20"/>
        <v>#VALUE!</v>
      </c>
      <c r="D194" s="20" t="str">
        <f>IF('DDF Original'!C194="","",'DDF Original'!C194)</f>
        <v/>
      </c>
      <c r="E194" s="24" t="str">
        <f>IF('DDF Original'!B194="","",IF(TRIM('DDF Original'!I194)="",0,'DDF Original'!I194))</f>
        <v/>
      </c>
      <c r="F194" s="20" t="str">
        <f t="shared" si="14"/>
        <v/>
      </c>
      <c r="G194" s="37" t="str">
        <f>IF('DDF Original'!B194="","",IF(TRIM('DDF Original'!P194)="",0,'DDF Original'!P194))</f>
        <v/>
      </c>
      <c r="H194" s="20" t="str">
        <f t="shared" si="15"/>
        <v/>
      </c>
      <c r="I194" s="25" t="str">
        <f t="shared" si="16"/>
        <v/>
      </c>
      <c r="J194" s="20" t="str">
        <f t="shared" si="17"/>
        <v/>
      </c>
      <c r="K194" s="20" t="str">
        <f t="shared" si="18"/>
        <v/>
      </c>
      <c r="L194" s="20" t="str">
        <f>IF(B194="","",70*'DDF Original'!$Q$4)</f>
        <v/>
      </c>
      <c r="M194" s="20" t="str">
        <f t="shared" si="19"/>
        <v/>
      </c>
      <c r="N194" s="20" t="str">
        <f>IF(AND(OR(B194="",J194&gt;G194,M194&gt;G194),'DDF Original'!L194&lt;&gt; "MI"),G194,IF(M194&gt;J194,M194,J194))</f>
        <v/>
      </c>
    </row>
    <row r="195" spans="2:14" x14ac:dyDescent="0.2">
      <c r="B195" s="19" t="str">
        <f>IF('DDF Original'!B195="","",'DDF Original'!B195)</f>
        <v/>
      </c>
      <c r="C195" s="19" t="e">
        <f t="shared" si="20"/>
        <v>#VALUE!</v>
      </c>
      <c r="D195" s="20" t="str">
        <f>IF('DDF Original'!C195="","",'DDF Original'!C195)</f>
        <v/>
      </c>
      <c r="E195" s="24" t="str">
        <f>IF('DDF Original'!B195="","",IF(TRIM('DDF Original'!I195)="",0,'DDF Original'!I195))</f>
        <v/>
      </c>
      <c r="F195" s="20" t="str">
        <f t="shared" si="14"/>
        <v/>
      </c>
      <c r="G195" s="37" t="str">
        <f>IF('DDF Original'!B195="","",IF(TRIM('DDF Original'!P195)="",0,'DDF Original'!P195))</f>
        <v/>
      </c>
      <c r="H195" s="20" t="str">
        <f t="shared" si="15"/>
        <v/>
      </c>
      <c r="I195" s="25" t="str">
        <f t="shared" si="16"/>
        <v/>
      </c>
      <c r="J195" s="20" t="str">
        <f t="shared" si="17"/>
        <v/>
      </c>
      <c r="K195" s="20" t="str">
        <f t="shared" si="18"/>
        <v/>
      </c>
      <c r="L195" s="20" t="str">
        <f>IF(B195="","",70*'DDF Original'!$Q$4)</f>
        <v/>
      </c>
      <c r="M195" s="20" t="str">
        <f t="shared" si="19"/>
        <v/>
      </c>
      <c r="N195" s="20" t="str">
        <f>IF(AND(OR(B195="",J195&gt;G195,M195&gt;G195),'DDF Original'!L195&lt;&gt; "MI"),G195,IF(M195&gt;J195,M195,J195))</f>
        <v/>
      </c>
    </row>
    <row r="196" spans="2:14" x14ac:dyDescent="0.2">
      <c r="B196" s="19" t="str">
        <f>IF('DDF Original'!B196="","",'DDF Original'!B196)</f>
        <v/>
      </c>
      <c r="C196" s="19" t="e">
        <f t="shared" si="20"/>
        <v>#VALUE!</v>
      </c>
      <c r="D196" s="20" t="str">
        <f>IF('DDF Original'!C196="","",'DDF Original'!C196)</f>
        <v/>
      </c>
      <c r="E196" s="24" t="str">
        <f>IF('DDF Original'!B196="","",IF(TRIM('DDF Original'!I196)="",0,'DDF Original'!I196))</f>
        <v/>
      </c>
      <c r="F196" s="20" t="str">
        <f t="shared" si="14"/>
        <v/>
      </c>
      <c r="G196" s="37" t="str">
        <f>IF('DDF Original'!B196="","",IF(TRIM('DDF Original'!P196)="",0,'DDF Original'!P196))</f>
        <v/>
      </c>
      <c r="H196" s="20" t="str">
        <f t="shared" si="15"/>
        <v/>
      </c>
      <c r="I196" s="25" t="str">
        <f t="shared" si="16"/>
        <v/>
      </c>
      <c r="J196" s="20" t="str">
        <f t="shared" si="17"/>
        <v/>
      </c>
      <c r="K196" s="20" t="str">
        <f t="shared" si="18"/>
        <v/>
      </c>
      <c r="L196" s="20" t="str">
        <f>IF(B196="","",70*'DDF Original'!$Q$4)</f>
        <v/>
      </c>
      <c r="M196" s="20" t="str">
        <f t="shared" si="19"/>
        <v/>
      </c>
      <c r="N196" s="20" t="str">
        <f>IF(AND(OR(B196="",J196&gt;G196,M196&gt;G196),'DDF Original'!L196&lt;&gt; "MI"),G196,IF(M196&gt;J196,M196,J196))</f>
        <v/>
      </c>
    </row>
    <row r="197" spans="2:14" x14ac:dyDescent="0.2">
      <c r="B197" s="19" t="str">
        <f>IF('DDF Original'!B197="","",'DDF Original'!B197)</f>
        <v/>
      </c>
      <c r="C197" s="19" t="e">
        <f t="shared" si="20"/>
        <v>#VALUE!</v>
      </c>
      <c r="D197" s="20" t="str">
        <f>IF('DDF Original'!C197="","",'DDF Original'!C197)</f>
        <v/>
      </c>
      <c r="E197" s="24" t="str">
        <f>IF('DDF Original'!B197="","",IF(TRIM('DDF Original'!I197)="",0,'DDF Original'!I197))</f>
        <v/>
      </c>
      <c r="F197" s="20" t="str">
        <f t="shared" si="14"/>
        <v/>
      </c>
      <c r="G197" s="37" t="str">
        <f>IF('DDF Original'!B197="","",IF(TRIM('DDF Original'!P197)="",0,'DDF Original'!P197))</f>
        <v/>
      </c>
      <c r="H197" s="20" t="str">
        <f t="shared" si="15"/>
        <v/>
      </c>
      <c r="I197" s="25" t="str">
        <f t="shared" si="16"/>
        <v/>
      </c>
      <c r="J197" s="20" t="str">
        <f t="shared" si="17"/>
        <v/>
      </c>
      <c r="K197" s="20" t="str">
        <f t="shared" si="18"/>
        <v/>
      </c>
      <c r="L197" s="20" t="str">
        <f>IF(B197="","",70*'DDF Original'!$Q$4)</f>
        <v/>
      </c>
      <c r="M197" s="20" t="str">
        <f t="shared" si="19"/>
        <v/>
      </c>
      <c r="N197" s="20" t="str">
        <f>IF(AND(OR(B197="",J197&gt;G197,M197&gt;G197),'DDF Original'!L197&lt;&gt; "MI"),G197,IF(M197&gt;J197,M197,J197))</f>
        <v/>
      </c>
    </row>
    <row r="198" spans="2:14" x14ac:dyDescent="0.2">
      <c r="B198" s="19" t="str">
        <f>IF('DDF Original'!B198="","",'DDF Original'!B198)</f>
        <v/>
      </c>
      <c r="C198" s="19" t="e">
        <f t="shared" si="20"/>
        <v>#VALUE!</v>
      </c>
      <c r="D198" s="20" t="str">
        <f>IF('DDF Original'!C198="","",'DDF Original'!C198)</f>
        <v/>
      </c>
      <c r="E198" s="24" t="str">
        <f>IF('DDF Original'!B198="","",IF(TRIM('DDF Original'!I198)="",0,'DDF Original'!I198))</f>
        <v/>
      </c>
      <c r="F198" s="20" t="str">
        <f t="shared" si="14"/>
        <v/>
      </c>
      <c r="G198" s="37" t="str">
        <f>IF('DDF Original'!B198="","",IF(TRIM('DDF Original'!P198)="",0,'DDF Original'!P198))</f>
        <v/>
      </c>
      <c r="H198" s="20" t="str">
        <f t="shared" si="15"/>
        <v/>
      </c>
      <c r="I198" s="25" t="str">
        <f t="shared" si="16"/>
        <v/>
      </c>
      <c r="J198" s="20" t="str">
        <f t="shared" si="17"/>
        <v/>
      </c>
      <c r="K198" s="20" t="str">
        <f t="shared" si="18"/>
        <v/>
      </c>
      <c r="L198" s="20" t="str">
        <f>IF(B198="","",70*'DDF Original'!$Q$4)</f>
        <v/>
      </c>
      <c r="M198" s="20" t="str">
        <f t="shared" si="19"/>
        <v/>
      </c>
      <c r="N198" s="20" t="str">
        <f>IF(AND(OR(B198="",J198&gt;G198,M198&gt;G198),'DDF Original'!L198&lt;&gt; "MI"),G198,IF(M198&gt;J198,M198,J198))</f>
        <v/>
      </c>
    </row>
    <row r="199" spans="2:14" x14ac:dyDescent="0.2">
      <c r="B199" s="19" t="str">
        <f>IF('DDF Original'!B199="","",'DDF Original'!B199)</f>
        <v/>
      </c>
      <c r="C199" s="19" t="e">
        <f t="shared" si="20"/>
        <v>#VALUE!</v>
      </c>
      <c r="D199" s="20" t="str">
        <f>IF('DDF Original'!C199="","",'DDF Original'!C199)</f>
        <v/>
      </c>
      <c r="E199" s="24" t="str">
        <f>IF('DDF Original'!B199="","",IF(TRIM('DDF Original'!I199)="",0,'DDF Original'!I199))</f>
        <v/>
      </c>
      <c r="F199" s="20" t="str">
        <f t="shared" si="14"/>
        <v/>
      </c>
      <c r="G199" s="37" t="str">
        <f>IF('DDF Original'!B199="","",IF(TRIM('DDF Original'!P199)="",0,'DDF Original'!P199))</f>
        <v/>
      </c>
      <c r="H199" s="20" t="str">
        <f t="shared" si="15"/>
        <v/>
      </c>
      <c r="I199" s="25" t="str">
        <f t="shared" si="16"/>
        <v/>
      </c>
      <c r="J199" s="20" t="str">
        <f t="shared" si="17"/>
        <v/>
      </c>
      <c r="K199" s="20" t="str">
        <f t="shared" si="18"/>
        <v/>
      </c>
      <c r="L199" s="20" t="str">
        <f>IF(B199="","",70*'DDF Original'!$Q$4)</f>
        <v/>
      </c>
      <c r="M199" s="20" t="str">
        <f t="shared" si="19"/>
        <v/>
      </c>
      <c r="N199" s="20" t="str">
        <f>IF(AND(OR(B199="",J199&gt;G199,M199&gt;G199),'DDF Original'!L199&lt;&gt; "MI"),G199,IF(M199&gt;J199,M199,J199))</f>
        <v/>
      </c>
    </row>
    <row r="200" spans="2:14" x14ac:dyDescent="0.2">
      <c r="B200" s="19" t="str">
        <f>IF('DDF Original'!B200="","",'DDF Original'!B200)</f>
        <v/>
      </c>
      <c r="C200" s="19" t="e">
        <f t="shared" si="20"/>
        <v>#VALUE!</v>
      </c>
      <c r="D200" s="20" t="str">
        <f>IF('DDF Original'!C200="","",'DDF Original'!C200)</f>
        <v/>
      </c>
      <c r="E200" s="24" t="str">
        <f>IF('DDF Original'!B200="","",IF(TRIM('DDF Original'!I200)="",0,'DDF Original'!I200))</f>
        <v/>
      </c>
      <c r="F200" s="20" t="str">
        <f t="shared" si="14"/>
        <v/>
      </c>
      <c r="G200" s="37" t="str">
        <f>IF('DDF Original'!B200="","",IF(TRIM('DDF Original'!P200)="",0,'DDF Original'!P200))</f>
        <v/>
      </c>
      <c r="H200" s="20" t="str">
        <f t="shared" si="15"/>
        <v/>
      </c>
      <c r="I200" s="25" t="str">
        <f t="shared" si="16"/>
        <v/>
      </c>
      <c r="J200" s="20" t="str">
        <f t="shared" si="17"/>
        <v/>
      </c>
      <c r="K200" s="20" t="str">
        <f t="shared" si="18"/>
        <v/>
      </c>
      <c r="L200" s="20" t="str">
        <f>IF(B200="","",70*'DDF Original'!$Q$4)</f>
        <v/>
      </c>
      <c r="M200" s="20" t="str">
        <f t="shared" si="19"/>
        <v/>
      </c>
      <c r="N200" s="20" t="str">
        <f>IF(AND(OR(B200="",J200&gt;G200,M200&gt;G200),'DDF Original'!L200&lt;&gt; "MI"),G200,IF(M200&gt;J200,M200,J200))</f>
        <v/>
      </c>
    </row>
    <row r="201" spans="2:14" x14ac:dyDescent="0.2">
      <c r="B201" s="19" t="str">
        <f>IF('DDF Original'!B201="","",'DDF Original'!B201)</f>
        <v/>
      </c>
      <c r="C201" s="19" t="e">
        <f t="shared" si="20"/>
        <v>#VALUE!</v>
      </c>
      <c r="D201" s="20" t="str">
        <f>IF('DDF Original'!C201="","",'DDF Original'!C201)</f>
        <v/>
      </c>
      <c r="E201" s="24" t="str">
        <f>IF('DDF Original'!B201="","",IF(TRIM('DDF Original'!I201)="",0,'DDF Original'!I201))</f>
        <v/>
      </c>
      <c r="F201" s="20" t="str">
        <f t="shared" ref="F201:F264" si="21">IF(D201="",D201,ROUND(D201*(1+E201/100),2))</f>
        <v/>
      </c>
      <c r="G201" s="37" t="str">
        <f>IF('DDF Original'!B201="","",IF(TRIM('DDF Original'!P201)="",0,'DDF Original'!P201))</f>
        <v/>
      </c>
      <c r="H201" s="20" t="str">
        <f t="shared" ref="H201:H264" si="22">IF(OR(D201=0,D201=""),G201,F201)</f>
        <v/>
      </c>
      <c r="I201" s="25" t="str">
        <f t="shared" ref="I201:I264" si="23">IF(B201="","",IF(OR(D201=0,D201=""),50,35))</f>
        <v/>
      </c>
      <c r="J201" s="20" t="str">
        <f t="shared" ref="J201:J264" si="24">IF(B201="","",ROUND(H201*I201/100,2))</f>
        <v/>
      </c>
      <c r="K201" s="20" t="str">
        <f t="shared" ref="K201:K264" si="25">IF(B201="","",SUMIFS($J$9:$J$508,$C$9:$C$508,"="&amp;C201))</f>
        <v/>
      </c>
      <c r="L201" s="20" t="str">
        <f>IF(B201="","",70*'DDF Original'!$Q$4)</f>
        <v/>
      </c>
      <c r="M201" s="20" t="str">
        <f t="shared" ref="M201:M264" si="26">IF(B201="","",ROUND(J201/K201*L201,2))</f>
        <v/>
      </c>
      <c r="N201" s="20" t="str">
        <f>IF(AND(OR(B201="",J201&gt;G201,M201&gt;G201),'DDF Original'!L201&lt;&gt; "MI"),G201,IF(M201&gt;J201,M201,J201))</f>
        <v/>
      </c>
    </row>
    <row r="202" spans="2:14" x14ac:dyDescent="0.2">
      <c r="B202" s="19" t="str">
        <f>IF('DDF Original'!B202="","",'DDF Original'!B202)</f>
        <v/>
      </c>
      <c r="C202" s="19" t="e">
        <f t="shared" ref="C202:C265" si="27">LEFT(B202,FIND(".",B202)-1)</f>
        <v>#VALUE!</v>
      </c>
      <c r="D202" s="20" t="str">
        <f>IF('DDF Original'!C202="","",'DDF Original'!C202)</f>
        <v/>
      </c>
      <c r="E202" s="24" t="str">
        <f>IF('DDF Original'!B202="","",IF(TRIM('DDF Original'!I202)="",0,'DDF Original'!I202))</f>
        <v/>
      </c>
      <c r="F202" s="20" t="str">
        <f t="shared" si="21"/>
        <v/>
      </c>
      <c r="G202" s="37" t="str">
        <f>IF('DDF Original'!B202="","",IF(TRIM('DDF Original'!P202)="",0,'DDF Original'!P202))</f>
        <v/>
      </c>
      <c r="H202" s="20" t="str">
        <f t="shared" si="22"/>
        <v/>
      </c>
      <c r="I202" s="25" t="str">
        <f t="shared" si="23"/>
        <v/>
      </c>
      <c r="J202" s="20" t="str">
        <f t="shared" si="24"/>
        <v/>
      </c>
      <c r="K202" s="20" t="str">
        <f t="shared" si="25"/>
        <v/>
      </c>
      <c r="L202" s="20" t="str">
        <f>IF(B202="","",70*'DDF Original'!$Q$4)</f>
        <v/>
      </c>
      <c r="M202" s="20" t="str">
        <f t="shared" si="26"/>
        <v/>
      </c>
      <c r="N202" s="20" t="str">
        <f>IF(AND(OR(B202="",J202&gt;G202,M202&gt;G202),'DDF Original'!L202&lt;&gt; "MI"),G202,IF(M202&gt;J202,M202,J202))</f>
        <v/>
      </c>
    </row>
    <row r="203" spans="2:14" x14ac:dyDescent="0.2">
      <c r="B203" s="19" t="str">
        <f>IF('DDF Original'!B203="","",'DDF Original'!B203)</f>
        <v/>
      </c>
      <c r="C203" s="19" t="e">
        <f t="shared" si="27"/>
        <v>#VALUE!</v>
      </c>
      <c r="D203" s="20" t="str">
        <f>IF('DDF Original'!C203="","",'DDF Original'!C203)</f>
        <v/>
      </c>
      <c r="E203" s="24" t="str">
        <f>IF('DDF Original'!B203="","",IF(TRIM('DDF Original'!I203)="",0,'DDF Original'!I203))</f>
        <v/>
      </c>
      <c r="F203" s="20" t="str">
        <f t="shared" si="21"/>
        <v/>
      </c>
      <c r="G203" s="37" t="str">
        <f>IF('DDF Original'!B203="","",IF(TRIM('DDF Original'!P203)="",0,'DDF Original'!P203))</f>
        <v/>
      </c>
      <c r="H203" s="20" t="str">
        <f t="shared" si="22"/>
        <v/>
      </c>
      <c r="I203" s="25" t="str">
        <f t="shared" si="23"/>
        <v/>
      </c>
      <c r="J203" s="20" t="str">
        <f t="shared" si="24"/>
        <v/>
      </c>
      <c r="K203" s="20" t="str">
        <f t="shared" si="25"/>
        <v/>
      </c>
      <c r="L203" s="20" t="str">
        <f>IF(B203="","",70*'DDF Original'!$Q$4)</f>
        <v/>
      </c>
      <c r="M203" s="20" t="str">
        <f t="shared" si="26"/>
        <v/>
      </c>
      <c r="N203" s="20" t="str">
        <f>IF(AND(OR(B203="",J203&gt;G203,M203&gt;G203),'DDF Original'!L203&lt;&gt; "MI"),G203,IF(M203&gt;J203,M203,J203))</f>
        <v/>
      </c>
    </row>
    <row r="204" spans="2:14" x14ac:dyDescent="0.2">
      <c r="B204" s="19" t="str">
        <f>IF('DDF Original'!B204="","",'DDF Original'!B204)</f>
        <v/>
      </c>
      <c r="C204" s="19" t="e">
        <f t="shared" si="27"/>
        <v>#VALUE!</v>
      </c>
      <c r="D204" s="20" t="str">
        <f>IF('DDF Original'!C204="","",'DDF Original'!C204)</f>
        <v/>
      </c>
      <c r="E204" s="24" t="str">
        <f>IF('DDF Original'!B204="","",IF(TRIM('DDF Original'!I204)="",0,'DDF Original'!I204))</f>
        <v/>
      </c>
      <c r="F204" s="20" t="str">
        <f t="shared" si="21"/>
        <v/>
      </c>
      <c r="G204" s="37" t="str">
        <f>IF('DDF Original'!B204="","",IF(TRIM('DDF Original'!P204)="",0,'DDF Original'!P204))</f>
        <v/>
      </c>
      <c r="H204" s="20" t="str">
        <f t="shared" si="22"/>
        <v/>
      </c>
      <c r="I204" s="25" t="str">
        <f t="shared" si="23"/>
        <v/>
      </c>
      <c r="J204" s="20" t="str">
        <f t="shared" si="24"/>
        <v/>
      </c>
      <c r="K204" s="20" t="str">
        <f t="shared" si="25"/>
        <v/>
      </c>
      <c r="L204" s="20" t="str">
        <f>IF(B204="","",70*'DDF Original'!$Q$4)</f>
        <v/>
      </c>
      <c r="M204" s="20" t="str">
        <f t="shared" si="26"/>
        <v/>
      </c>
      <c r="N204" s="20" t="str">
        <f>IF(AND(OR(B204="",J204&gt;G204,M204&gt;G204),'DDF Original'!L204&lt;&gt; "MI"),G204,IF(M204&gt;J204,M204,J204))</f>
        <v/>
      </c>
    </row>
    <row r="205" spans="2:14" x14ac:dyDescent="0.2">
      <c r="B205" s="19" t="str">
        <f>IF('DDF Original'!B205="","",'DDF Original'!B205)</f>
        <v/>
      </c>
      <c r="C205" s="19" t="e">
        <f t="shared" si="27"/>
        <v>#VALUE!</v>
      </c>
      <c r="D205" s="20" t="str">
        <f>IF('DDF Original'!C205="","",'DDF Original'!C205)</f>
        <v/>
      </c>
      <c r="E205" s="24" t="str">
        <f>IF('DDF Original'!B205="","",IF(TRIM('DDF Original'!I205)="",0,'DDF Original'!I205))</f>
        <v/>
      </c>
      <c r="F205" s="20" t="str">
        <f t="shared" si="21"/>
        <v/>
      </c>
      <c r="G205" s="37" t="str">
        <f>IF('DDF Original'!B205="","",IF(TRIM('DDF Original'!P205)="",0,'DDF Original'!P205))</f>
        <v/>
      </c>
      <c r="H205" s="20" t="str">
        <f t="shared" si="22"/>
        <v/>
      </c>
      <c r="I205" s="25" t="str">
        <f t="shared" si="23"/>
        <v/>
      </c>
      <c r="J205" s="20" t="str">
        <f t="shared" si="24"/>
        <v/>
      </c>
      <c r="K205" s="20" t="str">
        <f t="shared" si="25"/>
        <v/>
      </c>
      <c r="L205" s="20" t="str">
        <f>IF(B205="","",70*'DDF Original'!$Q$4)</f>
        <v/>
      </c>
      <c r="M205" s="20" t="str">
        <f t="shared" si="26"/>
        <v/>
      </c>
      <c r="N205" s="20" t="str">
        <f>IF(AND(OR(B205="",J205&gt;G205,M205&gt;G205),'DDF Original'!L205&lt;&gt; "MI"),G205,IF(M205&gt;J205,M205,J205))</f>
        <v/>
      </c>
    </row>
    <row r="206" spans="2:14" x14ac:dyDescent="0.2">
      <c r="B206" s="19" t="str">
        <f>IF('DDF Original'!B206="","",'DDF Original'!B206)</f>
        <v/>
      </c>
      <c r="C206" s="19" t="e">
        <f t="shared" si="27"/>
        <v>#VALUE!</v>
      </c>
      <c r="D206" s="20" t="str">
        <f>IF('DDF Original'!C206="","",'DDF Original'!C206)</f>
        <v/>
      </c>
      <c r="E206" s="24" t="str">
        <f>IF('DDF Original'!B206="","",IF(TRIM('DDF Original'!I206)="",0,'DDF Original'!I206))</f>
        <v/>
      </c>
      <c r="F206" s="20" t="str">
        <f t="shared" si="21"/>
        <v/>
      </c>
      <c r="G206" s="37" t="str">
        <f>IF('DDF Original'!B206="","",IF(TRIM('DDF Original'!P206)="",0,'DDF Original'!P206))</f>
        <v/>
      </c>
      <c r="H206" s="20" t="str">
        <f t="shared" si="22"/>
        <v/>
      </c>
      <c r="I206" s="25" t="str">
        <f t="shared" si="23"/>
        <v/>
      </c>
      <c r="J206" s="20" t="str">
        <f t="shared" si="24"/>
        <v/>
      </c>
      <c r="K206" s="20" t="str">
        <f t="shared" si="25"/>
        <v/>
      </c>
      <c r="L206" s="20" t="str">
        <f>IF(B206="","",70*'DDF Original'!$Q$4)</f>
        <v/>
      </c>
      <c r="M206" s="20" t="str">
        <f t="shared" si="26"/>
        <v/>
      </c>
      <c r="N206" s="20" t="str">
        <f>IF(AND(OR(B206="",J206&gt;G206,M206&gt;G206),'DDF Original'!L206&lt;&gt; "MI"),G206,IF(M206&gt;J206,M206,J206))</f>
        <v/>
      </c>
    </row>
    <row r="207" spans="2:14" x14ac:dyDescent="0.2">
      <c r="B207" s="19" t="str">
        <f>IF('DDF Original'!B207="","",'DDF Original'!B207)</f>
        <v/>
      </c>
      <c r="C207" s="19" t="e">
        <f t="shared" si="27"/>
        <v>#VALUE!</v>
      </c>
      <c r="D207" s="20" t="str">
        <f>IF('DDF Original'!C207="","",'DDF Original'!C207)</f>
        <v/>
      </c>
      <c r="E207" s="24" t="str">
        <f>IF('DDF Original'!B207="","",IF(TRIM('DDF Original'!I207)="",0,'DDF Original'!I207))</f>
        <v/>
      </c>
      <c r="F207" s="20" t="str">
        <f t="shared" si="21"/>
        <v/>
      </c>
      <c r="G207" s="37" t="str">
        <f>IF('DDF Original'!B207="","",IF(TRIM('DDF Original'!P207)="",0,'DDF Original'!P207))</f>
        <v/>
      </c>
      <c r="H207" s="20" t="str">
        <f t="shared" si="22"/>
        <v/>
      </c>
      <c r="I207" s="25" t="str">
        <f t="shared" si="23"/>
        <v/>
      </c>
      <c r="J207" s="20" t="str">
        <f t="shared" si="24"/>
        <v/>
      </c>
      <c r="K207" s="20" t="str">
        <f t="shared" si="25"/>
        <v/>
      </c>
      <c r="L207" s="20" t="str">
        <f>IF(B207="","",70*'DDF Original'!$Q$4)</f>
        <v/>
      </c>
      <c r="M207" s="20" t="str">
        <f t="shared" si="26"/>
        <v/>
      </c>
      <c r="N207" s="20" t="str">
        <f>IF(AND(OR(B207="",J207&gt;G207,M207&gt;G207),'DDF Original'!L207&lt;&gt; "MI"),G207,IF(M207&gt;J207,M207,J207))</f>
        <v/>
      </c>
    </row>
    <row r="208" spans="2:14" x14ac:dyDescent="0.2">
      <c r="B208" s="19" t="str">
        <f>IF('DDF Original'!B208="","",'DDF Original'!B208)</f>
        <v/>
      </c>
      <c r="C208" s="19" t="e">
        <f t="shared" si="27"/>
        <v>#VALUE!</v>
      </c>
      <c r="D208" s="20" t="str">
        <f>IF('DDF Original'!C208="","",'DDF Original'!C208)</f>
        <v/>
      </c>
      <c r="E208" s="24" t="str">
        <f>IF('DDF Original'!B208="","",IF(TRIM('DDF Original'!I208)="",0,'DDF Original'!I208))</f>
        <v/>
      </c>
      <c r="F208" s="20" t="str">
        <f t="shared" si="21"/>
        <v/>
      </c>
      <c r="G208" s="37" t="str">
        <f>IF('DDF Original'!B208="","",IF(TRIM('DDF Original'!P208)="",0,'DDF Original'!P208))</f>
        <v/>
      </c>
      <c r="H208" s="20" t="str">
        <f t="shared" si="22"/>
        <v/>
      </c>
      <c r="I208" s="25" t="str">
        <f t="shared" si="23"/>
        <v/>
      </c>
      <c r="J208" s="20" t="str">
        <f t="shared" si="24"/>
        <v/>
      </c>
      <c r="K208" s="20" t="str">
        <f t="shared" si="25"/>
        <v/>
      </c>
      <c r="L208" s="20" t="str">
        <f>IF(B208="","",70*'DDF Original'!$Q$4)</f>
        <v/>
      </c>
      <c r="M208" s="20" t="str">
        <f t="shared" si="26"/>
        <v/>
      </c>
      <c r="N208" s="20" t="str">
        <f>IF(AND(OR(B208="",J208&gt;G208,M208&gt;G208),'DDF Original'!L208&lt;&gt; "MI"),G208,IF(M208&gt;J208,M208,J208))</f>
        <v/>
      </c>
    </row>
    <row r="209" spans="2:14" x14ac:dyDescent="0.2">
      <c r="B209" s="19" t="str">
        <f>IF('DDF Original'!B209="","",'DDF Original'!B209)</f>
        <v/>
      </c>
      <c r="C209" s="19" t="e">
        <f t="shared" si="27"/>
        <v>#VALUE!</v>
      </c>
      <c r="D209" s="20" t="str">
        <f>IF('DDF Original'!C209="","",'DDF Original'!C209)</f>
        <v/>
      </c>
      <c r="E209" s="24" t="str">
        <f>IF('DDF Original'!B209="","",IF(TRIM('DDF Original'!I209)="",0,'DDF Original'!I209))</f>
        <v/>
      </c>
      <c r="F209" s="20" t="str">
        <f t="shared" si="21"/>
        <v/>
      </c>
      <c r="G209" s="37" t="str">
        <f>IF('DDF Original'!B209="","",IF(TRIM('DDF Original'!P209)="",0,'DDF Original'!P209))</f>
        <v/>
      </c>
      <c r="H209" s="20" t="str">
        <f t="shared" si="22"/>
        <v/>
      </c>
      <c r="I209" s="25" t="str">
        <f t="shared" si="23"/>
        <v/>
      </c>
      <c r="J209" s="20" t="str">
        <f t="shared" si="24"/>
        <v/>
      </c>
      <c r="K209" s="20" t="str">
        <f t="shared" si="25"/>
        <v/>
      </c>
      <c r="L209" s="20" t="str">
        <f>IF(B209="","",70*'DDF Original'!$Q$4)</f>
        <v/>
      </c>
      <c r="M209" s="20" t="str">
        <f t="shared" si="26"/>
        <v/>
      </c>
      <c r="N209" s="20" t="str">
        <f>IF(AND(OR(B209="",J209&gt;G209,M209&gt;G209),'DDF Original'!L209&lt;&gt; "MI"),G209,IF(M209&gt;J209,M209,J209))</f>
        <v/>
      </c>
    </row>
    <row r="210" spans="2:14" x14ac:dyDescent="0.2">
      <c r="B210" s="19" t="str">
        <f>IF('DDF Original'!B210="","",'DDF Original'!B210)</f>
        <v/>
      </c>
      <c r="C210" s="19" t="e">
        <f t="shared" si="27"/>
        <v>#VALUE!</v>
      </c>
      <c r="D210" s="20" t="str">
        <f>IF('DDF Original'!C210="","",'DDF Original'!C210)</f>
        <v/>
      </c>
      <c r="E210" s="24" t="str">
        <f>IF('DDF Original'!B210="","",IF(TRIM('DDF Original'!I210)="",0,'DDF Original'!I210))</f>
        <v/>
      </c>
      <c r="F210" s="20" t="str">
        <f t="shared" si="21"/>
        <v/>
      </c>
      <c r="G210" s="37" t="str">
        <f>IF('DDF Original'!B210="","",IF(TRIM('DDF Original'!P210)="",0,'DDF Original'!P210))</f>
        <v/>
      </c>
      <c r="H210" s="20" t="str">
        <f t="shared" si="22"/>
        <v/>
      </c>
      <c r="I210" s="25" t="str">
        <f t="shared" si="23"/>
        <v/>
      </c>
      <c r="J210" s="20" t="str">
        <f t="shared" si="24"/>
        <v/>
      </c>
      <c r="K210" s="20" t="str">
        <f t="shared" si="25"/>
        <v/>
      </c>
      <c r="L210" s="20" t="str">
        <f>IF(B210="","",70*'DDF Original'!$Q$4)</f>
        <v/>
      </c>
      <c r="M210" s="20" t="str">
        <f t="shared" si="26"/>
        <v/>
      </c>
      <c r="N210" s="20" t="str">
        <f>IF(AND(OR(B210="",J210&gt;G210,M210&gt;G210),'DDF Original'!L210&lt;&gt; "MI"),G210,IF(M210&gt;J210,M210,J210))</f>
        <v/>
      </c>
    </row>
    <row r="211" spans="2:14" x14ac:dyDescent="0.2">
      <c r="B211" s="19" t="str">
        <f>IF('DDF Original'!B211="","",'DDF Original'!B211)</f>
        <v/>
      </c>
      <c r="C211" s="19" t="e">
        <f t="shared" si="27"/>
        <v>#VALUE!</v>
      </c>
      <c r="D211" s="20" t="str">
        <f>IF('DDF Original'!C211="","",'DDF Original'!C211)</f>
        <v/>
      </c>
      <c r="E211" s="24" t="str">
        <f>IF('DDF Original'!B211="","",IF(TRIM('DDF Original'!I211)="",0,'DDF Original'!I211))</f>
        <v/>
      </c>
      <c r="F211" s="20" t="str">
        <f t="shared" si="21"/>
        <v/>
      </c>
      <c r="G211" s="37" t="str">
        <f>IF('DDF Original'!B211="","",IF(TRIM('DDF Original'!P211)="",0,'DDF Original'!P211))</f>
        <v/>
      </c>
      <c r="H211" s="20" t="str">
        <f t="shared" si="22"/>
        <v/>
      </c>
      <c r="I211" s="25" t="str">
        <f t="shared" si="23"/>
        <v/>
      </c>
      <c r="J211" s="20" t="str">
        <f t="shared" si="24"/>
        <v/>
      </c>
      <c r="K211" s="20" t="str">
        <f t="shared" si="25"/>
        <v/>
      </c>
      <c r="L211" s="20" t="str">
        <f>IF(B211="","",70*'DDF Original'!$Q$4)</f>
        <v/>
      </c>
      <c r="M211" s="20" t="str">
        <f t="shared" si="26"/>
        <v/>
      </c>
      <c r="N211" s="20" t="str">
        <f>IF(AND(OR(B211="",J211&gt;G211,M211&gt;G211),'DDF Original'!L211&lt;&gt; "MI"),G211,IF(M211&gt;J211,M211,J211))</f>
        <v/>
      </c>
    </row>
    <row r="212" spans="2:14" x14ac:dyDescent="0.2">
      <c r="B212" s="19" t="str">
        <f>IF('DDF Original'!B212="","",'DDF Original'!B212)</f>
        <v/>
      </c>
      <c r="C212" s="19" t="e">
        <f t="shared" si="27"/>
        <v>#VALUE!</v>
      </c>
      <c r="D212" s="20" t="str">
        <f>IF('DDF Original'!C212="","",'DDF Original'!C212)</f>
        <v/>
      </c>
      <c r="E212" s="24" t="str">
        <f>IF('DDF Original'!B212="","",IF(TRIM('DDF Original'!I212)="",0,'DDF Original'!I212))</f>
        <v/>
      </c>
      <c r="F212" s="20" t="str">
        <f t="shared" si="21"/>
        <v/>
      </c>
      <c r="G212" s="37" t="str">
        <f>IF('DDF Original'!B212="","",IF(TRIM('DDF Original'!P212)="",0,'DDF Original'!P212))</f>
        <v/>
      </c>
      <c r="H212" s="20" t="str">
        <f t="shared" si="22"/>
        <v/>
      </c>
      <c r="I212" s="25" t="str">
        <f t="shared" si="23"/>
        <v/>
      </c>
      <c r="J212" s="20" t="str">
        <f t="shared" si="24"/>
        <v/>
      </c>
      <c r="K212" s="20" t="str">
        <f t="shared" si="25"/>
        <v/>
      </c>
      <c r="L212" s="20" t="str">
        <f>IF(B212="","",70*'DDF Original'!$Q$4)</f>
        <v/>
      </c>
      <c r="M212" s="20" t="str">
        <f t="shared" si="26"/>
        <v/>
      </c>
      <c r="N212" s="20" t="str">
        <f>IF(AND(OR(B212="",J212&gt;G212,M212&gt;G212),'DDF Original'!L212&lt;&gt; "MI"),G212,IF(M212&gt;J212,M212,J212))</f>
        <v/>
      </c>
    </row>
    <row r="213" spans="2:14" x14ac:dyDescent="0.2">
      <c r="B213" s="19" t="str">
        <f>IF('DDF Original'!B213="","",'DDF Original'!B213)</f>
        <v/>
      </c>
      <c r="C213" s="19" t="e">
        <f t="shared" si="27"/>
        <v>#VALUE!</v>
      </c>
      <c r="D213" s="20" t="str">
        <f>IF('DDF Original'!C213="","",'DDF Original'!C213)</f>
        <v/>
      </c>
      <c r="E213" s="24" t="str">
        <f>IF('DDF Original'!B213="","",IF(TRIM('DDF Original'!I213)="",0,'DDF Original'!I213))</f>
        <v/>
      </c>
      <c r="F213" s="20" t="str">
        <f t="shared" si="21"/>
        <v/>
      </c>
      <c r="G213" s="37" t="str">
        <f>IF('DDF Original'!B213="","",IF(TRIM('DDF Original'!P213)="",0,'DDF Original'!P213))</f>
        <v/>
      </c>
      <c r="H213" s="20" t="str">
        <f t="shared" si="22"/>
        <v/>
      </c>
      <c r="I213" s="25" t="str">
        <f t="shared" si="23"/>
        <v/>
      </c>
      <c r="J213" s="20" t="str">
        <f t="shared" si="24"/>
        <v/>
      </c>
      <c r="K213" s="20" t="str">
        <f t="shared" si="25"/>
        <v/>
      </c>
      <c r="L213" s="20" t="str">
        <f>IF(B213="","",70*'DDF Original'!$Q$4)</f>
        <v/>
      </c>
      <c r="M213" s="20" t="str">
        <f t="shared" si="26"/>
        <v/>
      </c>
      <c r="N213" s="20" t="str">
        <f>IF(AND(OR(B213="",J213&gt;G213,M213&gt;G213),'DDF Original'!L213&lt;&gt; "MI"),G213,IF(M213&gt;J213,M213,J213))</f>
        <v/>
      </c>
    </row>
    <row r="214" spans="2:14" x14ac:dyDescent="0.2">
      <c r="B214" s="19" t="str">
        <f>IF('DDF Original'!B214="","",'DDF Original'!B214)</f>
        <v/>
      </c>
      <c r="C214" s="19" t="e">
        <f t="shared" si="27"/>
        <v>#VALUE!</v>
      </c>
      <c r="D214" s="20" t="str">
        <f>IF('DDF Original'!C214="","",'DDF Original'!C214)</f>
        <v/>
      </c>
      <c r="E214" s="24" t="str">
        <f>IF('DDF Original'!B214="","",IF(TRIM('DDF Original'!I214)="",0,'DDF Original'!I214))</f>
        <v/>
      </c>
      <c r="F214" s="20" t="str">
        <f t="shared" si="21"/>
        <v/>
      </c>
      <c r="G214" s="37" t="str">
        <f>IF('DDF Original'!B214="","",IF(TRIM('DDF Original'!P214)="",0,'DDF Original'!P214))</f>
        <v/>
      </c>
      <c r="H214" s="20" t="str">
        <f t="shared" si="22"/>
        <v/>
      </c>
      <c r="I214" s="25" t="str">
        <f t="shared" si="23"/>
        <v/>
      </c>
      <c r="J214" s="20" t="str">
        <f t="shared" si="24"/>
        <v/>
      </c>
      <c r="K214" s="20" t="str">
        <f t="shared" si="25"/>
        <v/>
      </c>
      <c r="L214" s="20" t="str">
        <f>IF(B214="","",70*'DDF Original'!$Q$4)</f>
        <v/>
      </c>
      <c r="M214" s="20" t="str">
        <f t="shared" si="26"/>
        <v/>
      </c>
      <c r="N214" s="20" t="str">
        <f>IF(AND(OR(B214="",J214&gt;G214,M214&gt;G214),'DDF Original'!L214&lt;&gt; "MI"),G214,IF(M214&gt;J214,M214,J214))</f>
        <v/>
      </c>
    </row>
    <row r="215" spans="2:14" x14ac:dyDescent="0.2">
      <c r="B215" s="19" t="str">
        <f>IF('DDF Original'!B215="","",'DDF Original'!B215)</f>
        <v/>
      </c>
      <c r="C215" s="19" t="e">
        <f t="shared" si="27"/>
        <v>#VALUE!</v>
      </c>
      <c r="D215" s="20" t="str">
        <f>IF('DDF Original'!C215="","",'DDF Original'!C215)</f>
        <v/>
      </c>
      <c r="E215" s="24" t="str">
        <f>IF('DDF Original'!B215="","",IF(TRIM('DDF Original'!I215)="",0,'DDF Original'!I215))</f>
        <v/>
      </c>
      <c r="F215" s="20" t="str">
        <f t="shared" si="21"/>
        <v/>
      </c>
      <c r="G215" s="37" t="str">
        <f>IF('DDF Original'!B215="","",IF(TRIM('DDF Original'!P215)="",0,'DDF Original'!P215))</f>
        <v/>
      </c>
      <c r="H215" s="20" t="str">
        <f t="shared" si="22"/>
        <v/>
      </c>
      <c r="I215" s="25" t="str">
        <f t="shared" si="23"/>
        <v/>
      </c>
      <c r="J215" s="20" t="str">
        <f t="shared" si="24"/>
        <v/>
      </c>
      <c r="K215" s="20" t="str">
        <f t="shared" si="25"/>
        <v/>
      </c>
      <c r="L215" s="20" t="str">
        <f>IF(B215="","",70*'DDF Original'!$Q$4)</f>
        <v/>
      </c>
      <c r="M215" s="20" t="str">
        <f t="shared" si="26"/>
        <v/>
      </c>
      <c r="N215" s="20" t="str">
        <f>IF(AND(OR(B215="",J215&gt;G215,M215&gt;G215),'DDF Original'!L215&lt;&gt; "MI"),G215,IF(M215&gt;J215,M215,J215))</f>
        <v/>
      </c>
    </row>
    <row r="216" spans="2:14" x14ac:dyDescent="0.2">
      <c r="B216" s="19" t="str">
        <f>IF('DDF Original'!B216="","",'DDF Original'!B216)</f>
        <v/>
      </c>
      <c r="C216" s="19" t="e">
        <f t="shared" si="27"/>
        <v>#VALUE!</v>
      </c>
      <c r="D216" s="20" t="str">
        <f>IF('DDF Original'!C216="","",'DDF Original'!C216)</f>
        <v/>
      </c>
      <c r="E216" s="24" t="str">
        <f>IF('DDF Original'!B216="","",IF(TRIM('DDF Original'!I216)="",0,'DDF Original'!I216))</f>
        <v/>
      </c>
      <c r="F216" s="20" t="str">
        <f t="shared" si="21"/>
        <v/>
      </c>
      <c r="G216" s="37" t="str">
        <f>IF('DDF Original'!B216="","",IF(TRIM('DDF Original'!P216)="",0,'DDF Original'!P216))</f>
        <v/>
      </c>
      <c r="H216" s="20" t="str">
        <f t="shared" si="22"/>
        <v/>
      </c>
      <c r="I216" s="25" t="str">
        <f t="shared" si="23"/>
        <v/>
      </c>
      <c r="J216" s="20" t="str">
        <f t="shared" si="24"/>
        <v/>
      </c>
      <c r="K216" s="20" t="str">
        <f t="shared" si="25"/>
        <v/>
      </c>
      <c r="L216" s="20" t="str">
        <f>IF(B216="","",70*'DDF Original'!$Q$4)</f>
        <v/>
      </c>
      <c r="M216" s="20" t="str">
        <f t="shared" si="26"/>
        <v/>
      </c>
      <c r="N216" s="20" t="str">
        <f>IF(AND(OR(B216="",J216&gt;G216,M216&gt;G216),'DDF Original'!L216&lt;&gt; "MI"),G216,IF(M216&gt;J216,M216,J216))</f>
        <v/>
      </c>
    </row>
    <row r="217" spans="2:14" x14ac:dyDescent="0.2">
      <c r="B217" s="19" t="str">
        <f>IF('DDF Original'!B217="","",'DDF Original'!B217)</f>
        <v/>
      </c>
      <c r="C217" s="19" t="e">
        <f t="shared" si="27"/>
        <v>#VALUE!</v>
      </c>
      <c r="D217" s="20" t="str">
        <f>IF('DDF Original'!C217="","",'DDF Original'!C217)</f>
        <v/>
      </c>
      <c r="E217" s="24" t="str">
        <f>IF('DDF Original'!B217="","",IF(TRIM('DDF Original'!I217)="",0,'DDF Original'!I217))</f>
        <v/>
      </c>
      <c r="F217" s="20" t="str">
        <f t="shared" si="21"/>
        <v/>
      </c>
      <c r="G217" s="37" t="str">
        <f>IF('DDF Original'!B217="","",IF(TRIM('DDF Original'!P217)="",0,'DDF Original'!P217))</f>
        <v/>
      </c>
      <c r="H217" s="20" t="str">
        <f t="shared" si="22"/>
        <v/>
      </c>
      <c r="I217" s="25" t="str">
        <f t="shared" si="23"/>
        <v/>
      </c>
      <c r="J217" s="20" t="str">
        <f t="shared" si="24"/>
        <v/>
      </c>
      <c r="K217" s="20" t="str">
        <f t="shared" si="25"/>
        <v/>
      </c>
      <c r="L217" s="20" t="str">
        <f>IF(B217="","",70*'DDF Original'!$Q$4)</f>
        <v/>
      </c>
      <c r="M217" s="20" t="str">
        <f t="shared" si="26"/>
        <v/>
      </c>
      <c r="N217" s="20" t="str">
        <f>IF(AND(OR(B217="",J217&gt;G217,M217&gt;G217),'DDF Original'!L217&lt;&gt; "MI"),G217,IF(M217&gt;J217,M217,J217))</f>
        <v/>
      </c>
    </row>
    <row r="218" spans="2:14" x14ac:dyDescent="0.2">
      <c r="B218" s="19" t="str">
        <f>IF('DDF Original'!B218="","",'DDF Original'!B218)</f>
        <v/>
      </c>
      <c r="C218" s="19" t="e">
        <f t="shared" si="27"/>
        <v>#VALUE!</v>
      </c>
      <c r="D218" s="20" t="str">
        <f>IF('DDF Original'!C218="","",'DDF Original'!C218)</f>
        <v/>
      </c>
      <c r="E218" s="24" t="str">
        <f>IF('DDF Original'!B218="","",IF(TRIM('DDF Original'!I218)="",0,'DDF Original'!I218))</f>
        <v/>
      </c>
      <c r="F218" s="20" t="str">
        <f t="shared" si="21"/>
        <v/>
      </c>
      <c r="G218" s="37" t="str">
        <f>IF('DDF Original'!B218="","",IF(TRIM('DDF Original'!P218)="",0,'DDF Original'!P218))</f>
        <v/>
      </c>
      <c r="H218" s="20" t="str">
        <f t="shared" si="22"/>
        <v/>
      </c>
      <c r="I218" s="25" t="str">
        <f t="shared" si="23"/>
        <v/>
      </c>
      <c r="J218" s="20" t="str">
        <f t="shared" si="24"/>
        <v/>
      </c>
      <c r="K218" s="20" t="str">
        <f t="shared" si="25"/>
        <v/>
      </c>
      <c r="L218" s="20" t="str">
        <f>IF(B218="","",70*'DDF Original'!$Q$4)</f>
        <v/>
      </c>
      <c r="M218" s="20" t="str">
        <f t="shared" si="26"/>
        <v/>
      </c>
      <c r="N218" s="20" t="str">
        <f>IF(AND(OR(B218="",J218&gt;G218,M218&gt;G218),'DDF Original'!L218&lt;&gt; "MI"),G218,IF(M218&gt;J218,M218,J218))</f>
        <v/>
      </c>
    </row>
    <row r="219" spans="2:14" x14ac:dyDescent="0.2">
      <c r="B219" s="19" t="str">
        <f>IF('DDF Original'!B219="","",'DDF Original'!B219)</f>
        <v/>
      </c>
      <c r="C219" s="19" t="e">
        <f t="shared" si="27"/>
        <v>#VALUE!</v>
      </c>
      <c r="D219" s="20" t="str">
        <f>IF('DDF Original'!C219="","",'DDF Original'!C219)</f>
        <v/>
      </c>
      <c r="E219" s="24" t="str">
        <f>IF('DDF Original'!B219="","",IF(TRIM('DDF Original'!I219)="",0,'DDF Original'!I219))</f>
        <v/>
      </c>
      <c r="F219" s="20" t="str">
        <f t="shared" si="21"/>
        <v/>
      </c>
      <c r="G219" s="37" t="str">
        <f>IF('DDF Original'!B219="","",IF(TRIM('DDF Original'!P219)="",0,'DDF Original'!P219))</f>
        <v/>
      </c>
      <c r="H219" s="20" t="str">
        <f t="shared" si="22"/>
        <v/>
      </c>
      <c r="I219" s="25" t="str">
        <f t="shared" si="23"/>
        <v/>
      </c>
      <c r="J219" s="20" t="str">
        <f t="shared" si="24"/>
        <v/>
      </c>
      <c r="K219" s="20" t="str">
        <f t="shared" si="25"/>
        <v/>
      </c>
      <c r="L219" s="20" t="str">
        <f>IF(B219="","",70*'DDF Original'!$Q$4)</f>
        <v/>
      </c>
      <c r="M219" s="20" t="str">
        <f t="shared" si="26"/>
        <v/>
      </c>
      <c r="N219" s="20" t="str">
        <f>IF(AND(OR(B219="",J219&gt;G219,M219&gt;G219),'DDF Original'!L219&lt;&gt; "MI"),G219,IF(M219&gt;J219,M219,J219))</f>
        <v/>
      </c>
    </row>
    <row r="220" spans="2:14" x14ac:dyDescent="0.2">
      <c r="B220" s="19" t="str">
        <f>IF('DDF Original'!B220="","",'DDF Original'!B220)</f>
        <v/>
      </c>
      <c r="C220" s="19" t="e">
        <f t="shared" si="27"/>
        <v>#VALUE!</v>
      </c>
      <c r="D220" s="20" t="str">
        <f>IF('DDF Original'!C220="","",'DDF Original'!C220)</f>
        <v/>
      </c>
      <c r="E220" s="24" t="str">
        <f>IF('DDF Original'!B220="","",IF(TRIM('DDF Original'!I220)="",0,'DDF Original'!I220))</f>
        <v/>
      </c>
      <c r="F220" s="20" t="str">
        <f t="shared" si="21"/>
        <v/>
      </c>
      <c r="G220" s="37" t="str">
        <f>IF('DDF Original'!B220="","",IF(TRIM('DDF Original'!P220)="",0,'DDF Original'!P220))</f>
        <v/>
      </c>
      <c r="H220" s="20" t="str">
        <f t="shared" si="22"/>
        <v/>
      </c>
      <c r="I220" s="25" t="str">
        <f t="shared" si="23"/>
        <v/>
      </c>
      <c r="J220" s="20" t="str">
        <f t="shared" si="24"/>
        <v/>
      </c>
      <c r="K220" s="20" t="str">
        <f t="shared" si="25"/>
        <v/>
      </c>
      <c r="L220" s="20" t="str">
        <f>IF(B220="","",70*'DDF Original'!$Q$4)</f>
        <v/>
      </c>
      <c r="M220" s="20" t="str">
        <f t="shared" si="26"/>
        <v/>
      </c>
      <c r="N220" s="20" t="str">
        <f>IF(AND(OR(B220="",J220&gt;G220,M220&gt;G220),'DDF Original'!L220&lt;&gt; "MI"),G220,IF(M220&gt;J220,M220,J220))</f>
        <v/>
      </c>
    </row>
    <row r="221" spans="2:14" x14ac:dyDescent="0.2">
      <c r="B221" s="19" t="str">
        <f>IF('DDF Original'!B221="","",'DDF Original'!B221)</f>
        <v/>
      </c>
      <c r="C221" s="19" t="e">
        <f t="shared" si="27"/>
        <v>#VALUE!</v>
      </c>
      <c r="D221" s="20" t="str">
        <f>IF('DDF Original'!C221="","",'DDF Original'!C221)</f>
        <v/>
      </c>
      <c r="E221" s="24" t="str">
        <f>IF('DDF Original'!B221="","",IF(TRIM('DDF Original'!I221)="",0,'DDF Original'!I221))</f>
        <v/>
      </c>
      <c r="F221" s="20" t="str">
        <f t="shared" si="21"/>
        <v/>
      </c>
      <c r="G221" s="37" t="str">
        <f>IF('DDF Original'!B221="","",IF(TRIM('DDF Original'!P221)="",0,'DDF Original'!P221))</f>
        <v/>
      </c>
      <c r="H221" s="20" t="str">
        <f t="shared" si="22"/>
        <v/>
      </c>
      <c r="I221" s="25" t="str">
        <f t="shared" si="23"/>
        <v/>
      </c>
      <c r="J221" s="20" t="str">
        <f t="shared" si="24"/>
        <v/>
      </c>
      <c r="K221" s="20" t="str">
        <f t="shared" si="25"/>
        <v/>
      </c>
      <c r="L221" s="20" t="str">
        <f>IF(B221="","",70*'DDF Original'!$Q$4)</f>
        <v/>
      </c>
      <c r="M221" s="20" t="str">
        <f t="shared" si="26"/>
        <v/>
      </c>
      <c r="N221" s="20" t="str">
        <f>IF(AND(OR(B221="",J221&gt;G221,M221&gt;G221),'DDF Original'!L221&lt;&gt; "MI"),G221,IF(M221&gt;J221,M221,J221))</f>
        <v/>
      </c>
    </row>
    <row r="222" spans="2:14" x14ac:dyDescent="0.2">
      <c r="B222" s="19" t="str">
        <f>IF('DDF Original'!B222="","",'DDF Original'!B222)</f>
        <v/>
      </c>
      <c r="C222" s="19" t="e">
        <f t="shared" si="27"/>
        <v>#VALUE!</v>
      </c>
      <c r="D222" s="20" t="str">
        <f>IF('DDF Original'!C222="","",'DDF Original'!C222)</f>
        <v/>
      </c>
      <c r="E222" s="24" t="str">
        <f>IF('DDF Original'!B222="","",IF(TRIM('DDF Original'!I222)="",0,'DDF Original'!I222))</f>
        <v/>
      </c>
      <c r="F222" s="20" t="str">
        <f t="shared" si="21"/>
        <v/>
      </c>
      <c r="G222" s="37" t="str">
        <f>IF('DDF Original'!B222="","",IF(TRIM('DDF Original'!P222)="",0,'DDF Original'!P222))</f>
        <v/>
      </c>
      <c r="H222" s="20" t="str">
        <f t="shared" si="22"/>
        <v/>
      </c>
      <c r="I222" s="25" t="str">
        <f t="shared" si="23"/>
        <v/>
      </c>
      <c r="J222" s="20" t="str">
        <f t="shared" si="24"/>
        <v/>
      </c>
      <c r="K222" s="20" t="str">
        <f t="shared" si="25"/>
        <v/>
      </c>
      <c r="L222" s="20" t="str">
        <f>IF(B222="","",70*'DDF Original'!$Q$4)</f>
        <v/>
      </c>
      <c r="M222" s="20" t="str">
        <f t="shared" si="26"/>
        <v/>
      </c>
      <c r="N222" s="20" t="str">
        <f>IF(AND(OR(B222="",J222&gt;G222,M222&gt;G222),'DDF Original'!L222&lt;&gt; "MI"),G222,IF(M222&gt;J222,M222,J222))</f>
        <v/>
      </c>
    </row>
    <row r="223" spans="2:14" x14ac:dyDescent="0.2">
      <c r="B223" s="19" t="str">
        <f>IF('DDF Original'!B223="","",'DDF Original'!B223)</f>
        <v/>
      </c>
      <c r="C223" s="19" t="e">
        <f t="shared" si="27"/>
        <v>#VALUE!</v>
      </c>
      <c r="D223" s="20" t="str">
        <f>IF('DDF Original'!C223="","",'DDF Original'!C223)</f>
        <v/>
      </c>
      <c r="E223" s="24" t="str">
        <f>IF('DDF Original'!B223="","",IF(TRIM('DDF Original'!I223)="",0,'DDF Original'!I223))</f>
        <v/>
      </c>
      <c r="F223" s="20" t="str">
        <f t="shared" si="21"/>
        <v/>
      </c>
      <c r="G223" s="37" t="str">
        <f>IF('DDF Original'!B223="","",IF(TRIM('DDF Original'!P223)="",0,'DDF Original'!P223))</f>
        <v/>
      </c>
      <c r="H223" s="20" t="str">
        <f t="shared" si="22"/>
        <v/>
      </c>
      <c r="I223" s="25" t="str">
        <f t="shared" si="23"/>
        <v/>
      </c>
      <c r="J223" s="20" t="str">
        <f t="shared" si="24"/>
        <v/>
      </c>
      <c r="K223" s="20" t="str">
        <f t="shared" si="25"/>
        <v/>
      </c>
      <c r="L223" s="20" t="str">
        <f>IF(B223="","",70*'DDF Original'!$Q$4)</f>
        <v/>
      </c>
      <c r="M223" s="20" t="str">
        <f t="shared" si="26"/>
        <v/>
      </c>
      <c r="N223" s="20" t="str">
        <f>IF(AND(OR(B223="",J223&gt;G223,M223&gt;G223),'DDF Original'!L223&lt;&gt; "MI"),G223,IF(M223&gt;J223,M223,J223))</f>
        <v/>
      </c>
    </row>
    <row r="224" spans="2:14" x14ac:dyDescent="0.2">
      <c r="B224" s="19" t="str">
        <f>IF('DDF Original'!B224="","",'DDF Original'!B224)</f>
        <v/>
      </c>
      <c r="C224" s="19" t="e">
        <f t="shared" si="27"/>
        <v>#VALUE!</v>
      </c>
      <c r="D224" s="20" t="str">
        <f>IF('DDF Original'!C224="","",'DDF Original'!C224)</f>
        <v/>
      </c>
      <c r="E224" s="24" t="str">
        <f>IF('DDF Original'!B224="","",IF(TRIM('DDF Original'!I224)="",0,'DDF Original'!I224))</f>
        <v/>
      </c>
      <c r="F224" s="20" t="str">
        <f t="shared" si="21"/>
        <v/>
      </c>
      <c r="G224" s="37" t="str">
        <f>IF('DDF Original'!B224="","",IF(TRIM('DDF Original'!P224)="",0,'DDF Original'!P224))</f>
        <v/>
      </c>
      <c r="H224" s="20" t="str">
        <f t="shared" si="22"/>
        <v/>
      </c>
      <c r="I224" s="25" t="str">
        <f t="shared" si="23"/>
        <v/>
      </c>
      <c r="J224" s="20" t="str">
        <f t="shared" si="24"/>
        <v/>
      </c>
      <c r="K224" s="20" t="str">
        <f t="shared" si="25"/>
        <v/>
      </c>
      <c r="L224" s="20" t="str">
        <f>IF(B224="","",70*'DDF Original'!$Q$4)</f>
        <v/>
      </c>
      <c r="M224" s="20" t="str">
        <f t="shared" si="26"/>
        <v/>
      </c>
      <c r="N224" s="20" t="str">
        <f>IF(AND(OR(B224="",J224&gt;G224,M224&gt;G224),'DDF Original'!L224&lt;&gt; "MI"),G224,IF(M224&gt;J224,M224,J224))</f>
        <v/>
      </c>
    </row>
    <row r="225" spans="2:14" x14ac:dyDescent="0.2">
      <c r="B225" s="19" t="str">
        <f>IF('DDF Original'!B225="","",'DDF Original'!B225)</f>
        <v/>
      </c>
      <c r="C225" s="19" t="e">
        <f t="shared" si="27"/>
        <v>#VALUE!</v>
      </c>
      <c r="D225" s="20" t="str">
        <f>IF('DDF Original'!C225="","",'DDF Original'!C225)</f>
        <v/>
      </c>
      <c r="E225" s="24" t="str">
        <f>IF('DDF Original'!B225="","",IF(TRIM('DDF Original'!I225)="",0,'DDF Original'!I225))</f>
        <v/>
      </c>
      <c r="F225" s="20" t="str">
        <f t="shared" si="21"/>
        <v/>
      </c>
      <c r="G225" s="37" t="str">
        <f>IF('DDF Original'!B225="","",IF(TRIM('DDF Original'!P225)="",0,'DDF Original'!P225))</f>
        <v/>
      </c>
      <c r="H225" s="20" t="str">
        <f t="shared" si="22"/>
        <v/>
      </c>
      <c r="I225" s="25" t="str">
        <f t="shared" si="23"/>
        <v/>
      </c>
      <c r="J225" s="20" t="str">
        <f t="shared" si="24"/>
        <v/>
      </c>
      <c r="K225" s="20" t="str">
        <f t="shared" si="25"/>
        <v/>
      </c>
      <c r="L225" s="20" t="str">
        <f>IF(B225="","",70*'DDF Original'!$Q$4)</f>
        <v/>
      </c>
      <c r="M225" s="20" t="str">
        <f t="shared" si="26"/>
        <v/>
      </c>
      <c r="N225" s="20" t="str">
        <f>IF(AND(OR(B225="",J225&gt;G225,M225&gt;G225),'DDF Original'!L225&lt;&gt; "MI"),G225,IF(M225&gt;J225,M225,J225))</f>
        <v/>
      </c>
    </row>
    <row r="226" spans="2:14" x14ac:dyDescent="0.2">
      <c r="B226" s="19" t="str">
        <f>IF('DDF Original'!B226="","",'DDF Original'!B226)</f>
        <v/>
      </c>
      <c r="C226" s="19" t="e">
        <f t="shared" si="27"/>
        <v>#VALUE!</v>
      </c>
      <c r="D226" s="20" t="str">
        <f>IF('DDF Original'!C226="","",'DDF Original'!C226)</f>
        <v/>
      </c>
      <c r="E226" s="24" t="str">
        <f>IF('DDF Original'!B226="","",IF(TRIM('DDF Original'!I226)="",0,'DDF Original'!I226))</f>
        <v/>
      </c>
      <c r="F226" s="20" t="str">
        <f t="shared" si="21"/>
        <v/>
      </c>
      <c r="G226" s="37" t="str">
        <f>IF('DDF Original'!B226="","",IF(TRIM('DDF Original'!P226)="",0,'DDF Original'!P226))</f>
        <v/>
      </c>
      <c r="H226" s="20" t="str">
        <f t="shared" si="22"/>
        <v/>
      </c>
      <c r="I226" s="25" t="str">
        <f t="shared" si="23"/>
        <v/>
      </c>
      <c r="J226" s="20" t="str">
        <f t="shared" si="24"/>
        <v/>
      </c>
      <c r="K226" s="20" t="str">
        <f t="shared" si="25"/>
        <v/>
      </c>
      <c r="L226" s="20" t="str">
        <f>IF(B226="","",70*'DDF Original'!$Q$4)</f>
        <v/>
      </c>
      <c r="M226" s="20" t="str">
        <f t="shared" si="26"/>
        <v/>
      </c>
      <c r="N226" s="20" t="str">
        <f>IF(AND(OR(B226="",J226&gt;G226,M226&gt;G226),'DDF Original'!L226&lt;&gt; "MI"),G226,IF(M226&gt;J226,M226,J226))</f>
        <v/>
      </c>
    </row>
    <row r="227" spans="2:14" x14ac:dyDescent="0.2">
      <c r="B227" s="19" t="str">
        <f>IF('DDF Original'!B227="","",'DDF Original'!B227)</f>
        <v/>
      </c>
      <c r="C227" s="19" t="e">
        <f t="shared" si="27"/>
        <v>#VALUE!</v>
      </c>
      <c r="D227" s="20" t="str">
        <f>IF('DDF Original'!C227="","",'DDF Original'!C227)</f>
        <v/>
      </c>
      <c r="E227" s="24" t="str">
        <f>IF('DDF Original'!B227="","",IF(TRIM('DDF Original'!I227)="",0,'DDF Original'!I227))</f>
        <v/>
      </c>
      <c r="F227" s="20" t="str">
        <f t="shared" si="21"/>
        <v/>
      </c>
      <c r="G227" s="37" t="str">
        <f>IF('DDF Original'!B227="","",IF(TRIM('DDF Original'!P227)="",0,'DDF Original'!P227))</f>
        <v/>
      </c>
      <c r="H227" s="20" t="str">
        <f t="shared" si="22"/>
        <v/>
      </c>
      <c r="I227" s="25" t="str">
        <f t="shared" si="23"/>
        <v/>
      </c>
      <c r="J227" s="20" t="str">
        <f t="shared" si="24"/>
        <v/>
      </c>
      <c r="K227" s="20" t="str">
        <f t="shared" si="25"/>
        <v/>
      </c>
      <c r="L227" s="20" t="str">
        <f>IF(B227="","",70*'DDF Original'!$Q$4)</f>
        <v/>
      </c>
      <c r="M227" s="20" t="str">
        <f t="shared" si="26"/>
        <v/>
      </c>
      <c r="N227" s="20" t="str">
        <f>IF(AND(OR(B227="",J227&gt;G227,M227&gt;G227),'DDF Original'!L227&lt;&gt; "MI"),G227,IF(M227&gt;J227,M227,J227))</f>
        <v/>
      </c>
    </row>
    <row r="228" spans="2:14" x14ac:dyDescent="0.2">
      <c r="B228" s="19" t="str">
        <f>IF('DDF Original'!B228="","",'DDF Original'!B228)</f>
        <v/>
      </c>
      <c r="C228" s="19" t="e">
        <f t="shared" si="27"/>
        <v>#VALUE!</v>
      </c>
      <c r="D228" s="20" t="str">
        <f>IF('DDF Original'!C228="","",'DDF Original'!C228)</f>
        <v/>
      </c>
      <c r="E228" s="24" t="str">
        <f>IF('DDF Original'!B228="","",IF(TRIM('DDF Original'!I228)="",0,'DDF Original'!I228))</f>
        <v/>
      </c>
      <c r="F228" s="20" t="str">
        <f t="shared" si="21"/>
        <v/>
      </c>
      <c r="G228" s="37" t="str">
        <f>IF('DDF Original'!B228="","",IF(TRIM('DDF Original'!P228)="",0,'DDF Original'!P228))</f>
        <v/>
      </c>
      <c r="H228" s="20" t="str">
        <f t="shared" si="22"/>
        <v/>
      </c>
      <c r="I228" s="25" t="str">
        <f t="shared" si="23"/>
        <v/>
      </c>
      <c r="J228" s="20" t="str">
        <f t="shared" si="24"/>
        <v/>
      </c>
      <c r="K228" s="20" t="str">
        <f t="shared" si="25"/>
        <v/>
      </c>
      <c r="L228" s="20" t="str">
        <f>IF(B228="","",70*'DDF Original'!$Q$4)</f>
        <v/>
      </c>
      <c r="M228" s="20" t="str">
        <f t="shared" si="26"/>
        <v/>
      </c>
      <c r="N228" s="20" t="str">
        <f>IF(AND(OR(B228="",J228&gt;G228,M228&gt;G228),'DDF Original'!L228&lt;&gt; "MI"),G228,IF(M228&gt;J228,M228,J228))</f>
        <v/>
      </c>
    </row>
    <row r="229" spans="2:14" x14ac:dyDescent="0.2">
      <c r="B229" s="19" t="str">
        <f>IF('DDF Original'!B229="","",'DDF Original'!B229)</f>
        <v/>
      </c>
      <c r="C229" s="19" t="e">
        <f t="shared" si="27"/>
        <v>#VALUE!</v>
      </c>
      <c r="D229" s="20" t="str">
        <f>IF('DDF Original'!C229="","",'DDF Original'!C229)</f>
        <v/>
      </c>
      <c r="E229" s="24" t="str">
        <f>IF('DDF Original'!B229="","",IF(TRIM('DDF Original'!I229)="",0,'DDF Original'!I229))</f>
        <v/>
      </c>
      <c r="F229" s="20" t="str">
        <f t="shared" si="21"/>
        <v/>
      </c>
      <c r="G229" s="37" t="str">
        <f>IF('DDF Original'!B229="","",IF(TRIM('DDF Original'!P229)="",0,'DDF Original'!P229))</f>
        <v/>
      </c>
      <c r="H229" s="20" t="str">
        <f t="shared" si="22"/>
        <v/>
      </c>
      <c r="I229" s="25" t="str">
        <f t="shared" si="23"/>
        <v/>
      </c>
      <c r="J229" s="20" t="str">
        <f t="shared" si="24"/>
        <v/>
      </c>
      <c r="K229" s="20" t="str">
        <f t="shared" si="25"/>
        <v/>
      </c>
      <c r="L229" s="20" t="str">
        <f>IF(B229="","",70*'DDF Original'!$Q$4)</f>
        <v/>
      </c>
      <c r="M229" s="20" t="str">
        <f t="shared" si="26"/>
        <v/>
      </c>
      <c r="N229" s="20" t="str">
        <f>IF(AND(OR(B229="",J229&gt;G229,M229&gt;G229),'DDF Original'!L229&lt;&gt; "MI"),G229,IF(M229&gt;J229,M229,J229))</f>
        <v/>
      </c>
    </row>
    <row r="230" spans="2:14" x14ac:dyDescent="0.2">
      <c r="B230" s="19" t="str">
        <f>IF('DDF Original'!B230="","",'DDF Original'!B230)</f>
        <v/>
      </c>
      <c r="C230" s="19" t="e">
        <f t="shared" si="27"/>
        <v>#VALUE!</v>
      </c>
      <c r="D230" s="20" t="str">
        <f>IF('DDF Original'!C230="","",'DDF Original'!C230)</f>
        <v/>
      </c>
      <c r="E230" s="24" t="str">
        <f>IF('DDF Original'!B230="","",IF(TRIM('DDF Original'!I230)="",0,'DDF Original'!I230))</f>
        <v/>
      </c>
      <c r="F230" s="20" t="str">
        <f t="shared" si="21"/>
        <v/>
      </c>
      <c r="G230" s="37" t="str">
        <f>IF('DDF Original'!B230="","",IF(TRIM('DDF Original'!P230)="",0,'DDF Original'!P230))</f>
        <v/>
      </c>
      <c r="H230" s="20" t="str">
        <f t="shared" si="22"/>
        <v/>
      </c>
      <c r="I230" s="25" t="str">
        <f t="shared" si="23"/>
        <v/>
      </c>
      <c r="J230" s="20" t="str">
        <f t="shared" si="24"/>
        <v/>
      </c>
      <c r="K230" s="20" t="str">
        <f t="shared" si="25"/>
        <v/>
      </c>
      <c r="L230" s="20" t="str">
        <f>IF(B230="","",70*'DDF Original'!$Q$4)</f>
        <v/>
      </c>
      <c r="M230" s="20" t="str">
        <f t="shared" si="26"/>
        <v/>
      </c>
      <c r="N230" s="20" t="str">
        <f>IF(AND(OR(B230="",J230&gt;G230,M230&gt;G230),'DDF Original'!L230&lt;&gt; "MI"),G230,IF(M230&gt;J230,M230,J230))</f>
        <v/>
      </c>
    </row>
    <row r="231" spans="2:14" x14ac:dyDescent="0.2">
      <c r="B231" s="19" t="str">
        <f>IF('DDF Original'!B231="","",'DDF Original'!B231)</f>
        <v/>
      </c>
      <c r="C231" s="19" t="e">
        <f t="shared" si="27"/>
        <v>#VALUE!</v>
      </c>
      <c r="D231" s="20" t="str">
        <f>IF('DDF Original'!C231="","",'DDF Original'!C231)</f>
        <v/>
      </c>
      <c r="E231" s="24" t="str">
        <f>IF('DDF Original'!B231="","",IF(TRIM('DDF Original'!I231)="",0,'DDF Original'!I231))</f>
        <v/>
      </c>
      <c r="F231" s="20" t="str">
        <f t="shared" si="21"/>
        <v/>
      </c>
      <c r="G231" s="37" t="str">
        <f>IF('DDF Original'!B231="","",IF(TRIM('DDF Original'!P231)="",0,'DDF Original'!P231))</f>
        <v/>
      </c>
      <c r="H231" s="20" t="str">
        <f t="shared" si="22"/>
        <v/>
      </c>
      <c r="I231" s="25" t="str">
        <f t="shared" si="23"/>
        <v/>
      </c>
      <c r="J231" s="20" t="str">
        <f t="shared" si="24"/>
        <v/>
      </c>
      <c r="K231" s="20" t="str">
        <f t="shared" si="25"/>
        <v/>
      </c>
      <c r="L231" s="20" t="str">
        <f>IF(B231="","",70*'DDF Original'!$Q$4)</f>
        <v/>
      </c>
      <c r="M231" s="20" t="str">
        <f t="shared" si="26"/>
        <v/>
      </c>
      <c r="N231" s="20" t="str">
        <f>IF(AND(OR(B231="",J231&gt;G231,M231&gt;G231),'DDF Original'!L231&lt;&gt; "MI"),G231,IF(M231&gt;J231,M231,J231))</f>
        <v/>
      </c>
    </row>
    <row r="232" spans="2:14" x14ac:dyDescent="0.2">
      <c r="B232" s="19" t="str">
        <f>IF('DDF Original'!B232="","",'DDF Original'!B232)</f>
        <v/>
      </c>
      <c r="C232" s="19" t="e">
        <f t="shared" si="27"/>
        <v>#VALUE!</v>
      </c>
      <c r="D232" s="20" t="str">
        <f>IF('DDF Original'!C232="","",'DDF Original'!C232)</f>
        <v/>
      </c>
      <c r="E232" s="24" t="str">
        <f>IF('DDF Original'!B232="","",IF(TRIM('DDF Original'!I232)="",0,'DDF Original'!I232))</f>
        <v/>
      </c>
      <c r="F232" s="20" t="str">
        <f t="shared" si="21"/>
        <v/>
      </c>
      <c r="G232" s="37" t="str">
        <f>IF('DDF Original'!B232="","",IF(TRIM('DDF Original'!P232)="",0,'DDF Original'!P232))</f>
        <v/>
      </c>
      <c r="H232" s="20" t="str">
        <f t="shared" si="22"/>
        <v/>
      </c>
      <c r="I232" s="25" t="str">
        <f t="shared" si="23"/>
        <v/>
      </c>
      <c r="J232" s="20" t="str">
        <f t="shared" si="24"/>
        <v/>
      </c>
      <c r="K232" s="20" t="str">
        <f t="shared" si="25"/>
        <v/>
      </c>
      <c r="L232" s="20" t="str">
        <f>IF(B232="","",70*'DDF Original'!$Q$4)</f>
        <v/>
      </c>
      <c r="M232" s="20" t="str">
        <f t="shared" si="26"/>
        <v/>
      </c>
      <c r="N232" s="20" t="str">
        <f>IF(AND(OR(B232="",J232&gt;G232,M232&gt;G232),'DDF Original'!L232&lt;&gt; "MI"),G232,IF(M232&gt;J232,M232,J232))</f>
        <v/>
      </c>
    </row>
    <row r="233" spans="2:14" x14ac:dyDescent="0.2">
      <c r="B233" s="19" t="str">
        <f>IF('DDF Original'!B233="","",'DDF Original'!B233)</f>
        <v/>
      </c>
      <c r="C233" s="19" t="e">
        <f t="shared" si="27"/>
        <v>#VALUE!</v>
      </c>
      <c r="D233" s="20" t="str">
        <f>IF('DDF Original'!C233="","",'DDF Original'!C233)</f>
        <v/>
      </c>
      <c r="E233" s="24" t="str">
        <f>IF('DDF Original'!B233="","",IF(TRIM('DDF Original'!I233)="",0,'DDF Original'!I233))</f>
        <v/>
      </c>
      <c r="F233" s="20" t="str">
        <f t="shared" si="21"/>
        <v/>
      </c>
      <c r="G233" s="37" t="str">
        <f>IF('DDF Original'!B233="","",IF(TRIM('DDF Original'!P233)="",0,'DDF Original'!P233))</f>
        <v/>
      </c>
      <c r="H233" s="20" t="str">
        <f t="shared" si="22"/>
        <v/>
      </c>
      <c r="I233" s="25" t="str">
        <f t="shared" si="23"/>
        <v/>
      </c>
      <c r="J233" s="20" t="str">
        <f t="shared" si="24"/>
        <v/>
      </c>
      <c r="K233" s="20" t="str">
        <f t="shared" si="25"/>
        <v/>
      </c>
      <c r="L233" s="20" t="str">
        <f>IF(B233="","",70*'DDF Original'!$Q$4)</f>
        <v/>
      </c>
      <c r="M233" s="20" t="str">
        <f t="shared" si="26"/>
        <v/>
      </c>
      <c r="N233" s="20" t="str">
        <f>IF(AND(OR(B233="",J233&gt;G233,M233&gt;G233),'DDF Original'!L233&lt;&gt; "MI"),G233,IF(M233&gt;J233,M233,J233))</f>
        <v/>
      </c>
    </row>
    <row r="234" spans="2:14" x14ac:dyDescent="0.2">
      <c r="B234" s="19" t="str">
        <f>IF('DDF Original'!B234="","",'DDF Original'!B234)</f>
        <v/>
      </c>
      <c r="C234" s="19" t="e">
        <f t="shared" si="27"/>
        <v>#VALUE!</v>
      </c>
      <c r="D234" s="20" t="str">
        <f>IF('DDF Original'!C234="","",'DDF Original'!C234)</f>
        <v/>
      </c>
      <c r="E234" s="24" t="str">
        <f>IF('DDF Original'!B234="","",IF(TRIM('DDF Original'!I234)="",0,'DDF Original'!I234))</f>
        <v/>
      </c>
      <c r="F234" s="20" t="str">
        <f t="shared" si="21"/>
        <v/>
      </c>
      <c r="G234" s="37" t="str">
        <f>IF('DDF Original'!B234="","",IF(TRIM('DDF Original'!P234)="",0,'DDF Original'!P234))</f>
        <v/>
      </c>
      <c r="H234" s="20" t="str">
        <f t="shared" si="22"/>
        <v/>
      </c>
      <c r="I234" s="25" t="str">
        <f t="shared" si="23"/>
        <v/>
      </c>
      <c r="J234" s="20" t="str">
        <f t="shared" si="24"/>
        <v/>
      </c>
      <c r="K234" s="20" t="str">
        <f t="shared" si="25"/>
        <v/>
      </c>
      <c r="L234" s="20" t="str">
        <f>IF(B234="","",70*'DDF Original'!$Q$4)</f>
        <v/>
      </c>
      <c r="M234" s="20" t="str">
        <f t="shared" si="26"/>
        <v/>
      </c>
      <c r="N234" s="20" t="str">
        <f>IF(AND(OR(B234="",J234&gt;G234,M234&gt;G234),'DDF Original'!L234&lt;&gt; "MI"),G234,IF(M234&gt;J234,M234,J234))</f>
        <v/>
      </c>
    </row>
    <row r="235" spans="2:14" x14ac:dyDescent="0.2">
      <c r="B235" s="19" t="str">
        <f>IF('DDF Original'!B235="","",'DDF Original'!B235)</f>
        <v/>
      </c>
      <c r="C235" s="19" t="e">
        <f t="shared" si="27"/>
        <v>#VALUE!</v>
      </c>
      <c r="D235" s="20" t="str">
        <f>IF('DDF Original'!C235="","",'DDF Original'!C235)</f>
        <v/>
      </c>
      <c r="E235" s="24" t="str">
        <f>IF('DDF Original'!B235="","",IF(TRIM('DDF Original'!I235)="",0,'DDF Original'!I235))</f>
        <v/>
      </c>
      <c r="F235" s="20" t="str">
        <f t="shared" si="21"/>
        <v/>
      </c>
      <c r="G235" s="37" t="str">
        <f>IF('DDF Original'!B235="","",IF(TRIM('DDF Original'!P235)="",0,'DDF Original'!P235))</f>
        <v/>
      </c>
      <c r="H235" s="20" t="str">
        <f t="shared" si="22"/>
        <v/>
      </c>
      <c r="I235" s="25" t="str">
        <f t="shared" si="23"/>
        <v/>
      </c>
      <c r="J235" s="20" t="str">
        <f t="shared" si="24"/>
        <v/>
      </c>
      <c r="K235" s="20" t="str">
        <f t="shared" si="25"/>
        <v/>
      </c>
      <c r="L235" s="20" t="str">
        <f>IF(B235="","",70*'DDF Original'!$Q$4)</f>
        <v/>
      </c>
      <c r="M235" s="20" t="str">
        <f t="shared" si="26"/>
        <v/>
      </c>
      <c r="N235" s="20" t="str">
        <f>IF(AND(OR(B235="",J235&gt;G235,M235&gt;G235),'DDF Original'!L235&lt;&gt; "MI"),G235,IF(M235&gt;J235,M235,J235))</f>
        <v/>
      </c>
    </row>
    <row r="236" spans="2:14" x14ac:dyDescent="0.2">
      <c r="B236" s="19" t="str">
        <f>IF('DDF Original'!B236="","",'DDF Original'!B236)</f>
        <v/>
      </c>
      <c r="C236" s="19" t="e">
        <f t="shared" si="27"/>
        <v>#VALUE!</v>
      </c>
      <c r="D236" s="20" t="str">
        <f>IF('DDF Original'!C236="","",'DDF Original'!C236)</f>
        <v/>
      </c>
      <c r="E236" s="24" t="str">
        <f>IF('DDF Original'!B236="","",IF(TRIM('DDF Original'!I236)="",0,'DDF Original'!I236))</f>
        <v/>
      </c>
      <c r="F236" s="20" t="str">
        <f t="shared" si="21"/>
        <v/>
      </c>
      <c r="G236" s="37" t="str">
        <f>IF('DDF Original'!B236="","",IF(TRIM('DDF Original'!P236)="",0,'DDF Original'!P236))</f>
        <v/>
      </c>
      <c r="H236" s="20" t="str">
        <f t="shared" si="22"/>
        <v/>
      </c>
      <c r="I236" s="25" t="str">
        <f t="shared" si="23"/>
        <v/>
      </c>
      <c r="J236" s="20" t="str">
        <f t="shared" si="24"/>
        <v/>
      </c>
      <c r="K236" s="20" t="str">
        <f t="shared" si="25"/>
        <v/>
      </c>
      <c r="L236" s="20" t="str">
        <f>IF(B236="","",70*'DDF Original'!$Q$4)</f>
        <v/>
      </c>
      <c r="M236" s="20" t="str">
        <f t="shared" si="26"/>
        <v/>
      </c>
      <c r="N236" s="20" t="str">
        <f>IF(AND(OR(B236="",J236&gt;G236,M236&gt;G236),'DDF Original'!L236&lt;&gt; "MI"),G236,IF(M236&gt;J236,M236,J236))</f>
        <v/>
      </c>
    </row>
    <row r="237" spans="2:14" x14ac:dyDescent="0.2">
      <c r="B237" s="19" t="str">
        <f>IF('DDF Original'!B237="","",'DDF Original'!B237)</f>
        <v/>
      </c>
      <c r="C237" s="19" t="e">
        <f t="shared" si="27"/>
        <v>#VALUE!</v>
      </c>
      <c r="D237" s="20" t="str">
        <f>IF('DDF Original'!C237="","",'DDF Original'!C237)</f>
        <v/>
      </c>
      <c r="E237" s="24" t="str">
        <f>IF('DDF Original'!B237="","",IF(TRIM('DDF Original'!I237)="",0,'DDF Original'!I237))</f>
        <v/>
      </c>
      <c r="F237" s="20" t="str">
        <f t="shared" si="21"/>
        <v/>
      </c>
      <c r="G237" s="37" t="str">
        <f>IF('DDF Original'!B237="","",IF(TRIM('DDF Original'!P237)="",0,'DDF Original'!P237))</f>
        <v/>
      </c>
      <c r="H237" s="20" t="str">
        <f t="shared" si="22"/>
        <v/>
      </c>
      <c r="I237" s="25" t="str">
        <f t="shared" si="23"/>
        <v/>
      </c>
      <c r="J237" s="20" t="str">
        <f t="shared" si="24"/>
        <v/>
      </c>
      <c r="K237" s="20" t="str">
        <f t="shared" si="25"/>
        <v/>
      </c>
      <c r="L237" s="20" t="str">
        <f>IF(B237="","",70*'DDF Original'!$Q$4)</f>
        <v/>
      </c>
      <c r="M237" s="20" t="str">
        <f t="shared" si="26"/>
        <v/>
      </c>
      <c r="N237" s="20" t="str">
        <f>IF(AND(OR(B237="",J237&gt;G237,M237&gt;G237),'DDF Original'!L237&lt;&gt; "MI"),G237,IF(M237&gt;J237,M237,J237))</f>
        <v/>
      </c>
    </row>
    <row r="238" spans="2:14" x14ac:dyDescent="0.2">
      <c r="B238" s="19" t="str">
        <f>IF('DDF Original'!B238="","",'DDF Original'!B238)</f>
        <v/>
      </c>
      <c r="C238" s="19" t="e">
        <f t="shared" si="27"/>
        <v>#VALUE!</v>
      </c>
      <c r="D238" s="20" t="str">
        <f>IF('DDF Original'!C238="","",'DDF Original'!C238)</f>
        <v/>
      </c>
      <c r="E238" s="24" t="str">
        <f>IF('DDF Original'!B238="","",IF(TRIM('DDF Original'!I238)="",0,'DDF Original'!I238))</f>
        <v/>
      </c>
      <c r="F238" s="20" t="str">
        <f t="shared" si="21"/>
        <v/>
      </c>
      <c r="G238" s="37" t="str">
        <f>IF('DDF Original'!B238="","",IF(TRIM('DDF Original'!P238)="",0,'DDF Original'!P238))</f>
        <v/>
      </c>
      <c r="H238" s="20" t="str">
        <f t="shared" si="22"/>
        <v/>
      </c>
      <c r="I238" s="25" t="str">
        <f t="shared" si="23"/>
        <v/>
      </c>
      <c r="J238" s="20" t="str">
        <f t="shared" si="24"/>
        <v/>
      </c>
      <c r="K238" s="20" t="str">
        <f t="shared" si="25"/>
        <v/>
      </c>
      <c r="L238" s="20" t="str">
        <f>IF(B238="","",70*'DDF Original'!$Q$4)</f>
        <v/>
      </c>
      <c r="M238" s="20" t="str">
        <f t="shared" si="26"/>
        <v/>
      </c>
      <c r="N238" s="20" t="str">
        <f>IF(AND(OR(B238="",J238&gt;G238,M238&gt;G238),'DDF Original'!L238&lt;&gt; "MI"),G238,IF(M238&gt;J238,M238,J238))</f>
        <v/>
      </c>
    </row>
    <row r="239" spans="2:14" x14ac:dyDescent="0.2">
      <c r="B239" s="19" t="str">
        <f>IF('DDF Original'!B239="","",'DDF Original'!B239)</f>
        <v/>
      </c>
      <c r="C239" s="19" t="e">
        <f t="shared" si="27"/>
        <v>#VALUE!</v>
      </c>
      <c r="D239" s="20" t="str">
        <f>IF('DDF Original'!C239="","",'DDF Original'!C239)</f>
        <v/>
      </c>
      <c r="E239" s="24" t="str">
        <f>IF('DDF Original'!B239="","",IF(TRIM('DDF Original'!I239)="",0,'DDF Original'!I239))</f>
        <v/>
      </c>
      <c r="F239" s="20" t="str">
        <f t="shared" si="21"/>
        <v/>
      </c>
      <c r="G239" s="37" t="str">
        <f>IF('DDF Original'!B239="","",IF(TRIM('DDF Original'!P239)="",0,'DDF Original'!P239))</f>
        <v/>
      </c>
      <c r="H239" s="20" t="str">
        <f t="shared" si="22"/>
        <v/>
      </c>
      <c r="I239" s="25" t="str">
        <f t="shared" si="23"/>
        <v/>
      </c>
      <c r="J239" s="20" t="str">
        <f t="shared" si="24"/>
        <v/>
      </c>
      <c r="K239" s="20" t="str">
        <f t="shared" si="25"/>
        <v/>
      </c>
      <c r="L239" s="20" t="str">
        <f>IF(B239="","",70*'DDF Original'!$Q$4)</f>
        <v/>
      </c>
      <c r="M239" s="20" t="str">
        <f t="shared" si="26"/>
        <v/>
      </c>
      <c r="N239" s="20" t="str">
        <f>IF(AND(OR(B239="",J239&gt;G239,M239&gt;G239),'DDF Original'!L239&lt;&gt; "MI"),G239,IF(M239&gt;J239,M239,J239))</f>
        <v/>
      </c>
    </row>
    <row r="240" spans="2:14" x14ac:dyDescent="0.2">
      <c r="B240" s="19" t="str">
        <f>IF('DDF Original'!B240="","",'DDF Original'!B240)</f>
        <v/>
      </c>
      <c r="C240" s="19" t="e">
        <f t="shared" si="27"/>
        <v>#VALUE!</v>
      </c>
      <c r="D240" s="20" t="str">
        <f>IF('DDF Original'!C240="","",'DDF Original'!C240)</f>
        <v/>
      </c>
      <c r="E240" s="24" t="str">
        <f>IF('DDF Original'!B240="","",IF(TRIM('DDF Original'!I240)="",0,'DDF Original'!I240))</f>
        <v/>
      </c>
      <c r="F240" s="20" t="str">
        <f t="shared" si="21"/>
        <v/>
      </c>
      <c r="G240" s="37" t="str">
        <f>IF('DDF Original'!B240="","",IF(TRIM('DDF Original'!P240)="",0,'DDF Original'!P240))</f>
        <v/>
      </c>
      <c r="H240" s="20" t="str">
        <f t="shared" si="22"/>
        <v/>
      </c>
      <c r="I240" s="25" t="str">
        <f t="shared" si="23"/>
        <v/>
      </c>
      <c r="J240" s="20" t="str">
        <f t="shared" si="24"/>
        <v/>
      </c>
      <c r="K240" s="20" t="str">
        <f t="shared" si="25"/>
        <v/>
      </c>
      <c r="L240" s="20" t="str">
        <f>IF(B240="","",70*'DDF Original'!$Q$4)</f>
        <v/>
      </c>
      <c r="M240" s="20" t="str">
        <f t="shared" si="26"/>
        <v/>
      </c>
      <c r="N240" s="20" t="str">
        <f>IF(AND(OR(B240="",J240&gt;G240,M240&gt;G240),'DDF Original'!L240&lt;&gt; "MI"),G240,IF(M240&gt;J240,M240,J240))</f>
        <v/>
      </c>
    </row>
    <row r="241" spans="2:14" x14ac:dyDescent="0.2">
      <c r="B241" s="19" t="str">
        <f>IF('DDF Original'!B241="","",'DDF Original'!B241)</f>
        <v/>
      </c>
      <c r="C241" s="19" t="e">
        <f t="shared" si="27"/>
        <v>#VALUE!</v>
      </c>
      <c r="D241" s="20" t="str">
        <f>IF('DDF Original'!C241="","",'DDF Original'!C241)</f>
        <v/>
      </c>
      <c r="E241" s="24" t="str">
        <f>IF('DDF Original'!B241="","",IF(TRIM('DDF Original'!I241)="",0,'DDF Original'!I241))</f>
        <v/>
      </c>
      <c r="F241" s="20" t="str">
        <f t="shared" si="21"/>
        <v/>
      </c>
      <c r="G241" s="37" t="str">
        <f>IF('DDF Original'!B241="","",IF(TRIM('DDF Original'!P241)="",0,'DDF Original'!P241))</f>
        <v/>
      </c>
      <c r="H241" s="20" t="str">
        <f t="shared" si="22"/>
        <v/>
      </c>
      <c r="I241" s="25" t="str">
        <f t="shared" si="23"/>
        <v/>
      </c>
      <c r="J241" s="20" t="str">
        <f t="shared" si="24"/>
        <v/>
      </c>
      <c r="K241" s="20" t="str">
        <f t="shared" si="25"/>
        <v/>
      </c>
      <c r="L241" s="20" t="str">
        <f>IF(B241="","",70*'DDF Original'!$Q$4)</f>
        <v/>
      </c>
      <c r="M241" s="20" t="str">
        <f t="shared" si="26"/>
        <v/>
      </c>
      <c r="N241" s="20" t="str">
        <f>IF(AND(OR(B241="",J241&gt;G241,M241&gt;G241),'DDF Original'!L241&lt;&gt; "MI"),G241,IF(M241&gt;J241,M241,J241))</f>
        <v/>
      </c>
    </row>
    <row r="242" spans="2:14" x14ac:dyDescent="0.2">
      <c r="B242" s="19" t="str">
        <f>IF('DDF Original'!B242="","",'DDF Original'!B242)</f>
        <v/>
      </c>
      <c r="C242" s="19" t="e">
        <f t="shared" si="27"/>
        <v>#VALUE!</v>
      </c>
      <c r="D242" s="20" t="str">
        <f>IF('DDF Original'!C242="","",'DDF Original'!C242)</f>
        <v/>
      </c>
      <c r="E242" s="24" t="str">
        <f>IF('DDF Original'!B242="","",IF(TRIM('DDF Original'!I242)="",0,'DDF Original'!I242))</f>
        <v/>
      </c>
      <c r="F242" s="20" t="str">
        <f t="shared" si="21"/>
        <v/>
      </c>
      <c r="G242" s="37" t="str">
        <f>IF('DDF Original'!B242="","",IF(TRIM('DDF Original'!P242)="",0,'DDF Original'!P242))</f>
        <v/>
      </c>
      <c r="H242" s="20" t="str">
        <f t="shared" si="22"/>
        <v/>
      </c>
      <c r="I242" s="25" t="str">
        <f t="shared" si="23"/>
        <v/>
      </c>
      <c r="J242" s="20" t="str">
        <f t="shared" si="24"/>
        <v/>
      </c>
      <c r="K242" s="20" t="str">
        <f t="shared" si="25"/>
        <v/>
      </c>
      <c r="L242" s="20" t="str">
        <f>IF(B242="","",70*'DDF Original'!$Q$4)</f>
        <v/>
      </c>
      <c r="M242" s="20" t="str">
        <f t="shared" si="26"/>
        <v/>
      </c>
      <c r="N242" s="20" t="str">
        <f>IF(AND(OR(B242="",J242&gt;G242,M242&gt;G242),'DDF Original'!L242&lt;&gt; "MI"),G242,IF(M242&gt;J242,M242,J242))</f>
        <v/>
      </c>
    </row>
    <row r="243" spans="2:14" x14ac:dyDescent="0.2">
      <c r="B243" s="19" t="str">
        <f>IF('DDF Original'!B243="","",'DDF Original'!B243)</f>
        <v/>
      </c>
      <c r="C243" s="19" t="e">
        <f t="shared" si="27"/>
        <v>#VALUE!</v>
      </c>
      <c r="D243" s="20" t="str">
        <f>IF('DDF Original'!C243="","",'DDF Original'!C243)</f>
        <v/>
      </c>
      <c r="E243" s="24" t="str">
        <f>IF('DDF Original'!B243="","",IF(TRIM('DDF Original'!I243)="",0,'DDF Original'!I243))</f>
        <v/>
      </c>
      <c r="F243" s="20" t="str">
        <f t="shared" si="21"/>
        <v/>
      </c>
      <c r="G243" s="37" t="str">
        <f>IF('DDF Original'!B243="","",IF(TRIM('DDF Original'!P243)="",0,'DDF Original'!P243))</f>
        <v/>
      </c>
      <c r="H243" s="20" t="str">
        <f t="shared" si="22"/>
        <v/>
      </c>
      <c r="I243" s="25" t="str">
        <f t="shared" si="23"/>
        <v/>
      </c>
      <c r="J243" s="20" t="str">
        <f t="shared" si="24"/>
        <v/>
      </c>
      <c r="K243" s="20" t="str">
        <f t="shared" si="25"/>
        <v/>
      </c>
      <c r="L243" s="20" t="str">
        <f>IF(B243="","",70*'DDF Original'!$Q$4)</f>
        <v/>
      </c>
      <c r="M243" s="20" t="str">
        <f t="shared" si="26"/>
        <v/>
      </c>
      <c r="N243" s="20" t="str">
        <f>IF(AND(OR(B243="",J243&gt;G243,M243&gt;G243),'DDF Original'!L243&lt;&gt; "MI"),G243,IF(M243&gt;J243,M243,J243))</f>
        <v/>
      </c>
    </row>
    <row r="244" spans="2:14" x14ac:dyDescent="0.2">
      <c r="B244" s="19" t="str">
        <f>IF('DDF Original'!B244="","",'DDF Original'!B244)</f>
        <v/>
      </c>
      <c r="C244" s="19" t="e">
        <f t="shared" si="27"/>
        <v>#VALUE!</v>
      </c>
      <c r="D244" s="20" t="str">
        <f>IF('DDF Original'!C244="","",'DDF Original'!C244)</f>
        <v/>
      </c>
      <c r="E244" s="24" t="str">
        <f>IF('DDF Original'!B244="","",IF(TRIM('DDF Original'!I244)="",0,'DDF Original'!I244))</f>
        <v/>
      </c>
      <c r="F244" s="20" t="str">
        <f t="shared" si="21"/>
        <v/>
      </c>
      <c r="G244" s="37" t="str">
        <f>IF('DDF Original'!B244="","",IF(TRIM('DDF Original'!P244)="",0,'DDF Original'!P244))</f>
        <v/>
      </c>
      <c r="H244" s="20" t="str">
        <f t="shared" si="22"/>
        <v/>
      </c>
      <c r="I244" s="25" t="str">
        <f t="shared" si="23"/>
        <v/>
      </c>
      <c r="J244" s="20" t="str">
        <f t="shared" si="24"/>
        <v/>
      </c>
      <c r="K244" s="20" t="str">
        <f t="shared" si="25"/>
        <v/>
      </c>
      <c r="L244" s="20" t="str">
        <f>IF(B244="","",70*'DDF Original'!$Q$4)</f>
        <v/>
      </c>
      <c r="M244" s="20" t="str">
        <f t="shared" si="26"/>
        <v/>
      </c>
      <c r="N244" s="20" t="str">
        <f>IF(AND(OR(B244="",J244&gt;G244,M244&gt;G244),'DDF Original'!L244&lt;&gt; "MI"),G244,IF(M244&gt;J244,M244,J244))</f>
        <v/>
      </c>
    </row>
    <row r="245" spans="2:14" x14ac:dyDescent="0.2">
      <c r="B245" s="19" t="str">
        <f>IF('DDF Original'!B245="","",'DDF Original'!B245)</f>
        <v/>
      </c>
      <c r="C245" s="19" t="e">
        <f t="shared" si="27"/>
        <v>#VALUE!</v>
      </c>
      <c r="D245" s="20" t="str">
        <f>IF('DDF Original'!C245="","",'DDF Original'!C245)</f>
        <v/>
      </c>
      <c r="E245" s="24" t="str">
        <f>IF('DDF Original'!B245="","",IF(TRIM('DDF Original'!I245)="",0,'DDF Original'!I245))</f>
        <v/>
      </c>
      <c r="F245" s="20" t="str">
        <f t="shared" si="21"/>
        <v/>
      </c>
      <c r="G245" s="37" t="str">
        <f>IF('DDF Original'!B245="","",IF(TRIM('DDF Original'!P245)="",0,'DDF Original'!P245))</f>
        <v/>
      </c>
      <c r="H245" s="20" t="str">
        <f t="shared" si="22"/>
        <v/>
      </c>
      <c r="I245" s="25" t="str">
        <f t="shared" si="23"/>
        <v/>
      </c>
      <c r="J245" s="20" t="str">
        <f t="shared" si="24"/>
        <v/>
      </c>
      <c r="K245" s="20" t="str">
        <f t="shared" si="25"/>
        <v/>
      </c>
      <c r="L245" s="20" t="str">
        <f>IF(B245="","",70*'DDF Original'!$Q$4)</f>
        <v/>
      </c>
      <c r="M245" s="20" t="str">
        <f t="shared" si="26"/>
        <v/>
      </c>
      <c r="N245" s="20" t="str">
        <f>IF(AND(OR(B245="",J245&gt;G245,M245&gt;G245),'DDF Original'!L245&lt;&gt; "MI"),G245,IF(M245&gt;J245,M245,J245))</f>
        <v/>
      </c>
    </row>
    <row r="246" spans="2:14" x14ac:dyDescent="0.2">
      <c r="B246" s="19" t="str">
        <f>IF('DDF Original'!B246="","",'DDF Original'!B246)</f>
        <v/>
      </c>
      <c r="C246" s="19" t="e">
        <f t="shared" si="27"/>
        <v>#VALUE!</v>
      </c>
      <c r="D246" s="20" t="str">
        <f>IF('DDF Original'!C246="","",'DDF Original'!C246)</f>
        <v/>
      </c>
      <c r="E246" s="24" t="str">
        <f>IF('DDF Original'!B246="","",IF(TRIM('DDF Original'!I246)="",0,'DDF Original'!I246))</f>
        <v/>
      </c>
      <c r="F246" s="20" t="str">
        <f t="shared" si="21"/>
        <v/>
      </c>
      <c r="G246" s="37" t="str">
        <f>IF('DDF Original'!B246="","",IF(TRIM('DDF Original'!P246)="",0,'DDF Original'!P246))</f>
        <v/>
      </c>
      <c r="H246" s="20" t="str">
        <f t="shared" si="22"/>
        <v/>
      </c>
      <c r="I246" s="25" t="str">
        <f t="shared" si="23"/>
        <v/>
      </c>
      <c r="J246" s="20" t="str">
        <f t="shared" si="24"/>
        <v/>
      </c>
      <c r="K246" s="20" t="str">
        <f t="shared" si="25"/>
        <v/>
      </c>
      <c r="L246" s="20" t="str">
        <f>IF(B246="","",70*'DDF Original'!$Q$4)</f>
        <v/>
      </c>
      <c r="M246" s="20" t="str">
        <f t="shared" si="26"/>
        <v/>
      </c>
      <c r="N246" s="20" t="str">
        <f>IF(AND(OR(B246="",J246&gt;G246,M246&gt;G246),'DDF Original'!L246&lt;&gt; "MI"),G246,IF(M246&gt;J246,M246,J246))</f>
        <v/>
      </c>
    </row>
    <row r="247" spans="2:14" x14ac:dyDescent="0.2">
      <c r="B247" s="19" t="str">
        <f>IF('DDF Original'!B247="","",'DDF Original'!B247)</f>
        <v/>
      </c>
      <c r="C247" s="19" t="e">
        <f t="shared" si="27"/>
        <v>#VALUE!</v>
      </c>
      <c r="D247" s="20" t="str">
        <f>IF('DDF Original'!C247="","",'DDF Original'!C247)</f>
        <v/>
      </c>
      <c r="E247" s="24" t="str">
        <f>IF('DDF Original'!B247="","",IF(TRIM('DDF Original'!I247)="",0,'DDF Original'!I247))</f>
        <v/>
      </c>
      <c r="F247" s="20" t="str">
        <f t="shared" si="21"/>
        <v/>
      </c>
      <c r="G247" s="37" t="str">
        <f>IF('DDF Original'!B247="","",IF(TRIM('DDF Original'!P247)="",0,'DDF Original'!P247))</f>
        <v/>
      </c>
      <c r="H247" s="20" t="str">
        <f t="shared" si="22"/>
        <v/>
      </c>
      <c r="I247" s="25" t="str">
        <f t="shared" si="23"/>
        <v/>
      </c>
      <c r="J247" s="20" t="str">
        <f t="shared" si="24"/>
        <v/>
      </c>
      <c r="K247" s="20" t="str">
        <f t="shared" si="25"/>
        <v/>
      </c>
      <c r="L247" s="20" t="str">
        <f>IF(B247="","",70*'DDF Original'!$Q$4)</f>
        <v/>
      </c>
      <c r="M247" s="20" t="str">
        <f t="shared" si="26"/>
        <v/>
      </c>
      <c r="N247" s="20" t="str">
        <f>IF(AND(OR(B247="",J247&gt;G247,M247&gt;G247),'DDF Original'!L247&lt;&gt; "MI"),G247,IF(M247&gt;J247,M247,J247))</f>
        <v/>
      </c>
    </row>
    <row r="248" spans="2:14" x14ac:dyDescent="0.2">
      <c r="B248" s="19" t="str">
        <f>IF('DDF Original'!B248="","",'DDF Original'!B248)</f>
        <v/>
      </c>
      <c r="C248" s="19" t="e">
        <f t="shared" si="27"/>
        <v>#VALUE!</v>
      </c>
      <c r="D248" s="20" t="str">
        <f>IF('DDF Original'!C248="","",'DDF Original'!C248)</f>
        <v/>
      </c>
      <c r="E248" s="24" t="str">
        <f>IF('DDF Original'!B248="","",IF(TRIM('DDF Original'!I248)="",0,'DDF Original'!I248))</f>
        <v/>
      </c>
      <c r="F248" s="20" t="str">
        <f t="shared" si="21"/>
        <v/>
      </c>
      <c r="G248" s="37" t="str">
        <f>IF('DDF Original'!B248="","",IF(TRIM('DDF Original'!P248)="",0,'DDF Original'!P248))</f>
        <v/>
      </c>
      <c r="H248" s="20" t="str">
        <f t="shared" si="22"/>
        <v/>
      </c>
      <c r="I248" s="25" t="str">
        <f t="shared" si="23"/>
        <v/>
      </c>
      <c r="J248" s="20" t="str">
        <f t="shared" si="24"/>
        <v/>
      </c>
      <c r="K248" s="20" t="str">
        <f t="shared" si="25"/>
        <v/>
      </c>
      <c r="L248" s="20" t="str">
        <f>IF(B248="","",70*'DDF Original'!$Q$4)</f>
        <v/>
      </c>
      <c r="M248" s="20" t="str">
        <f t="shared" si="26"/>
        <v/>
      </c>
      <c r="N248" s="20" t="str">
        <f>IF(AND(OR(B248="",J248&gt;G248,M248&gt;G248),'DDF Original'!L248&lt;&gt; "MI"),G248,IF(M248&gt;J248,M248,J248))</f>
        <v/>
      </c>
    </row>
    <row r="249" spans="2:14" x14ac:dyDescent="0.2">
      <c r="B249" s="19" t="str">
        <f>IF('DDF Original'!B249="","",'DDF Original'!B249)</f>
        <v/>
      </c>
      <c r="C249" s="19" t="e">
        <f t="shared" si="27"/>
        <v>#VALUE!</v>
      </c>
      <c r="D249" s="20" t="str">
        <f>IF('DDF Original'!C249="","",'DDF Original'!C249)</f>
        <v/>
      </c>
      <c r="E249" s="24" t="str">
        <f>IF('DDF Original'!B249="","",IF(TRIM('DDF Original'!I249)="",0,'DDF Original'!I249))</f>
        <v/>
      </c>
      <c r="F249" s="20" t="str">
        <f t="shared" si="21"/>
        <v/>
      </c>
      <c r="G249" s="37" t="str">
        <f>IF('DDF Original'!B249="","",IF(TRIM('DDF Original'!P249)="",0,'DDF Original'!P249))</f>
        <v/>
      </c>
      <c r="H249" s="20" t="str">
        <f t="shared" si="22"/>
        <v/>
      </c>
      <c r="I249" s="25" t="str">
        <f t="shared" si="23"/>
        <v/>
      </c>
      <c r="J249" s="20" t="str">
        <f t="shared" si="24"/>
        <v/>
      </c>
      <c r="K249" s="20" t="str">
        <f t="shared" si="25"/>
        <v/>
      </c>
      <c r="L249" s="20" t="str">
        <f>IF(B249="","",70*'DDF Original'!$Q$4)</f>
        <v/>
      </c>
      <c r="M249" s="20" t="str">
        <f t="shared" si="26"/>
        <v/>
      </c>
      <c r="N249" s="20" t="str">
        <f>IF(AND(OR(B249="",J249&gt;G249,M249&gt;G249),'DDF Original'!L249&lt;&gt; "MI"),G249,IF(M249&gt;J249,M249,J249))</f>
        <v/>
      </c>
    </row>
    <row r="250" spans="2:14" x14ac:dyDescent="0.2">
      <c r="B250" s="19" t="str">
        <f>IF('DDF Original'!B250="","",'DDF Original'!B250)</f>
        <v/>
      </c>
      <c r="C250" s="19" t="e">
        <f t="shared" si="27"/>
        <v>#VALUE!</v>
      </c>
      <c r="D250" s="20" t="str">
        <f>IF('DDF Original'!C250="","",'DDF Original'!C250)</f>
        <v/>
      </c>
      <c r="E250" s="24" t="str">
        <f>IF('DDF Original'!B250="","",IF(TRIM('DDF Original'!I250)="",0,'DDF Original'!I250))</f>
        <v/>
      </c>
      <c r="F250" s="20" t="str">
        <f t="shared" si="21"/>
        <v/>
      </c>
      <c r="G250" s="37" t="str">
        <f>IF('DDF Original'!B250="","",IF(TRIM('DDF Original'!P250)="",0,'DDF Original'!P250))</f>
        <v/>
      </c>
      <c r="H250" s="20" t="str">
        <f t="shared" si="22"/>
        <v/>
      </c>
      <c r="I250" s="25" t="str">
        <f t="shared" si="23"/>
        <v/>
      </c>
      <c r="J250" s="20" t="str">
        <f t="shared" si="24"/>
        <v/>
      </c>
      <c r="K250" s="20" t="str">
        <f t="shared" si="25"/>
        <v/>
      </c>
      <c r="L250" s="20" t="str">
        <f>IF(B250="","",70*'DDF Original'!$Q$4)</f>
        <v/>
      </c>
      <c r="M250" s="20" t="str">
        <f t="shared" si="26"/>
        <v/>
      </c>
      <c r="N250" s="20" t="str">
        <f>IF(AND(OR(B250="",J250&gt;G250,M250&gt;G250),'DDF Original'!L250&lt;&gt; "MI"),G250,IF(M250&gt;J250,M250,J250))</f>
        <v/>
      </c>
    </row>
    <row r="251" spans="2:14" x14ac:dyDescent="0.2">
      <c r="B251" s="19" t="str">
        <f>IF('DDF Original'!B251="","",'DDF Original'!B251)</f>
        <v/>
      </c>
      <c r="C251" s="19" t="e">
        <f t="shared" si="27"/>
        <v>#VALUE!</v>
      </c>
      <c r="D251" s="20" t="str">
        <f>IF('DDF Original'!C251="","",'DDF Original'!C251)</f>
        <v/>
      </c>
      <c r="E251" s="24" t="str">
        <f>IF('DDF Original'!B251="","",IF(TRIM('DDF Original'!I251)="",0,'DDF Original'!I251))</f>
        <v/>
      </c>
      <c r="F251" s="20" t="str">
        <f t="shared" si="21"/>
        <v/>
      </c>
      <c r="G251" s="37" t="str">
        <f>IF('DDF Original'!B251="","",IF(TRIM('DDF Original'!P251)="",0,'DDF Original'!P251))</f>
        <v/>
      </c>
      <c r="H251" s="20" t="str">
        <f t="shared" si="22"/>
        <v/>
      </c>
      <c r="I251" s="25" t="str">
        <f t="shared" si="23"/>
        <v/>
      </c>
      <c r="J251" s="20" t="str">
        <f t="shared" si="24"/>
        <v/>
      </c>
      <c r="K251" s="20" t="str">
        <f t="shared" si="25"/>
        <v/>
      </c>
      <c r="L251" s="20" t="str">
        <f>IF(B251="","",70*'DDF Original'!$Q$4)</f>
        <v/>
      </c>
      <c r="M251" s="20" t="str">
        <f t="shared" si="26"/>
        <v/>
      </c>
      <c r="N251" s="20" t="str">
        <f>IF(AND(OR(B251="",J251&gt;G251,M251&gt;G251),'DDF Original'!L251&lt;&gt; "MI"),G251,IF(M251&gt;J251,M251,J251))</f>
        <v/>
      </c>
    </row>
    <row r="252" spans="2:14" x14ac:dyDescent="0.2">
      <c r="B252" s="19" t="str">
        <f>IF('DDF Original'!B252="","",'DDF Original'!B252)</f>
        <v/>
      </c>
      <c r="C252" s="19" t="e">
        <f t="shared" si="27"/>
        <v>#VALUE!</v>
      </c>
      <c r="D252" s="20" t="str">
        <f>IF('DDF Original'!C252="","",'DDF Original'!C252)</f>
        <v/>
      </c>
      <c r="E252" s="24" t="str">
        <f>IF('DDF Original'!B252="","",IF(TRIM('DDF Original'!I252)="",0,'DDF Original'!I252))</f>
        <v/>
      </c>
      <c r="F252" s="20" t="str">
        <f t="shared" si="21"/>
        <v/>
      </c>
      <c r="G252" s="37" t="str">
        <f>IF('DDF Original'!B252="","",IF(TRIM('DDF Original'!P252)="",0,'DDF Original'!P252))</f>
        <v/>
      </c>
      <c r="H252" s="20" t="str">
        <f t="shared" si="22"/>
        <v/>
      </c>
      <c r="I252" s="25" t="str">
        <f t="shared" si="23"/>
        <v/>
      </c>
      <c r="J252" s="20" t="str">
        <f t="shared" si="24"/>
        <v/>
      </c>
      <c r="K252" s="20" t="str">
        <f t="shared" si="25"/>
        <v/>
      </c>
      <c r="L252" s="20" t="str">
        <f>IF(B252="","",70*'DDF Original'!$Q$4)</f>
        <v/>
      </c>
      <c r="M252" s="20" t="str">
        <f t="shared" si="26"/>
        <v/>
      </c>
      <c r="N252" s="20" t="str">
        <f>IF(AND(OR(B252="",J252&gt;G252,M252&gt;G252),'DDF Original'!L252&lt;&gt; "MI"),G252,IF(M252&gt;J252,M252,J252))</f>
        <v/>
      </c>
    </row>
    <row r="253" spans="2:14" x14ac:dyDescent="0.2">
      <c r="B253" s="19" t="str">
        <f>IF('DDF Original'!B253="","",'DDF Original'!B253)</f>
        <v/>
      </c>
      <c r="C253" s="19" t="e">
        <f t="shared" si="27"/>
        <v>#VALUE!</v>
      </c>
      <c r="D253" s="20" t="str">
        <f>IF('DDF Original'!C253="","",'DDF Original'!C253)</f>
        <v/>
      </c>
      <c r="E253" s="24" t="str">
        <f>IF('DDF Original'!B253="","",IF(TRIM('DDF Original'!I253)="",0,'DDF Original'!I253))</f>
        <v/>
      </c>
      <c r="F253" s="20" t="str">
        <f t="shared" si="21"/>
        <v/>
      </c>
      <c r="G253" s="37" t="str">
        <f>IF('DDF Original'!B253="","",IF(TRIM('DDF Original'!P253)="",0,'DDF Original'!P253))</f>
        <v/>
      </c>
      <c r="H253" s="20" t="str">
        <f t="shared" si="22"/>
        <v/>
      </c>
      <c r="I253" s="25" t="str">
        <f t="shared" si="23"/>
        <v/>
      </c>
      <c r="J253" s="20" t="str">
        <f t="shared" si="24"/>
        <v/>
      </c>
      <c r="K253" s="20" t="str">
        <f t="shared" si="25"/>
        <v/>
      </c>
      <c r="L253" s="20" t="str">
        <f>IF(B253="","",70*'DDF Original'!$Q$4)</f>
        <v/>
      </c>
      <c r="M253" s="20" t="str">
        <f t="shared" si="26"/>
        <v/>
      </c>
      <c r="N253" s="20" t="str">
        <f>IF(AND(OR(B253="",J253&gt;G253,M253&gt;G253),'DDF Original'!L253&lt;&gt; "MI"),G253,IF(M253&gt;J253,M253,J253))</f>
        <v/>
      </c>
    </row>
    <row r="254" spans="2:14" x14ac:dyDescent="0.2">
      <c r="B254" s="19" t="str">
        <f>IF('DDF Original'!B254="","",'DDF Original'!B254)</f>
        <v/>
      </c>
      <c r="C254" s="19" t="e">
        <f t="shared" si="27"/>
        <v>#VALUE!</v>
      </c>
      <c r="D254" s="20" t="str">
        <f>IF('DDF Original'!C254="","",'DDF Original'!C254)</f>
        <v/>
      </c>
      <c r="E254" s="24" t="str">
        <f>IF('DDF Original'!B254="","",IF(TRIM('DDF Original'!I254)="",0,'DDF Original'!I254))</f>
        <v/>
      </c>
      <c r="F254" s="20" t="str">
        <f t="shared" si="21"/>
        <v/>
      </c>
      <c r="G254" s="37" t="str">
        <f>IF('DDF Original'!B254="","",IF(TRIM('DDF Original'!P254)="",0,'DDF Original'!P254))</f>
        <v/>
      </c>
      <c r="H254" s="20" t="str">
        <f t="shared" si="22"/>
        <v/>
      </c>
      <c r="I254" s="25" t="str">
        <f t="shared" si="23"/>
        <v/>
      </c>
      <c r="J254" s="20" t="str">
        <f t="shared" si="24"/>
        <v/>
      </c>
      <c r="K254" s="20" t="str">
        <f t="shared" si="25"/>
        <v/>
      </c>
      <c r="L254" s="20" t="str">
        <f>IF(B254="","",70*'DDF Original'!$Q$4)</f>
        <v/>
      </c>
      <c r="M254" s="20" t="str">
        <f t="shared" si="26"/>
        <v/>
      </c>
      <c r="N254" s="20" t="str">
        <f>IF(AND(OR(B254="",J254&gt;G254,M254&gt;G254),'DDF Original'!L254&lt;&gt; "MI"),G254,IF(M254&gt;J254,M254,J254))</f>
        <v/>
      </c>
    </row>
    <row r="255" spans="2:14" x14ac:dyDescent="0.2">
      <c r="B255" s="19" t="str">
        <f>IF('DDF Original'!B255="","",'DDF Original'!B255)</f>
        <v/>
      </c>
      <c r="C255" s="19" t="e">
        <f t="shared" si="27"/>
        <v>#VALUE!</v>
      </c>
      <c r="D255" s="20" t="str">
        <f>IF('DDF Original'!C255="","",'DDF Original'!C255)</f>
        <v/>
      </c>
      <c r="E255" s="24" t="str">
        <f>IF('DDF Original'!B255="","",IF(TRIM('DDF Original'!I255)="",0,'DDF Original'!I255))</f>
        <v/>
      </c>
      <c r="F255" s="20" t="str">
        <f t="shared" si="21"/>
        <v/>
      </c>
      <c r="G255" s="37" t="str">
        <f>IF('DDF Original'!B255="","",IF(TRIM('DDF Original'!P255)="",0,'DDF Original'!P255))</f>
        <v/>
      </c>
      <c r="H255" s="20" t="str">
        <f t="shared" si="22"/>
        <v/>
      </c>
      <c r="I255" s="25" t="str">
        <f t="shared" si="23"/>
        <v/>
      </c>
      <c r="J255" s="20" t="str">
        <f t="shared" si="24"/>
        <v/>
      </c>
      <c r="K255" s="20" t="str">
        <f t="shared" si="25"/>
        <v/>
      </c>
      <c r="L255" s="20" t="str">
        <f>IF(B255="","",70*'DDF Original'!$Q$4)</f>
        <v/>
      </c>
      <c r="M255" s="20" t="str">
        <f t="shared" si="26"/>
        <v/>
      </c>
      <c r="N255" s="20" t="str">
        <f>IF(AND(OR(B255="",J255&gt;G255,M255&gt;G255),'DDF Original'!L255&lt;&gt; "MI"),G255,IF(M255&gt;J255,M255,J255))</f>
        <v/>
      </c>
    </row>
    <row r="256" spans="2:14" x14ac:dyDescent="0.2">
      <c r="B256" s="19" t="str">
        <f>IF('DDF Original'!B256="","",'DDF Original'!B256)</f>
        <v/>
      </c>
      <c r="C256" s="19" t="e">
        <f t="shared" si="27"/>
        <v>#VALUE!</v>
      </c>
      <c r="D256" s="20" t="str">
        <f>IF('DDF Original'!C256="","",'DDF Original'!C256)</f>
        <v/>
      </c>
      <c r="E256" s="24" t="str">
        <f>IF('DDF Original'!B256="","",IF(TRIM('DDF Original'!I256)="",0,'DDF Original'!I256))</f>
        <v/>
      </c>
      <c r="F256" s="20" t="str">
        <f t="shared" si="21"/>
        <v/>
      </c>
      <c r="G256" s="37" t="str">
        <f>IF('DDF Original'!B256="","",IF(TRIM('DDF Original'!P256)="",0,'DDF Original'!P256))</f>
        <v/>
      </c>
      <c r="H256" s="20" t="str">
        <f t="shared" si="22"/>
        <v/>
      </c>
      <c r="I256" s="25" t="str">
        <f t="shared" si="23"/>
        <v/>
      </c>
      <c r="J256" s="20" t="str">
        <f t="shared" si="24"/>
        <v/>
      </c>
      <c r="K256" s="20" t="str">
        <f t="shared" si="25"/>
        <v/>
      </c>
      <c r="L256" s="20" t="str">
        <f>IF(B256="","",70*'DDF Original'!$Q$4)</f>
        <v/>
      </c>
      <c r="M256" s="20" t="str">
        <f t="shared" si="26"/>
        <v/>
      </c>
      <c r="N256" s="20" t="str">
        <f>IF(AND(OR(B256="",J256&gt;G256,M256&gt;G256),'DDF Original'!L256&lt;&gt; "MI"),G256,IF(M256&gt;J256,M256,J256))</f>
        <v/>
      </c>
    </row>
    <row r="257" spans="2:14" x14ac:dyDescent="0.2">
      <c r="B257" s="19" t="str">
        <f>IF('DDF Original'!B257="","",'DDF Original'!B257)</f>
        <v/>
      </c>
      <c r="C257" s="19" t="e">
        <f t="shared" si="27"/>
        <v>#VALUE!</v>
      </c>
      <c r="D257" s="20" t="str">
        <f>IF('DDF Original'!C257="","",'DDF Original'!C257)</f>
        <v/>
      </c>
      <c r="E257" s="24" t="str">
        <f>IF('DDF Original'!B257="","",IF(TRIM('DDF Original'!I257)="",0,'DDF Original'!I257))</f>
        <v/>
      </c>
      <c r="F257" s="20" t="str">
        <f t="shared" si="21"/>
        <v/>
      </c>
      <c r="G257" s="37" t="str">
        <f>IF('DDF Original'!B257="","",IF(TRIM('DDF Original'!P257)="",0,'DDF Original'!P257))</f>
        <v/>
      </c>
      <c r="H257" s="20" t="str">
        <f t="shared" si="22"/>
        <v/>
      </c>
      <c r="I257" s="25" t="str">
        <f t="shared" si="23"/>
        <v/>
      </c>
      <c r="J257" s="20" t="str">
        <f t="shared" si="24"/>
        <v/>
      </c>
      <c r="K257" s="20" t="str">
        <f t="shared" si="25"/>
        <v/>
      </c>
      <c r="L257" s="20" t="str">
        <f>IF(B257="","",70*'DDF Original'!$Q$4)</f>
        <v/>
      </c>
      <c r="M257" s="20" t="str">
        <f t="shared" si="26"/>
        <v/>
      </c>
      <c r="N257" s="20" t="str">
        <f>IF(AND(OR(B257="",J257&gt;G257,M257&gt;G257),'DDF Original'!L257&lt;&gt; "MI"),G257,IF(M257&gt;J257,M257,J257))</f>
        <v/>
      </c>
    </row>
    <row r="258" spans="2:14" x14ac:dyDescent="0.2">
      <c r="B258" s="19" t="str">
        <f>IF('DDF Original'!B258="","",'DDF Original'!B258)</f>
        <v/>
      </c>
      <c r="C258" s="19" t="e">
        <f t="shared" si="27"/>
        <v>#VALUE!</v>
      </c>
      <c r="D258" s="20" t="str">
        <f>IF('DDF Original'!C258="","",'DDF Original'!C258)</f>
        <v/>
      </c>
      <c r="E258" s="24" t="str">
        <f>IF('DDF Original'!B258="","",IF(TRIM('DDF Original'!I258)="",0,'DDF Original'!I258))</f>
        <v/>
      </c>
      <c r="F258" s="20" t="str">
        <f t="shared" si="21"/>
        <v/>
      </c>
      <c r="G258" s="37" t="str">
        <f>IF('DDF Original'!B258="","",IF(TRIM('DDF Original'!P258)="",0,'DDF Original'!P258))</f>
        <v/>
      </c>
      <c r="H258" s="20" t="str">
        <f t="shared" si="22"/>
        <v/>
      </c>
      <c r="I258" s="25" t="str">
        <f t="shared" si="23"/>
        <v/>
      </c>
      <c r="J258" s="20" t="str">
        <f t="shared" si="24"/>
        <v/>
      </c>
      <c r="K258" s="20" t="str">
        <f t="shared" si="25"/>
        <v/>
      </c>
      <c r="L258" s="20" t="str">
        <f>IF(B258="","",70*'DDF Original'!$Q$4)</f>
        <v/>
      </c>
      <c r="M258" s="20" t="str">
        <f t="shared" si="26"/>
        <v/>
      </c>
      <c r="N258" s="20" t="str">
        <f>IF(AND(OR(B258="",J258&gt;G258,M258&gt;G258),'DDF Original'!L258&lt;&gt; "MI"),G258,IF(M258&gt;J258,M258,J258))</f>
        <v/>
      </c>
    </row>
    <row r="259" spans="2:14" x14ac:dyDescent="0.2">
      <c r="B259" s="19" t="str">
        <f>IF('DDF Original'!B259="","",'DDF Original'!B259)</f>
        <v/>
      </c>
      <c r="C259" s="19" t="e">
        <f t="shared" si="27"/>
        <v>#VALUE!</v>
      </c>
      <c r="D259" s="20" t="str">
        <f>IF('DDF Original'!C259="","",'DDF Original'!C259)</f>
        <v/>
      </c>
      <c r="E259" s="24" t="str">
        <f>IF('DDF Original'!B259="","",IF(TRIM('DDF Original'!I259)="",0,'DDF Original'!I259))</f>
        <v/>
      </c>
      <c r="F259" s="20" t="str">
        <f t="shared" si="21"/>
        <v/>
      </c>
      <c r="G259" s="37" t="str">
        <f>IF('DDF Original'!B259="","",IF(TRIM('DDF Original'!P259)="",0,'DDF Original'!P259))</f>
        <v/>
      </c>
      <c r="H259" s="20" t="str">
        <f t="shared" si="22"/>
        <v/>
      </c>
      <c r="I259" s="25" t="str">
        <f t="shared" si="23"/>
        <v/>
      </c>
      <c r="J259" s="20" t="str">
        <f t="shared" si="24"/>
        <v/>
      </c>
      <c r="K259" s="20" t="str">
        <f t="shared" si="25"/>
        <v/>
      </c>
      <c r="L259" s="20" t="str">
        <f>IF(B259="","",70*'DDF Original'!$Q$4)</f>
        <v/>
      </c>
      <c r="M259" s="20" t="str">
        <f t="shared" si="26"/>
        <v/>
      </c>
      <c r="N259" s="20" t="str">
        <f>IF(AND(OR(B259="",J259&gt;G259,M259&gt;G259),'DDF Original'!L259&lt;&gt; "MI"),G259,IF(M259&gt;J259,M259,J259))</f>
        <v/>
      </c>
    </row>
    <row r="260" spans="2:14" x14ac:dyDescent="0.2">
      <c r="B260" s="19" t="str">
        <f>IF('DDF Original'!B260="","",'DDF Original'!B260)</f>
        <v/>
      </c>
      <c r="C260" s="19" t="e">
        <f t="shared" si="27"/>
        <v>#VALUE!</v>
      </c>
      <c r="D260" s="20" t="str">
        <f>IF('DDF Original'!C260="","",'DDF Original'!C260)</f>
        <v/>
      </c>
      <c r="E260" s="24" t="str">
        <f>IF('DDF Original'!B260="","",IF(TRIM('DDF Original'!I260)="",0,'DDF Original'!I260))</f>
        <v/>
      </c>
      <c r="F260" s="20" t="str">
        <f t="shared" si="21"/>
        <v/>
      </c>
      <c r="G260" s="37" t="str">
        <f>IF('DDF Original'!B260="","",IF(TRIM('DDF Original'!P260)="",0,'DDF Original'!P260))</f>
        <v/>
      </c>
      <c r="H260" s="20" t="str">
        <f t="shared" si="22"/>
        <v/>
      </c>
      <c r="I260" s="25" t="str">
        <f t="shared" si="23"/>
        <v/>
      </c>
      <c r="J260" s="20" t="str">
        <f t="shared" si="24"/>
        <v/>
      </c>
      <c r="K260" s="20" t="str">
        <f t="shared" si="25"/>
        <v/>
      </c>
      <c r="L260" s="20" t="str">
        <f>IF(B260="","",70*'DDF Original'!$Q$4)</f>
        <v/>
      </c>
      <c r="M260" s="20" t="str">
        <f t="shared" si="26"/>
        <v/>
      </c>
      <c r="N260" s="20" t="str">
        <f>IF(AND(OR(B260="",J260&gt;G260,M260&gt;G260),'DDF Original'!L260&lt;&gt; "MI"),G260,IF(M260&gt;J260,M260,J260))</f>
        <v/>
      </c>
    </row>
    <row r="261" spans="2:14" x14ac:dyDescent="0.2">
      <c r="B261" s="19" t="str">
        <f>IF('DDF Original'!B261="","",'DDF Original'!B261)</f>
        <v/>
      </c>
      <c r="C261" s="19" t="e">
        <f t="shared" si="27"/>
        <v>#VALUE!</v>
      </c>
      <c r="D261" s="20" t="str">
        <f>IF('DDF Original'!C261="","",'DDF Original'!C261)</f>
        <v/>
      </c>
      <c r="E261" s="24" t="str">
        <f>IF('DDF Original'!B261="","",IF(TRIM('DDF Original'!I261)="",0,'DDF Original'!I261))</f>
        <v/>
      </c>
      <c r="F261" s="20" t="str">
        <f t="shared" si="21"/>
        <v/>
      </c>
      <c r="G261" s="37" t="str">
        <f>IF('DDF Original'!B261="","",IF(TRIM('DDF Original'!P261)="",0,'DDF Original'!P261))</f>
        <v/>
      </c>
      <c r="H261" s="20" t="str">
        <f t="shared" si="22"/>
        <v/>
      </c>
      <c r="I261" s="25" t="str">
        <f t="shared" si="23"/>
        <v/>
      </c>
      <c r="J261" s="20" t="str">
        <f t="shared" si="24"/>
        <v/>
      </c>
      <c r="K261" s="20" t="str">
        <f t="shared" si="25"/>
        <v/>
      </c>
      <c r="L261" s="20" t="str">
        <f>IF(B261="","",70*'DDF Original'!$Q$4)</f>
        <v/>
      </c>
      <c r="M261" s="20" t="str">
        <f t="shared" si="26"/>
        <v/>
      </c>
      <c r="N261" s="20" t="str">
        <f>IF(AND(OR(B261="",J261&gt;G261,M261&gt;G261),'DDF Original'!L261&lt;&gt; "MI"),G261,IF(M261&gt;J261,M261,J261))</f>
        <v/>
      </c>
    </row>
    <row r="262" spans="2:14" x14ac:dyDescent="0.2">
      <c r="B262" s="19" t="str">
        <f>IF('DDF Original'!B262="","",'DDF Original'!B262)</f>
        <v/>
      </c>
      <c r="C262" s="19" t="e">
        <f t="shared" si="27"/>
        <v>#VALUE!</v>
      </c>
      <c r="D262" s="20" t="str">
        <f>IF('DDF Original'!C262="","",'DDF Original'!C262)</f>
        <v/>
      </c>
      <c r="E262" s="24" t="str">
        <f>IF('DDF Original'!B262="","",IF(TRIM('DDF Original'!I262)="",0,'DDF Original'!I262))</f>
        <v/>
      </c>
      <c r="F262" s="20" t="str">
        <f t="shared" si="21"/>
        <v/>
      </c>
      <c r="G262" s="37" t="str">
        <f>IF('DDF Original'!B262="","",IF(TRIM('DDF Original'!P262)="",0,'DDF Original'!P262))</f>
        <v/>
      </c>
      <c r="H262" s="20" t="str">
        <f t="shared" si="22"/>
        <v/>
      </c>
      <c r="I262" s="25" t="str">
        <f t="shared" si="23"/>
        <v/>
      </c>
      <c r="J262" s="20" t="str">
        <f t="shared" si="24"/>
        <v/>
      </c>
      <c r="K262" s="20" t="str">
        <f t="shared" si="25"/>
        <v/>
      </c>
      <c r="L262" s="20" t="str">
        <f>IF(B262="","",70*'DDF Original'!$Q$4)</f>
        <v/>
      </c>
      <c r="M262" s="20" t="str">
        <f t="shared" si="26"/>
        <v/>
      </c>
      <c r="N262" s="20" t="str">
        <f>IF(AND(OR(B262="",J262&gt;G262,M262&gt;G262),'DDF Original'!L262&lt;&gt; "MI"),G262,IF(M262&gt;J262,M262,J262))</f>
        <v/>
      </c>
    </row>
    <row r="263" spans="2:14" x14ac:dyDescent="0.2">
      <c r="B263" s="19" t="str">
        <f>IF('DDF Original'!B263="","",'DDF Original'!B263)</f>
        <v/>
      </c>
      <c r="C263" s="19" t="e">
        <f t="shared" si="27"/>
        <v>#VALUE!</v>
      </c>
      <c r="D263" s="20" t="str">
        <f>IF('DDF Original'!C263="","",'DDF Original'!C263)</f>
        <v/>
      </c>
      <c r="E263" s="24" t="str">
        <f>IF('DDF Original'!B263="","",IF(TRIM('DDF Original'!I263)="",0,'DDF Original'!I263))</f>
        <v/>
      </c>
      <c r="F263" s="20" t="str">
        <f t="shared" si="21"/>
        <v/>
      </c>
      <c r="G263" s="37" t="str">
        <f>IF('DDF Original'!B263="","",IF(TRIM('DDF Original'!P263)="",0,'DDF Original'!P263))</f>
        <v/>
      </c>
      <c r="H263" s="20" t="str">
        <f t="shared" si="22"/>
        <v/>
      </c>
      <c r="I263" s="25" t="str">
        <f t="shared" si="23"/>
        <v/>
      </c>
      <c r="J263" s="20" t="str">
        <f t="shared" si="24"/>
        <v/>
      </c>
      <c r="K263" s="20" t="str">
        <f t="shared" si="25"/>
        <v/>
      </c>
      <c r="L263" s="20" t="str">
        <f>IF(B263="","",70*'DDF Original'!$Q$4)</f>
        <v/>
      </c>
      <c r="M263" s="20" t="str">
        <f t="shared" si="26"/>
        <v/>
      </c>
      <c r="N263" s="20" t="str">
        <f>IF(AND(OR(B263="",J263&gt;G263,M263&gt;G263),'DDF Original'!L263&lt;&gt; "MI"),G263,IF(M263&gt;J263,M263,J263))</f>
        <v/>
      </c>
    </row>
    <row r="264" spans="2:14" x14ac:dyDescent="0.2">
      <c r="B264" s="19" t="str">
        <f>IF('DDF Original'!B264="","",'DDF Original'!B264)</f>
        <v/>
      </c>
      <c r="C264" s="19" t="e">
        <f t="shared" si="27"/>
        <v>#VALUE!</v>
      </c>
      <c r="D264" s="20" t="str">
        <f>IF('DDF Original'!C264="","",'DDF Original'!C264)</f>
        <v/>
      </c>
      <c r="E264" s="24" t="str">
        <f>IF('DDF Original'!B264="","",IF(TRIM('DDF Original'!I264)="",0,'DDF Original'!I264))</f>
        <v/>
      </c>
      <c r="F264" s="20" t="str">
        <f t="shared" si="21"/>
        <v/>
      </c>
      <c r="G264" s="37" t="str">
        <f>IF('DDF Original'!B264="","",IF(TRIM('DDF Original'!P264)="",0,'DDF Original'!P264))</f>
        <v/>
      </c>
      <c r="H264" s="20" t="str">
        <f t="shared" si="22"/>
        <v/>
      </c>
      <c r="I264" s="25" t="str">
        <f t="shared" si="23"/>
        <v/>
      </c>
      <c r="J264" s="20" t="str">
        <f t="shared" si="24"/>
        <v/>
      </c>
      <c r="K264" s="20" t="str">
        <f t="shared" si="25"/>
        <v/>
      </c>
      <c r="L264" s="20" t="str">
        <f>IF(B264="","",70*'DDF Original'!$Q$4)</f>
        <v/>
      </c>
      <c r="M264" s="20" t="str">
        <f t="shared" si="26"/>
        <v/>
      </c>
      <c r="N264" s="20" t="str">
        <f>IF(AND(OR(B264="",J264&gt;G264,M264&gt;G264),'DDF Original'!L264&lt;&gt; "MI"),G264,IF(M264&gt;J264,M264,J264))</f>
        <v/>
      </c>
    </row>
    <row r="265" spans="2:14" x14ac:dyDescent="0.2">
      <c r="B265" s="19" t="str">
        <f>IF('DDF Original'!B265="","",'DDF Original'!B265)</f>
        <v/>
      </c>
      <c r="C265" s="19" t="e">
        <f t="shared" si="27"/>
        <v>#VALUE!</v>
      </c>
      <c r="D265" s="20" t="str">
        <f>IF('DDF Original'!C265="","",'DDF Original'!C265)</f>
        <v/>
      </c>
      <c r="E265" s="24" t="str">
        <f>IF('DDF Original'!B265="","",IF(TRIM('DDF Original'!I265)="",0,'DDF Original'!I265))</f>
        <v/>
      </c>
      <c r="F265" s="20" t="str">
        <f t="shared" ref="F265:F328" si="28">IF(D265="",D265,ROUND(D265*(1+E265/100),2))</f>
        <v/>
      </c>
      <c r="G265" s="37" t="str">
        <f>IF('DDF Original'!B265="","",IF(TRIM('DDF Original'!P265)="",0,'DDF Original'!P265))</f>
        <v/>
      </c>
      <c r="H265" s="20" t="str">
        <f t="shared" ref="H265:H328" si="29">IF(OR(D265=0,D265=""),G265,F265)</f>
        <v/>
      </c>
      <c r="I265" s="25" t="str">
        <f t="shared" ref="I265:I328" si="30">IF(B265="","",IF(OR(D265=0,D265=""),50,35))</f>
        <v/>
      </c>
      <c r="J265" s="20" t="str">
        <f t="shared" ref="J265:J328" si="31">IF(B265="","",ROUND(H265*I265/100,2))</f>
        <v/>
      </c>
      <c r="K265" s="20" t="str">
        <f t="shared" ref="K265:K328" si="32">IF(B265="","",SUMIFS($J$9:$J$508,$C$9:$C$508,"="&amp;C265))</f>
        <v/>
      </c>
      <c r="L265" s="20" t="str">
        <f>IF(B265="","",70*'DDF Original'!$Q$4)</f>
        <v/>
      </c>
      <c r="M265" s="20" t="str">
        <f t="shared" ref="M265:M328" si="33">IF(B265="","",ROUND(J265/K265*L265,2))</f>
        <v/>
      </c>
      <c r="N265" s="20" t="str">
        <f>IF(AND(OR(B265="",J265&gt;G265,M265&gt;G265),'DDF Original'!L265&lt;&gt; "MI"),G265,IF(M265&gt;J265,M265,J265))</f>
        <v/>
      </c>
    </row>
    <row r="266" spans="2:14" x14ac:dyDescent="0.2">
      <c r="B266" s="19" t="str">
        <f>IF('DDF Original'!B266="","",'DDF Original'!B266)</f>
        <v/>
      </c>
      <c r="C266" s="19" t="e">
        <f t="shared" ref="C266:C329" si="34">LEFT(B266,FIND(".",B266)-1)</f>
        <v>#VALUE!</v>
      </c>
      <c r="D266" s="20" t="str">
        <f>IF('DDF Original'!C266="","",'DDF Original'!C266)</f>
        <v/>
      </c>
      <c r="E266" s="24" t="str">
        <f>IF('DDF Original'!B266="","",IF(TRIM('DDF Original'!I266)="",0,'DDF Original'!I266))</f>
        <v/>
      </c>
      <c r="F266" s="20" t="str">
        <f t="shared" si="28"/>
        <v/>
      </c>
      <c r="G266" s="37" t="str">
        <f>IF('DDF Original'!B266="","",IF(TRIM('DDF Original'!P266)="",0,'DDF Original'!P266))</f>
        <v/>
      </c>
      <c r="H266" s="20" t="str">
        <f t="shared" si="29"/>
        <v/>
      </c>
      <c r="I266" s="25" t="str">
        <f t="shared" si="30"/>
        <v/>
      </c>
      <c r="J266" s="20" t="str">
        <f t="shared" si="31"/>
        <v/>
      </c>
      <c r="K266" s="20" t="str">
        <f t="shared" si="32"/>
        <v/>
      </c>
      <c r="L266" s="20" t="str">
        <f>IF(B266="","",70*'DDF Original'!$Q$4)</f>
        <v/>
      </c>
      <c r="M266" s="20" t="str">
        <f t="shared" si="33"/>
        <v/>
      </c>
      <c r="N266" s="20" t="str">
        <f>IF(AND(OR(B266="",J266&gt;G266,M266&gt;G266),'DDF Original'!L266&lt;&gt; "MI"),G266,IF(M266&gt;J266,M266,J266))</f>
        <v/>
      </c>
    </row>
    <row r="267" spans="2:14" x14ac:dyDescent="0.2">
      <c r="B267" s="19" t="str">
        <f>IF('DDF Original'!B267="","",'DDF Original'!B267)</f>
        <v/>
      </c>
      <c r="C267" s="19" t="e">
        <f t="shared" si="34"/>
        <v>#VALUE!</v>
      </c>
      <c r="D267" s="20" t="str">
        <f>IF('DDF Original'!C267="","",'DDF Original'!C267)</f>
        <v/>
      </c>
      <c r="E267" s="24" t="str">
        <f>IF('DDF Original'!B267="","",IF(TRIM('DDF Original'!I267)="",0,'DDF Original'!I267))</f>
        <v/>
      </c>
      <c r="F267" s="20" t="str">
        <f t="shared" si="28"/>
        <v/>
      </c>
      <c r="G267" s="37" t="str">
        <f>IF('DDF Original'!B267="","",IF(TRIM('DDF Original'!P267)="",0,'DDF Original'!P267))</f>
        <v/>
      </c>
      <c r="H267" s="20" t="str">
        <f t="shared" si="29"/>
        <v/>
      </c>
      <c r="I267" s="25" t="str">
        <f t="shared" si="30"/>
        <v/>
      </c>
      <c r="J267" s="20" t="str">
        <f t="shared" si="31"/>
        <v/>
      </c>
      <c r="K267" s="20" t="str">
        <f t="shared" si="32"/>
        <v/>
      </c>
      <c r="L267" s="20" t="str">
        <f>IF(B267="","",70*'DDF Original'!$Q$4)</f>
        <v/>
      </c>
      <c r="M267" s="20" t="str">
        <f t="shared" si="33"/>
        <v/>
      </c>
      <c r="N267" s="20" t="str">
        <f>IF(AND(OR(B267="",J267&gt;G267,M267&gt;G267),'DDF Original'!L267&lt;&gt; "MI"),G267,IF(M267&gt;J267,M267,J267))</f>
        <v/>
      </c>
    </row>
    <row r="268" spans="2:14" x14ac:dyDescent="0.2">
      <c r="B268" s="19" t="str">
        <f>IF('DDF Original'!B268="","",'DDF Original'!B268)</f>
        <v/>
      </c>
      <c r="C268" s="19" t="e">
        <f t="shared" si="34"/>
        <v>#VALUE!</v>
      </c>
      <c r="D268" s="20" t="str">
        <f>IF('DDF Original'!C268="","",'DDF Original'!C268)</f>
        <v/>
      </c>
      <c r="E268" s="24" t="str">
        <f>IF('DDF Original'!B268="","",IF(TRIM('DDF Original'!I268)="",0,'DDF Original'!I268))</f>
        <v/>
      </c>
      <c r="F268" s="20" t="str">
        <f t="shared" si="28"/>
        <v/>
      </c>
      <c r="G268" s="37" t="str">
        <f>IF('DDF Original'!B268="","",IF(TRIM('DDF Original'!P268)="",0,'DDF Original'!P268))</f>
        <v/>
      </c>
      <c r="H268" s="20" t="str">
        <f t="shared" si="29"/>
        <v/>
      </c>
      <c r="I268" s="25" t="str">
        <f t="shared" si="30"/>
        <v/>
      </c>
      <c r="J268" s="20" t="str">
        <f t="shared" si="31"/>
        <v/>
      </c>
      <c r="K268" s="20" t="str">
        <f t="shared" si="32"/>
        <v/>
      </c>
      <c r="L268" s="20" t="str">
        <f>IF(B268="","",70*'DDF Original'!$Q$4)</f>
        <v/>
      </c>
      <c r="M268" s="20" t="str">
        <f t="shared" si="33"/>
        <v/>
      </c>
      <c r="N268" s="20" t="str">
        <f>IF(AND(OR(B268="",J268&gt;G268,M268&gt;G268),'DDF Original'!L268&lt;&gt; "MI"),G268,IF(M268&gt;J268,M268,J268))</f>
        <v/>
      </c>
    </row>
    <row r="269" spans="2:14" x14ac:dyDescent="0.2">
      <c r="B269" s="19" t="str">
        <f>IF('DDF Original'!B269="","",'DDF Original'!B269)</f>
        <v/>
      </c>
      <c r="C269" s="19" t="e">
        <f t="shared" si="34"/>
        <v>#VALUE!</v>
      </c>
      <c r="D269" s="20" t="str">
        <f>IF('DDF Original'!C269="","",'DDF Original'!C269)</f>
        <v/>
      </c>
      <c r="E269" s="24" t="str">
        <f>IF('DDF Original'!B269="","",IF(TRIM('DDF Original'!I269)="",0,'DDF Original'!I269))</f>
        <v/>
      </c>
      <c r="F269" s="20" t="str">
        <f t="shared" si="28"/>
        <v/>
      </c>
      <c r="G269" s="37" t="str">
        <f>IF('DDF Original'!B269="","",IF(TRIM('DDF Original'!P269)="",0,'DDF Original'!P269))</f>
        <v/>
      </c>
      <c r="H269" s="20" t="str">
        <f t="shared" si="29"/>
        <v/>
      </c>
      <c r="I269" s="25" t="str">
        <f t="shared" si="30"/>
        <v/>
      </c>
      <c r="J269" s="20" t="str">
        <f t="shared" si="31"/>
        <v/>
      </c>
      <c r="K269" s="20" t="str">
        <f t="shared" si="32"/>
        <v/>
      </c>
      <c r="L269" s="20" t="str">
        <f>IF(B269="","",70*'DDF Original'!$Q$4)</f>
        <v/>
      </c>
      <c r="M269" s="20" t="str">
        <f t="shared" si="33"/>
        <v/>
      </c>
      <c r="N269" s="20" t="str">
        <f>IF(AND(OR(B269="",J269&gt;G269,M269&gt;G269),'DDF Original'!L269&lt;&gt; "MI"),G269,IF(M269&gt;J269,M269,J269))</f>
        <v/>
      </c>
    </row>
    <row r="270" spans="2:14" x14ac:dyDescent="0.2">
      <c r="B270" s="19" t="str">
        <f>IF('DDF Original'!B270="","",'DDF Original'!B270)</f>
        <v/>
      </c>
      <c r="C270" s="19" t="e">
        <f t="shared" si="34"/>
        <v>#VALUE!</v>
      </c>
      <c r="D270" s="20" t="str">
        <f>IF('DDF Original'!C270="","",'DDF Original'!C270)</f>
        <v/>
      </c>
      <c r="E270" s="24" t="str">
        <f>IF('DDF Original'!B270="","",IF(TRIM('DDF Original'!I270)="",0,'DDF Original'!I270))</f>
        <v/>
      </c>
      <c r="F270" s="20" t="str">
        <f t="shared" si="28"/>
        <v/>
      </c>
      <c r="G270" s="37" t="str">
        <f>IF('DDF Original'!B270="","",IF(TRIM('DDF Original'!P270)="",0,'DDF Original'!P270))</f>
        <v/>
      </c>
      <c r="H270" s="20" t="str">
        <f t="shared" si="29"/>
        <v/>
      </c>
      <c r="I270" s="25" t="str">
        <f t="shared" si="30"/>
        <v/>
      </c>
      <c r="J270" s="20" t="str">
        <f t="shared" si="31"/>
        <v/>
      </c>
      <c r="K270" s="20" t="str">
        <f t="shared" si="32"/>
        <v/>
      </c>
      <c r="L270" s="20" t="str">
        <f>IF(B270="","",70*'DDF Original'!$Q$4)</f>
        <v/>
      </c>
      <c r="M270" s="20" t="str">
        <f t="shared" si="33"/>
        <v/>
      </c>
      <c r="N270" s="20" t="str">
        <f>IF(AND(OR(B270="",J270&gt;G270,M270&gt;G270),'DDF Original'!L270&lt;&gt; "MI"),G270,IF(M270&gt;J270,M270,J270))</f>
        <v/>
      </c>
    </row>
    <row r="271" spans="2:14" x14ac:dyDescent="0.2">
      <c r="B271" s="19" t="str">
        <f>IF('DDF Original'!B271="","",'DDF Original'!B271)</f>
        <v/>
      </c>
      <c r="C271" s="19" t="e">
        <f t="shared" si="34"/>
        <v>#VALUE!</v>
      </c>
      <c r="D271" s="20" t="str">
        <f>IF('DDF Original'!C271="","",'DDF Original'!C271)</f>
        <v/>
      </c>
      <c r="E271" s="24" t="str">
        <f>IF('DDF Original'!B271="","",IF(TRIM('DDF Original'!I271)="",0,'DDF Original'!I271))</f>
        <v/>
      </c>
      <c r="F271" s="20" t="str">
        <f t="shared" si="28"/>
        <v/>
      </c>
      <c r="G271" s="37" t="str">
        <f>IF('DDF Original'!B271="","",IF(TRIM('DDF Original'!P271)="",0,'DDF Original'!P271))</f>
        <v/>
      </c>
      <c r="H271" s="20" t="str">
        <f t="shared" si="29"/>
        <v/>
      </c>
      <c r="I271" s="25" t="str">
        <f t="shared" si="30"/>
        <v/>
      </c>
      <c r="J271" s="20" t="str">
        <f t="shared" si="31"/>
        <v/>
      </c>
      <c r="K271" s="20" t="str">
        <f t="shared" si="32"/>
        <v/>
      </c>
      <c r="L271" s="20" t="str">
        <f>IF(B271="","",70*'DDF Original'!$Q$4)</f>
        <v/>
      </c>
      <c r="M271" s="20" t="str">
        <f t="shared" si="33"/>
        <v/>
      </c>
      <c r="N271" s="20" t="str">
        <f>IF(AND(OR(B271="",J271&gt;G271,M271&gt;G271),'DDF Original'!L271&lt;&gt; "MI"),G271,IF(M271&gt;J271,M271,J271))</f>
        <v/>
      </c>
    </row>
    <row r="272" spans="2:14" x14ac:dyDescent="0.2">
      <c r="B272" s="19" t="str">
        <f>IF('DDF Original'!B272="","",'DDF Original'!B272)</f>
        <v/>
      </c>
      <c r="C272" s="19" t="e">
        <f t="shared" si="34"/>
        <v>#VALUE!</v>
      </c>
      <c r="D272" s="20" t="str">
        <f>IF('DDF Original'!C272="","",'DDF Original'!C272)</f>
        <v/>
      </c>
      <c r="E272" s="24" t="str">
        <f>IF('DDF Original'!B272="","",IF(TRIM('DDF Original'!I272)="",0,'DDF Original'!I272))</f>
        <v/>
      </c>
      <c r="F272" s="20" t="str">
        <f t="shared" si="28"/>
        <v/>
      </c>
      <c r="G272" s="37" t="str">
        <f>IF('DDF Original'!B272="","",IF(TRIM('DDF Original'!P272)="",0,'DDF Original'!P272))</f>
        <v/>
      </c>
      <c r="H272" s="20" t="str">
        <f t="shared" si="29"/>
        <v/>
      </c>
      <c r="I272" s="25" t="str">
        <f t="shared" si="30"/>
        <v/>
      </c>
      <c r="J272" s="20" t="str">
        <f t="shared" si="31"/>
        <v/>
      </c>
      <c r="K272" s="20" t="str">
        <f t="shared" si="32"/>
        <v/>
      </c>
      <c r="L272" s="20" t="str">
        <f>IF(B272="","",70*'DDF Original'!$Q$4)</f>
        <v/>
      </c>
      <c r="M272" s="20" t="str">
        <f t="shared" si="33"/>
        <v/>
      </c>
      <c r="N272" s="20" t="str">
        <f>IF(AND(OR(B272="",J272&gt;G272,M272&gt;G272),'DDF Original'!L272&lt;&gt; "MI"),G272,IF(M272&gt;J272,M272,J272))</f>
        <v/>
      </c>
    </row>
    <row r="273" spans="2:14" x14ac:dyDescent="0.2">
      <c r="B273" s="19" t="str">
        <f>IF('DDF Original'!B273="","",'DDF Original'!B273)</f>
        <v/>
      </c>
      <c r="C273" s="19" t="e">
        <f t="shared" si="34"/>
        <v>#VALUE!</v>
      </c>
      <c r="D273" s="20" t="str">
        <f>IF('DDF Original'!C273="","",'DDF Original'!C273)</f>
        <v/>
      </c>
      <c r="E273" s="24" t="str">
        <f>IF('DDF Original'!B273="","",IF(TRIM('DDF Original'!I273)="",0,'DDF Original'!I273))</f>
        <v/>
      </c>
      <c r="F273" s="20" t="str">
        <f t="shared" si="28"/>
        <v/>
      </c>
      <c r="G273" s="37" t="str">
        <f>IF('DDF Original'!B273="","",IF(TRIM('DDF Original'!P273)="",0,'DDF Original'!P273))</f>
        <v/>
      </c>
      <c r="H273" s="20" t="str">
        <f t="shared" si="29"/>
        <v/>
      </c>
      <c r="I273" s="25" t="str">
        <f t="shared" si="30"/>
        <v/>
      </c>
      <c r="J273" s="20" t="str">
        <f t="shared" si="31"/>
        <v/>
      </c>
      <c r="K273" s="20" t="str">
        <f t="shared" si="32"/>
        <v/>
      </c>
      <c r="L273" s="20" t="str">
        <f>IF(B273="","",70*'DDF Original'!$Q$4)</f>
        <v/>
      </c>
      <c r="M273" s="20" t="str">
        <f t="shared" si="33"/>
        <v/>
      </c>
      <c r="N273" s="20" t="str">
        <f>IF(AND(OR(B273="",J273&gt;G273,M273&gt;G273),'DDF Original'!L273&lt;&gt; "MI"),G273,IF(M273&gt;J273,M273,J273))</f>
        <v/>
      </c>
    </row>
    <row r="274" spans="2:14" x14ac:dyDescent="0.2">
      <c r="B274" s="19" t="str">
        <f>IF('DDF Original'!B274="","",'DDF Original'!B274)</f>
        <v/>
      </c>
      <c r="C274" s="19" t="e">
        <f t="shared" si="34"/>
        <v>#VALUE!</v>
      </c>
      <c r="D274" s="20" t="str">
        <f>IF('DDF Original'!C274="","",'DDF Original'!C274)</f>
        <v/>
      </c>
      <c r="E274" s="24" t="str">
        <f>IF('DDF Original'!B274="","",IF(TRIM('DDF Original'!I274)="",0,'DDF Original'!I274))</f>
        <v/>
      </c>
      <c r="F274" s="20" t="str">
        <f t="shared" si="28"/>
        <v/>
      </c>
      <c r="G274" s="37" t="str">
        <f>IF('DDF Original'!B274="","",IF(TRIM('DDF Original'!P274)="",0,'DDF Original'!P274))</f>
        <v/>
      </c>
      <c r="H274" s="20" t="str">
        <f t="shared" si="29"/>
        <v/>
      </c>
      <c r="I274" s="25" t="str">
        <f t="shared" si="30"/>
        <v/>
      </c>
      <c r="J274" s="20" t="str">
        <f t="shared" si="31"/>
        <v/>
      </c>
      <c r="K274" s="20" t="str">
        <f t="shared" si="32"/>
        <v/>
      </c>
      <c r="L274" s="20" t="str">
        <f>IF(B274="","",70*'DDF Original'!$Q$4)</f>
        <v/>
      </c>
      <c r="M274" s="20" t="str">
        <f t="shared" si="33"/>
        <v/>
      </c>
      <c r="N274" s="20" t="str">
        <f>IF(AND(OR(B274="",J274&gt;G274,M274&gt;G274),'DDF Original'!L274&lt;&gt; "MI"),G274,IF(M274&gt;J274,M274,J274))</f>
        <v/>
      </c>
    </row>
    <row r="275" spans="2:14" x14ac:dyDescent="0.2">
      <c r="B275" s="19" t="str">
        <f>IF('DDF Original'!B275="","",'DDF Original'!B275)</f>
        <v/>
      </c>
      <c r="C275" s="19" t="e">
        <f t="shared" si="34"/>
        <v>#VALUE!</v>
      </c>
      <c r="D275" s="20" t="str">
        <f>IF('DDF Original'!C275="","",'DDF Original'!C275)</f>
        <v/>
      </c>
      <c r="E275" s="24" t="str">
        <f>IF('DDF Original'!B275="","",IF(TRIM('DDF Original'!I275)="",0,'DDF Original'!I275))</f>
        <v/>
      </c>
      <c r="F275" s="20" t="str">
        <f t="shared" si="28"/>
        <v/>
      </c>
      <c r="G275" s="37" t="str">
        <f>IF('DDF Original'!B275="","",IF(TRIM('DDF Original'!P275)="",0,'DDF Original'!P275))</f>
        <v/>
      </c>
      <c r="H275" s="20" t="str">
        <f t="shared" si="29"/>
        <v/>
      </c>
      <c r="I275" s="25" t="str">
        <f t="shared" si="30"/>
        <v/>
      </c>
      <c r="J275" s="20" t="str">
        <f t="shared" si="31"/>
        <v/>
      </c>
      <c r="K275" s="20" t="str">
        <f t="shared" si="32"/>
        <v/>
      </c>
      <c r="L275" s="20" t="str">
        <f>IF(B275="","",70*'DDF Original'!$Q$4)</f>
        <v/>
      </c>
      <c r="M275" s="20" t="str">
        <f t="shared" si="33"/>
        <v/>
      </c>
      <c r="N275" s="20" t="str">
        <f>IF(AND(OR(B275="",J275&gt;G275,M275&gt;G275),'DDF Original'!L275&lt;&gt; "MI"),G275,IF(M275&gt;J275,M275,J275))</f>
        <v/>
      </c>
    </row>
    <row r="276" spans="2:14" x14ac:dyDescent="0.2">
      <c r="B276" s="19" t="str">
        <f>IF('DDF Original'!B276="","",'DDF Original'!B276)</f>
        <v/>
      </c>
      <c r="C276" s="19" t="e">
        <f t="shared" si="34"/>
        <v>#VALUE!</v>
      </c>
      <c r="D276" s="20" t="str">
        <f>IF('DDF Original'!C276="","",'DDF Original'!C276)</f>
        <v/>
      </c>
      <c r="E276" s="24" t="str">
        <f>IF('DDF Original'!B276="","",IF(TRIM('DDF Original'!I276)="",0,'DDF Original'!I276))</f>
        <v/>
      </c>
      <c r="F276" s="20" t="str">
        <f t="shared" si="28"/>
        <v/>
      </c>
      <c r="G276" s="37" t="str">
        <f>IF('DDF Original'!B276="","",IF(TRIM('DDF Original'!P276)="",0,'DDF Original'!P276))</f>
        <v/>
      </c>
      <c r="H276" s="20" t="str">
        <f t="shared" si="29"/>
        <v/>
      </c>
      <c r="I276" s="25" t="str">
        <f t="shared" si="30"/>
        <v/>
      </c>
      <c r="J276" s="20" t="str">
        <f t="shared" si="31"/>
        <v/>
      </c>
      <c r="K276" s="20" t="str">
        <f t="shared" si="32"/>
        <v/>
      </c>
      <c r="L276" s="20" t="str">
        <f>IF(B276="","",70*'DDF Original'!$Q$4)</f>
        <v/>
      </c>
      <c r="M276" s="20" t="str">
        <f t="shared" si="33"/>
        <v/>
      </c>
      <c r="N276" s="20" t="str">
        <f>IF(AND(OR(B276="",J276&gt;G276,M276&gt;G276),'DDF Original'!L276&lt;&gt; "MI"),G276,IF(M276&gt;J276,M276,J276))</f>
        <v/>
      </c>
    </row>
    <row r="277" spans="2:14" x14ac:dyDescent="0.2">
      <c r="B277" s="19" t="str">
        <f>IF('DDF Original'!B277="","",'DDF Original'!B277)</f>
        <v/>
      </c>
      <c r="C277" s="19" t="e">
        <f t="shared" si="34"/>
        <v>#VALUE!</v>
      </c>
      <c r="D277" s="20" t="str">
        <f>IF('DDF Original'!C277="","",'DDF Original'!C277)</f>
        <v/>
      </c>
      <c r="E277" s="24" t="str">
        <f>IF('DDF Original'!B277="","",IF(TRIM('DDF Original'!I277)="",0,'DDF Original'!I277))</f>
        <v/>
      </c>
      <c r="F277" s="20" t="str">
        <f t="shared" si="28"/>
        <v/>
      </c>
      <c r="G277" s="37" t="str">
        <f>IF('DDF Original'!B277="","",IF(TRIM('DDF Original'!P277)="",0,'DDF Original'!P277))</f>
        <v/>
      </c>
      <c r="H277" s="20" t="str">
        <f t="shared" si="29"/>
        <v/>
      </c>
      <c r="I277" s="25" t="str">
        <f t="shared" si="30"/>
        <v/>
      </c>
      <c r="J277" s="20" t="str">
        <f t="shared" si="31"/>
        <v/>
      </c>
      <c r="K277" s="20" t="str">
        <f t="shared" si="32"/>
        <v/>
      </c>
      <c r="L277" s="20" t="str">
        <f>IF(B277="","",70*'DDF Original'!$Q$4)</f>
        <v/>
      </c>
      <c r="M277" s="20" t="str">
        <f t="shared" si="33"/>
        <v/>
      </c>
      <c r="N277" s="20" t="str">
        <f>IF(AND(OR(B277="",J277&gt;G277,M277&gt;G277),'DDF Original'!L277&lt;&gt; "MI"),G277,IF(M277&gt;J277,M277,J277))</f>
        <v/>
      </c>
    </row>
    <row r="278" spans="2:14" x14ac:dyDescent="0.2">
      <c r="B278" s="19" t="str">
        <f>IF('DDF Original'!B278="","",'DDF Original'!B278)</f>
        <v/>
      </c>
      <c r="C278" s="19" t="e">
        <f t="shared" si="34"/>
        <v>#VALUE!</v>
      </c>
      <c r="D278" s="20" t="str">
        <f>IF('DDF Original'!C278="","",'DDF Original'!C278)</f>
        <v/>
      </c>
      <c r="E278" s="24" t="str">
        <f>IF('DDF Original'!B278="","",IF(TRIM('DDF Original'!I278)="",0,'DDF Original'!I278))</f>
        <v/>
      </c>
      <c r="F278" s="20" t="str">
        <f t="shared" si="28"/>
        <v/>
      </c>
      <c r="G278" s="37" t="str">
        <f>IF('DDF Original'!B278="","",IF(TRIM('DDF Original'!P278)="",0,'DDF Original'!P278))</f>
        <v/>
      </c>
      <c r="H278" s="20" t="str">
        <f t="shared" si="29"/>
        <v/>
      </c>
      <c r="I278" s="25" t="str">
        <f t="shared" si="30"/>
        <v/>
      </c>
      <c r="J278" s="20" t="str">
        <f t="shared" si="31"/>
        <v/>
      </c>
      <c r="K278" s="20" t="str">
        <f t="shared" si="32"/>
        <v/>
      </c>
      <c r="L278" s="20" t="str">
        <f>IF(B278="","",70*'DDF Original'!$Q$4)</f>
        <v/>
      </c>
      <c r="M278" s="20" t="str">
        <f t="shared" si="33"/>
        <v/>
      </c>
      <c r="N278" s="20" t="str">
        <f>IF(AND(OR(B278="",J278&gt;G278,M278&gt;G278),'DDF Original'!L278&lt;&gt; "MI"),G278,IF(M278&gt;J278,M278,J278))</f>
        <v/>
      </c>
    </row>
    <row r="279" spans="2:14" x14ac:dyDescent="0.2">
      <c r="B279" s="19" t="str">
        <f>IF('DDF Original'!B279="","",'DDF Original'!B279)</f>
        <v/>
      </c>
      <c r="C279" s="19" t="e">
        <f t="shared" si="34"/>
        <v>#VALUE!</v>
      </c>
      <c r="D279" s="20" t="str">
        <f>IF('DDF Original'!C279="","",'DDF Original'!C279)</f>
        <v/>
      </c>
      <c r="E279" s="24" t="str">
        <f>IF('DDF Original'!B279="","",IF(TRIM('DDF Original'!I279)="",0,'DDF Original'!I279))</f>
        <v/>
      </c>
      <c r="F279" s="20" t="str">
        <f t="shared" si="28"/>
        <v/>
      </c>
      <c r="G279" s="37" t="str">
        <f>IF('DDF Original'!B279="","",IF(TRIM('DDF Original'!P279)="",0,'DDF Original'!P279))</f>
        <v/>
      </c>
      <c r="H279" s="20" t="str">
        <f t="shared" si="29"/>
        <v/>
      </c>
      <c r="I279" s="25" t="str">
        <f t="shared" si="30"/>
        <v/>
      </c>
      <c r="J279" s="20" t="str">
        <f t="shared" si="31"/>
        <v/>
      </c>
      <c r="K279" s="20" t="str">
        <f t="shared" si="32"/>
        <v/>
      </c>
      <c r="L279" s="20" t="str">
        <f>IF(B279="","",70*'DDF Original'!$Q$4)</f>
        <v/>
      </c>
      <c r="M279" s="20" t="str">
        <f t="shared" si="33"/>
        <v/>
      </c>
      <c r="N279" s="20" t="str">
        <f>IF(AND(OR(B279="",J279&gt;G279,M279&gt;G279),'DDF Original'!L279&lt;&gt; "MI"),G279,IF(M279&gt;J279,M279,J279))</f>
        <v/>
      </c>
    </row>
    <row r="280" spans="2:14" x14ac:dyDescent="0.2">
      <c r="B280" s="19" t="str">
        <f>IF('DDF Original'!B280="","",'DDF Original'!B280)</f>
        <v/>
      </c>
      <c r="C280" s="19" t="e">
        <f t="shared" si="34"/>
        <v>#VALUE!</v>
      </c>
      <c r="D280" s="20" t="str">
        <f>IF('DDF Original'!C280="","",'DDF Original'!C280)</f>
        <v/>
      </c>
      <c r="E280" s="24" t="str">
        <f>IF('DDF Original'!B280="","",IF(TRIM('DDF Original'!I280)="",0,'DDF Original'!I280))</f>
        <v/>
      </c>
      <c r="F280" s="20" t="str">
        <f t="shared" si="28"/>
        <v/>
      </c>
      <c r="G280" s="37" t="str">
        <f>IF('DDF Original'!B280="","",IF(TRIM('DDF Original'!P280)="",0,'DDF Original'!P280))</f>
        <v/>
      </c>
      <c r="H280" s="20" t="str">
        <f t="shared" si="29"/>
        <v/>
      </c>
      <c r="I280" s="25" t="str">
        <f t="shared" si="30"/>
        <v/>
      </c>
      <c r="J280" s="20" t="str">
        <f t="shared" si="31"/>
        <v/>
      </c>
      <c r="K280" s="20" t="str">
        <f t="shared" si="32"/>
        <v/>
      </c>
      <c r="L280" s="20" t="str">
        <f>IF(B280="","",70*'DDF Original'!$Q$4)</f>
        <v/>
      </c>
      <c r="M280" s="20" t="str">
        <f t="shared" si="33"/>
        <v/>
      </c>
      <c r="N280" s="20" t="str">
        <f>IF(AND(OR(B280="",J280&gt;G280,M280&gt;G280),'DDF Original'!L280&lt;&gt; "MI"),G280,IF(M280&gt;J280,M280,J280))</f>
        <v/>
      </c>
    </row>
    <row r="281" spans="2:14" x14ac:dyDescent="0.2">
      <c r="B281" s="19" t="str">
        <f>IF('DDF Original'!B281="","",'DDF Original'!B281)</f>
        <v/>
      </c>
      <c r="C281" s="19" t="e">
        <f t="shared" si="34"/>
        <v>#VALUE!</v>
      </c>
      <c r="D281" s="20" t="str">
        <f>IF('DDF Original'!C281="","",'DDF Original'!C281)</f>
        <v/>
      </c>
      <c r="E281" s="24" t="str">
        <f>IF('DDF Original'!B281="","",IF(TRIM('DDF Original'!I281)="",0,'DDF Original'!I281))</f>
        <v/>
      </c>
      <c r="F281" s="20" t="str">
        <f t="shared" si="28"/>
        <v/>
      </c>
      <c r="G281" s="37" t="str">
        <f>IF('DDF Original'!B281="","",IF(TRIM('DDF Original'!P281)="",0,'DDF Original'!P281))</f>
        <v/>
      </c>
      <c r="H281" s="20" t="str">
        <f t="shared" si="29"/>
        <v/>
      </c>
      <c r="I281" s="25" t="str">
        <f t="shared" si="30"/>
        <v/>
      </c>
      <c r="J281" s="20" t="str">
        <f t="shared" si="31"/>
        <v/>
      </c>
      <c r="K281" s="20" t="str">
        <f t="shared" si="32"/>
        <v/>
      </c>
      <c r="L281" s="20" t="str">
        <f>IF(B281="","",70*'DDF Original'!$Q$4)</f>
        <v/>
      </c>
      <c r="M281" s="20" t="str">
        <f t="shared" si="33"/>
        <v/>
      </c>
      <c r="N281" s="20" t="str">
        <f>IF(AND(OR(B281="",J281&gt;G281,M281&gt;G281),'DDF Original'!L281&lt;&gt; "MI"),G281,IF(M281&gt;J281,M281,J281))</f>
        <v/>
      </c>
    </row>
    <row r="282" spans="2:14" x14ac:dyDescent="0.2">
      <c r="B282" s="19" t="str">
        <f>IF('DDF Original'!B282="","",'DDF Original'!B282)</f>
        <v/>
      </c>
      <c r="C282" s="19" t="e">
        <f t="shared" si="34"/>
        <v>#VALUE!</v>
      </c>
      <c r="D282" s="20" t="str">
        <f>IF('DDF Original'!C282="","",'DDF Original'!C282)</f>
        <v/>
      </c>
      <c r="E282" s="24" t="str">
        <f>IF('DDF Original'!B282="","",IF(TRIM('DDF Original'!I282)="",0,'DDF Original'!I282))</f>
        <v/>
      </c>
      <c r="F282" s="20" t="str">
        <f t="shared" si="28"/>
        <v/>
      </c>
      <c r="G282" s="37" t="str">
        <f>IF('DDF Original'!B282="","",IF(TRIM('DDF Original'!P282)="",0,'DDF Original'!P282))</f>
        <v/>
      </c>
      <c r="H282" s="20" t="str">
        <f t="shared" si="29"/>
        <v/>
      </c>
      <c r="I282" s="25" t="str">
        <f t="shared" si="30"/>
        <v/>
      </c>
      <c r="J282" s="20" t="str">
        <f t="shared" si="31"/>
        <v/>
      </c>
      <c r="K282" s="20" t="str">
        <f t="shared" si="32"/>
        <v/>
      </c>
      <c r="L282" s="20" t="str">
        <f>IF(B282="","",70*'DDF Original'!$Q$4)</f>
        <v/>
      </c>
      <c r="M282" s="20" t="str">
        <f t="shared" si="33"/>
        <v/>
      </c>
      <c r="N282" s="20" t="str">
        <f>IF(AND(OR(B282="",J282&gt;G282,M282&gt;G282),'DDF Original'!L282&lt;&gt; "MI"),G282,IF(M282&gt;J282,M282,J282))</f>
        <v/>
      </c>
    </row>
    <row r="283" spans="2:14" x14ac:dyDescent="0.2">
      <c r="B283" s="19" t="str">
        <f>IF('DDF Original'!B283="","",'DDF Original'!B283)</f>
        <v/>
      </c>
      <c r="C283" s="19" t="e">
        <f t="shared" si="34"/>
        <v>#VALUE!</v>
      </c>
      <c r="D283" s="20" t="str">
        <f>IF('DDF Original'!C283="","",'DDF Original'!C283)</f>
        <v/>
      </c>
      <c r="E283" s="24" t="str">
        <f>IF('DDF Original'!B283="","",IF(TRIM('DDF Original'!I283)="",0,'DDF Original'!I283))</f>
        <v/>
      </c>
      <c r="F283" s="20" t="str">
        <f t="shared" si="28"/>
        <v/>
      </c>
      <c r="G283" s="37" t="str">
        <f>IF('DDF Original'!B283="","",IF(TRIM('DDF Original'!P283)="",0,'DDF Original'!P283))</f>
        <v/>
      </c>
      <c r="H283" s="20" t="str">
        <f t="shared" si="29"/>
        <v/>
      </c>
      <c r="I283" s="25" t="str">
        <f t="shared" si="30"/>
        <v/>
      </c>
      <c r="J283" s="20" t="str">
        <f t="shared" si="31"/>
        <v/>
      </c>
      <c r="K283" s="20" t="str">
        <f t="shared" si="32"/>
        <v/>
      </c>
      <c r="L283" s="20" t="str">
        <f>IF(B283="","",70*'DDF Original'!$Q$4)</f>
        <v/>
      </c>
      <c r="M283" s="20" t="str">
        <f t="shared" si="33"/>
        <v/>
      </c>
      <c r="N283" s="20" t="str">
        <f>IF(AND(OR(B283="",J283&gt;G283,M283&gt;G283),'DDF Original'!L283&lt;&gt; "MI"),G283,IF(M283&gt;J283,M283,J283))</f>
        <v/>
      </c>
    </row>
    <row r="284" spans="2:14" x14ac:dyDescent="0.2">
      <c r="B284" s="19" t="str">
        <f>IF('DDF Original'!B284="","",'DDF Original'!B284)</f>
        <v/>
      </c>
      <c r="C284" s="19" t="e">
        <f t="shared" si="34"/>
        <v>#VALUE!</v>
      </c>
      <c r="D284" s="20" t="str">
        <f>IF('DDF Original'!C284="","",'DDF Original'!C284)</f>
        <v/>
      </c>
      <c r="E284" s="24" t="str">
        <f>IF('DDF Original'!B284="","",IF(TRIM('DDF Original'!I284)="",0,'DDF Original'!I284))</f>
        <v/>
      </c>
      <c r="F284" s="20" t="str">
        <f t="shared" si="28"/>
        <v/>
      </c>
      <c r="G284" s="37" t="str">
        <f>IF('DDF Original'!B284="","",IF(TRIM('DDF Original'!P284)="",0,'DDF Original'!P284))</f>
        <v/>
      </c>
      <c r="H284" s="20" t="str">
        <f t="shared" si="29"/>
        <v/>
      </c>
      <c r="I284" s="25" t="str">
        <f t="shared" si="30"/>
        <v/>
      </c>
      <c r="J284" s="20" t="str">
        <f t="shared" si="31"/>
        <v/>
      </c>
      <c r="K284" s="20" t="str">
        <f t="shared" si="32"/>
        <v/>
      </c>
      <c r="L284" s="20" t="str">
        <f>IF(B284="","",70*'DDF Original'!$Q$4)</f>
        <v/>
      </c>
      <c r="M284" s="20" t="str">
        <f t="shared" si="33"/>
        <v/>
      </c>
      <c r="N284" s="20" t="str">
        <f>IF(AND(OR(B284="",J284&gt;G284,M284&gt;G284),'DDF Original'!L284&lt;&gt; "MI"),G284,IF(M284&gt;J284,M284,J284))</f>
        <v/>
      </c>
    </row>
    <row r="285" spans="2:14" x14ac:dyDescent="0.2">
      <c r="B285" s="19" t="str">
        <f>IF('DDF Original'!B285="","",'DDF Original'!B285)</f>
        <v/>
      </c>
      <c r="C285" s="19" t="e">
        <f t="shared" si="34"/>
        <v>#VALUE!</v>
      </c>
      <c r="D285" s="20" t="str">
        <f>IF('DDF Original'!C285="","",'DDF Original'!C285)</f>
        <v/>
      </c>
      <c r="E285" s="24" t="str">
        <f>IF('DDF Original'!B285="","",IF(TRIM('DDF Original'!I285)="",0,'DDF Original'!I285))</f>
        <v/>
      </c>
      <c r="F285" s="20" t="str">
        <f t="shared" si="28"/>
        <v/>
      </c>
      <c r="G285" s="37" t="str">
        <f>IF('DDF Original'!B285="","",IF(TRIM('DDF Original'!P285)="",0,'DDF Original'!P285))</f>
        <v/>
      </c>
      <c r="H285" s="20" t="str">
        <f t="shared" si="29"/>
        <v/>
      </c>
      <c r="I285" s="25" t="str">
        <f t="shared" si="30"/>
        <v/>
      </c>
      <c r="J285" s="20" t="str">
        <f t="shared" si="31"/>
        <v/>
      </c>
      <c r="K285" s="20" t="str">
        <f t="shared" si="32"/>
        <v/>
      </c>
      <c r="L285" s="20" t="str">
        <f>IF(B285="","",70*'DDF Original'!$Q$4)</f>
        <v/>
      </c>
      <c r="M285" s="20" t="str">
        <f t="shared" si="33"/>
        <v/>
      </c>
      <c r="N285" s="20" t="str">
        <f>IF(AND(OR(B285="",J285&gt;G285,M285&gt;G285),'DDF Original'!L285&lt;&gt; "MI"),G285,IF(M285&gt;J285,M285,J285))</f>
        <v/>
      </c>
    </row>
    <row r="286" spans="2:14" x14ac:dyDescent="0.2">
      <c r="B286" s="19" t="str">
        <f>IF('DDF Original'!B286="","",'DDF Original'!B286)</f>
        <v/>
      </c>
      <c r="C286" s="19" t="e">
        <f t="shared" si="34"/>
        <v>#VALUE!</v>
      </c>
      <c r="D286" s="20" t="str">
        <f>IF('DDF Original'!C286="","",'DDF Original'!C286)</f>
        <v/>
      </c>
      <c r="E286" s="24" t="str">
        <f>IF('DDF Original'!B286="","",IF(TRIM('DDF Original'!I286)="",0,'DDF Original'!I286))</f>
        <v/>
      </c>
      <c r="F286" s="20" t="str">
        <f t="shared" si="28"/>
        <v/>
      </c>
      <c r="G286" s="37" t="str">
        <f>IF('DDF Original'!B286="","",IF(TRIM('DDF Original'!P286)="",0,'DDF Original'!P286))</f>
        <v/>
      </c>
      <c r="H286" s="20" t="str">
        <f t="shared" si="29"/>
        <v/>
      </c>
      <c r="I286" s="25" t="str">
        <f t="shared" si="30"/>
        <v/>
      </c>
      <c r="J286" s="20" t="str">
        <f t="shared" si="31"/>
        <v/>
      </c>
      <c r="K286" s="20" t="str">
        <f t="shared" si="32"/>
        <v/>
      </c>
      <c r="L286" s="20" t="str">
        <f>IF(B286="","",70*'DDF Original'!$Q$4)</f>
        <v/>
      </c>
      <c r="M286" s="20" t="str">
        <f t="shared" si="33"/>
        <v/>
      </c>
      <c r="N286" s="20" t="str">
        <f>IF(AND(OR(B286="",J286&gt;G286,M286&gt;G286),'DDF Original'!L286&lt;&gt; "MI"),G286,IF(M286&gt;J286,M286,J286))</f>
        <v/>
      </c>
    </row>
    <row r="287" spans="2:14" x14ac:dyDescent="0.2">
      <c r="B287" s="19" t="str">
        <f>IF('DDF Original'!B287="","",'DDF Original'!B287)</f>
        <v/>
      </c>
      <c r="C287" s="19" t="e">
        <f t="shared" si="34"/>
        <v>#VALUE!</v>
      </c>
      <c r="D287" s="20" t="str">
        <f>IF('DDF Original'!C287="","",'DDF Original'!C287)</f>
        <v/>
      </c>
      <c r="E287" s="24" t="str">
        <f>IF('DDF Original'!B287="","",IF(TRIM('DDF Original'!I287)="",0,'DDF Original'!I287))</f>
        <v/>
      </c>
      <c r="F287" s="20" t="str">
        <f t="shared" si="28"/>
        <v/>
      </c>
      <c r="G287" s="37" t="str">
        <f>IF('DDF Original'!B287="","",IF(TRIM('DDF Original'!P287)="",0,'DDF Original'!P287))</f>
        <v/>
      </c>
      <c r="H287" s="20" t="str">
        <f t="shared" si="29"/>
        <v/>
      </c>
      <c r="I287" s="25" t="str">
        <f t="shared" si="30"/>
        <v/>
      </c>
      <c r="J287" s="20" t="str">
        <f t="shared" si="31"/>
        <v/>
      </c>
      <c r="K287" s="20" t="str">
        <f t="shared" si="32"/>
        <v/>
      </c>
      <c r="L287" s="20" t="str">
        <f>IF(B287="","",70*'DDF Original'!$Q$4)</f>
        <v/>
      </c>
      <c r="M287" s="20" t="str">
        <f t="shared" si="33"/>
        <v/>
      </c>
      <c r="N287" s="20" t="str">
        <f>IF(AND(OR(B287="",J287&gt;G287,M287&gt;G287),'DDF Original'!L287&lt;&gt; "MI"),G287,IF(M287&gt;J287,M287,J287))</f>
        <v/>
      </c>
    </row>
    <row r="288" spans="2:14" x14ac:dyDescent="0.2">
      <c r="B288" s="19" t="str">
        <f>IF('DDF Original'!B288="","",'DDF Original'!B288)</f>
        <v/>
      </c>
      <c r="C288" s="19" t="e">
        <f t="shared" si="34"/>
        <v>#VALUE!</v>
      </c>
      <c r="D288" s="20" t="str">
        <f>IF('DDF Original'!C288="","",'DDF Original'!C288)</f>
        <v/>
      </c>
      <c r="E288" s="24" t="str">
        <f>IF('DDF Original'!B288="","",IF(TRIM('DDF Original'!I288)="",0,'DDF Original'!I288))</f>
        <v/>
      </c>
      <c r="F288" s="20" t="str">
        <f t="shared" si="28"/>
        <v/>
      </c>
      <c r="G288" s="37" t="str">
        <f>IF('DDF Original'!B288="","",IF(TRIM('DDF Original'!P288)="",0,'DDF Original'!P288))</f>
        <v/>
      </c>
      <c r="H288" s="20" t="str">
        <f t="shared" si="29"/>
        <v/>
      </c>
      <c r="I288" s="25" t="str">
        <f t="shared" si="30"/>
        <v/>
      </c>
      <c r="J288" s="20" t="str">
        <f t="shared" si="31"/>
        <v/>
      </c>
      <c r="K288" s="20" t="str">
        <f t="shared" si="32"/>
        <v/>
      </c>
      <c r="L288" s="20" t="str">
        <f>IF(B288="","",70*'DDF Original'!$Q$4)</f>
        <v/>
      </c>
      <c r="M288" s="20" t="str">
        <f t="shared" si="33"/>
        <v/>
      </c>
      <c r="N288" s="20" t="str">
        <f>IF(AND(OR(B288="",J288&gt;G288,M288&gt;G288),'DDF Original'!L288&lt;&gt; "MI"),G288,IF(M288&gt;J288,M288,J288))</f>
        <v/>
      </c>
    </row>
    <row r="289" spans="2:14" x14ac:dyDescent="0.2">
      <c r="B289" s="19" t="str">
        <f>IF('DDF Original'!B289="","",'DDF Original'!B289)</f>
        <v/>
      </c>
      <c r="C289" s="19" t="e">
        <f t="shared" si="34"/>
        <v>#VALUE!</v>
      </c>
      <c r="D289" s="20" t="str">
        <f>IF('DDF Original'!C289="","",'DDF Original'!C289)</f>
        <v/>
      </c>
      <c r="E289" s="24" t="str">
        <f>IF('DDF Original'!B289="","",IF(TRIM('DDF Original'!I289)="",0,'DDF Original'!I289))</f>
        <v/>
      </c>
      <c r="F289" s="20" t="str">
        <f t="shared" si="28"/>
        <v/>
      </c>
      <c r="G289" s="37" t="str">
        <f>IF('DDF Original'!B289="","",IF(TRIM('DDF Original'!P289)="",0,'DDF Original'!P289))</f>
        <v/>
      </c>
      <c r="H289" s="20" t="str">
        <f t="shared" si="29"/>
        <v/>
      </c>
      <c r="I289" s="25" t="str">
        <f t="shared" si="30"/>
        <v/>
      </c>
      <c r="J289" s="20" t="str">
        <f t="shared" si="31"/>
        <v/>
      </c>
      <c r="K289" s="20" t="str">
        <f t="shared" si="32"/>
        <v/>
      </c>
      <c r="L289" s="20" t="str">
        <f>IF(B289="","",70*'DDF Original'!$Q$4)</f>
        <v/>
      </c>
      <c r="M289" s="20" t="str">
        <f t="shared" si="33"/>
        <v/>
      </c>
      <c r="N289" s="20" t="str">
        <f>IF(AND(OR(B289="",J289&gt;G289,M289&gt;G289),'DDF Original'!L289&lt;&gt; "MI"),G289,IF(M289&gt;J289,M289,J289))</f>
        <v/>
      </c>
    </row>
    <row r="290" spans="2:14" x14ac:dyDescent="0.2">
      <c r="B290" s="19" t="str">
        <f>IF('DDF Original'!B290="","",'DDF Original'!B290)</f>
        <v/>
      </c>
      <c r="C290" s="19" t="e">
        <f t="shared" si="34"/>
        <v>#VALUE!</v>
      </c>
      <c r="D290" s="20" t="str">
        <f>IF('DDF Original'!C290="","",'DDF Original'!C290)</f>
        <v/>
      </c>
      <c r="E290" s="24" t="str">
        <f>IF('DDF Original'!B290="","",IF(TRIM('DDF Original'!I290)="",0,'DDF Original'!I290))</f>
        <v/>
      </c>
      <c r="F290" s="20" t="str">
        <f t="shared" si="28"/>
        <v/>
      </c>
      <c r="G290" s="37" t="str">
        <f>IF('DDF Original'!B290="","",IF(TRIM('DDF Original'!P290)="",0,'DDF Original'!P290))</f>
        <v/>
      </c>
      <c r="H290" s="20" t="str">
        <f t="shared" si="29"/>
        <v/>
      </c>
      <c r="I290" s="25" t="str">
        <f t="shared" si="30"/>
        <v/>
      </c>
      <c r="J290" s="20" t="str">
        <f t="shared" si="31"/>
        <v/>
      </c>
      <c r="K290" s="20" t="str">
        <f t="shared" si="32"/>
        <v/>
      </c>
      <c r="L290" s="20" t="str">
        <f>IF(B290="","",70*'DDF Original'!$Q$4)</f>
        <v/>
      </c>
      <c r="M290" s="20" t="str">
        <f t="shared" si="33"/>
        <v/>
      </c>
      <c r="N290" s="20" t="str">
        <f>IF(AND(OR(B290="",J290&gt;G290,M290&gt;G290),'DDF Original'!L290&lt;&gt; "MI"),G290,IF(M290&gt;J290,M290,J290))</f>
        <v/>
      </c>
    </row>
    <row r="291" spans="2:14" x14ac:dyDescent="0.2">
      <c r="B291" s="19" t="str">
        <f>IF('DDF Original'!B291="","",'DDF Original'!B291)</f>
        <v/>
      </c>
      <c r="C291" s="19" t="e">
        <f t="shared" si="34"/>
        <v>#VALUE!</v>
      </c>
      <c r="D291" s="20" t="str">
        <f>IF('DDF Original'!C291="","",'DDF Original'!C291)</f>
        <v/>
      </c>
      <c r="E291" s="24" t="str">
        <f>IF('DDF Original'!B291="","",IF(TRIM('DDF Original'!I291)="",0,'DDF Original'!I291))</f>
        <v/>
      </c>
      <c r="F291" s="20" t="str">
        <f t="shared" si="28"/>
        <v/>
      </c>
      <c r="G291" s="37" t="str">
        <f>IF('DDF Original'!B291="","",IF(TRIM('DDF Original'!P291)="",0,'DDF Original'!P291))</f>
        <v/>
      </c>
      <c r="H291" s="20" t="str">
        <f t="shared" si="29"/>
        <v/>
      </c>
      <c r="I291" s="25" t="str">
        <f t="shared" si="30"/>
        <v/>
      </c>
      <c r="J291" s="20" t="str">
        <f t="shared" si="31"/>
        <v/>
      </c>
      <c r="K291" s="20" t="str">
        <f t="shared" si="32"/>
        <v/>
      </c>
      <c r="L291" s="20" t="str">
        <f>IF(B291="","",70*'DDF Original'!$Q$4)</f>
        <v/>
      </c>
      <c r="M291" s="20" t="str">
        <f t="shared" si="33"/>
        <v/>
      </c>
      <c r="N291" s="20" t="str">
        <f>IF(AND(OR(B291="",J291&gt;G291,M291&gt;G291),'DDF Original'!L291&lt;&gt; "MI"),G291,IF(M291&gt;J291,M291,J291))</f>
        <v/>
      </c>
    </row>
    <row r="292" spans="2:14" x14ac:dyDescent="0.2">
      <c r="B292" s="19" t="str">
        <f>IF('DDF Original'!B292="","",'DDF Original'!B292)</f>
        <v/>
      </c>
      <c r="C292" s="19" t="e">
        <f t="shared" si="34"/>
        <v>#VALUE!</v>
      </c>
      <c r="D292" s="20" t="str">
        <f>IF('DDF Original'!C292="","",'DDF Original'!C292)</f>
        <v/>
      </c>
      <c r="E292" s="24" t="str">
        <f>IF('DDF Original'!B292="","",IF(TRIM('DDF Original'!I292)="",0,'DDF Original'!I292))</f>
        <v/>
      </c>
      <c r="F292" s="20" t="str">
        <f t="shared" si="28"/>
        <v/>
      </c>
      <c r="G292" s="37" t="str">
        <f>IF('DDF Original'!B292="","",IF(TRIM('DDF Original'!P292)="",0,'DDF Original'!P292))</f>
        <v/>
      </c>
      <c r="H292" s="20" t="str">
        <f t="shared" si="29"/>
        <v/>
      </c>
      <c r="I292" s="25" t="str">
        <f t="shared" si="30"/>
        <v/>
      </c>
      <c r="J292" s="20" t="str">
        <f t="shared" si="31"/>
        <v/>
      </c>
      <c r="K292" s="20" t="str">
        <f t="shared" si="32"/>
        <v/>
      </c>
      <c r="L292" s="20" t="str">
        <f>IF(B292="","",70*'DDF Original'!$Q$4)</f>
        <v/>
      </c>
      <c r="M292" s="20" t="str">
        <f t="shared" si="33"/>
        <v/>
      </c>
      <c r="N292" s="20" t="str">
        <f>IF(AND(OR(B292="",J292&gt;G292,M292&gt;G292),'DDF Original'!L292&lt;&gt; "MI"),G292,IF(M292&gt;J292,M292,J292))</f>
        <v/>
      </c>
    </row>
    <row r="293" spans="2:14" x14ac:dyDescent="0.2">
      <c r="B293" s="19" t="str">
        <f>IF('DDF Original'!B293="","",'DDF Original'!B293)</f>
        <v/>
      </c>
      <c r="C293" s="19" t="e">
        <f t="shared" si="34"/>
        <v>#VALUE!</v>
      </c>
      <c r="D293" s="20" t="str">
        <f>IF('DDF Original'!C293="","",'DDF Original'!C293)</f>
        <v/>
      </c>
      <c r="E293" s="24" t="str">
        <f>IF('DDF Original'!B293="","",IF(TRIM('DDF Original'!I293)="",0,'DDF Original'!I293))</f>
        <v/>
      </c>
      <c r="F293" s="20" t="str">
        <f t="shared" si="28"/>
        <v/>
      </c>
      <c r="G293" s="37" t="str">
        <f>IF('DDF Original'!B293="","",IF(TRIM('DDF Original'!P293)="",0,'DDF Original'!P293))</f>
        <v/>
      </c>
      <c r="H293" s="20" t="str">
        <f t="shared" si="29"/>
        <v/>
      </c>
      <c r="I293" s="25" t="str">
        <f t="shared" si="30"/>
        <v/>
      </c>
      <c r="J293" s="20" t="str">
        <f t="shared" si="31"/>
        <v/>
      </c>
      <c r="K293" s="20" t="str">
        <f t="shared" si="32"/>
        <v/>
      </c>
      <c r="L293" s="20" t="str">
        <f>IF(B293="","",70*'DDF Original'!$Q$4)</f>
        <v/>
      </c>
      <c r="M293" s="20" t="str">
        <f t="shared" si="33"/>
        <v/>
      </c>
      <c r="N293" s="20" t="str">
        <f>IF(AND(OR(B293="",J293&gt;G293,M293&gt;G293),'DDF Original'!L293&lt;&gt; "MI"),G293,IF(M293&gt;J293,M293,J293))</f>
        <v/>
      </c>
    </row>
    <row r="294" spans="2:14" x14ac:dyDescent="0.2">
      <c r="B294" s="19" t="str">
        <f>IF('DDF Original'!B294="","",'DDF Original'!B294)</f>
        <v/>
      </c>
      <c r="C294" s="19" t="e">
        <f t="shared" si="34"/>
        <v>#VALUE!</v>
      </c>
      <c r="D294" s="20" t="str">
        <f>IF('DDF Original'!C294="","",'DDF Original'!C294)</f>
        <v/>
      </c>
      <c r="E294" s="24" t="str">
        <f>IF('DDF Original'!B294="","",IF(TRIM('DDF Original'!I294)="",0,'DDF Original'!I294))</f>
        <v/>
      </c>
      <c r="F294" s="20" t="str">
        <f t="shared" si="28"/>
        <v/>
      </c>
      <c r="G294" s="37" t="str">
        <f>IF('DDF Original'!B294="","",IF(TRIM('DDF Original'!P294)="",0,'DDF Original'!P294))</f>
        <v/>
      </c>
      <c r="H294" s="20" t="str">
        <f t="shared" si="29"/>
        <v/>
      </c>
      <c r="I294" s="25" t="str">
        <f t="shared" si="30"/>
        <v/>
      </c>
      <c r="J294" s="20" t="str">
        <f t="shared" si="31"/>
        <v/>
      </c>
      <c r="K294" s="20" t="str">
        <f t="shared" si="32"/>
        <v/>
      </c>
      <c r="L294" s="20" t="str">
        <f>IF(B294="","",70*'DDF Original'!$Q$4)</f>
        <v/>
      </c>
      <c r="M294" s="20" t="str">
        <f t="shared" si="33"/>
        <v/>
      </c>
      <c r="N294" s="20" t="str">
        <f>IF(AND(OR(B294="",J294&gt;G294,M294&gt;G294),'DDF Original'!L294&lt;&gt; "MI"),G294,IF(M294&gt;J294,M294,J294))</f>
        <v/>
      </c>
    </row>
    <row r="295" spans="2:14" x14ac:dyDescent="0.2">
      <c r="B295" s="19" t="str">
        <f>IF('DDF Original'!B295="","",'DDF Original'!B295)</f>
        <v/>
      </c>
      <c r="C295" s="19" t="e">
        <f t="shared" si="34"/>
        <v>#VALUE!</v>
      </c>
      <c r="D295" s="20" t="str">
        <f>IF('DDF Original'!C295="","",'DDF Original'!C295)</f>
        <v/>
      </c>
      <c r="E295" s="24" t="str">
        <f>IF('DDF Original'!B295="","",IF(TRIM('DDF Original'!I295)="",0,'DDF Original'!I295))</f>
        <v/>
      </c>
      <c r="F295" s="20" t="str">
        <f t="shared" si="28"/>
        <v/>
      </c>
      <c r="G295" s="37" t="str">
        <f>IF('DDF Original'!B295="","",IF(TRIM('DDF Original'!P295)="",0,'DDF Original'!P295))</f>
        <v/>
      </c>
      <c r="H295" s="20" t="str">
        <f t="shared" si="29"/>
        <v/>
      </c>
      <c r="I295" s="25" t="str">
        <f t="shared" si="30"/>
        <v/>
      </c>
      <c r="J295" s="20" t="str">
        <f t="shared" si="31"/>
        <v/>
      </c>
      <c r="K295" s="20" t="str">
        <f t="shared" si="32"/>
        <v/>
      </c>
      <c r="L295" s="20" t="str">
        <f>IF(B295="","",70*'DDF Original'!$Q$4)</f>
        <v/>
      </c>
      <c r="M295" s="20" t="str">
        <f t="shared" si="33"/>
        <v/>
      </c>
      <c r="N295" s="20" t="str">
        <f>IF(AND(OR(B295="",J295&gt;G295,M295&gt;G295),'DDF Original'!L295&lt;&gt; "MI"),G295,IF(M295&gt;J295,M295,J295))</f>
        <v/>
      </c>
    </row>
    <row r="296" spans="2:14" x14ac:dyDescent="0.2">
      <c r="B296" s="19" t="str">
        <f>IF('DDF Original'!B296="","",'DDF Original'!B296)</f>
        <v/>
      </c>
      <c r="C296" s="19" t="e">
        <f t="shared" si="34"/>
        <v>#VALUE!</v>
      </c>
      <c r="D296" s="20" t="str">
        <f>IF('DDF Original'!C296="","",'DDF Original'!C296)</f>
        <v/>
      </c>
      <c r="E296" s="24" t="str">
        <f>IF('DDF Original'!B296="","",IF(TRIM('DDF Original'!I296)="",0,'DDF Original'!I296))</f>
        <v/>
      </c>
      <c r="F296" s="20" t="str">
        <f t="shared" si="28"/>
        <v/>
      </c>
      <c r="G296" s="37" t="str">
        <f>IF('DDF Original'!B296="","",IF(TRIM('DDF Original'!P296)="",0,'DDF Original'!P296))</f>
        <v/>
      </c>
      <c r="H296" s="20" t="str">
        <f t="shared" si="29"/>
        <v/>
      </c>
      <c r="I296" s="25" t="str">
        <f t="shared" si="30"/>
        <v/>
      </c>
      <c r="J296" s="20" t="str">
        <f t="shared" si="31"/>
        <v/>
      </c>
      <c r="K296" s="20" t="str">
        <f t="shared" si="32"/>
        <v/>
      </c>
      <c r="L296" s="20" t="str">
        <f>IF(B296="","",70*'DDF Original'!$Q$4)</f>
        <v/>
      </c>
      <c r="M296" s="20" t="str">
        <f t="shared" si="33"/>
        <v/>
      </c>
      <c r="N296" s="20" t="str">
        <f>IF(AND(OR(B296="",J296&gt;G296,M296&gt;G296),'DDF Original'!L296&lt;&gt; "MI"),G296,IF(M296&gt;J296,M296,J296))</f>
        <v/>
      </c>
    </row>
    <row r="297" spans="2:14" x14ac:dyDescent="0.2">
      <c r="B297" s="19" t="str">
        <f>IF('DDF Original'!B297="","",'DDF Original'!B297)</f>
        <v/>
      </c>
      <c r="C297" s="19" t="e">
        <f t="shared" si="34"/>
        <v>#VALUE!</v>
      </c>
      <c r="D297" s="20" t="str">
        <f>IF('DDF Original'!C297="","",'DDF Original'!C297)</f>
        <v/>
      </c>
      <c r="E297" s="24" t="str">
        <f>IF('DDF Original'!B297="","",IF(TRIM('DDF Original'!I297)="",0,'DDF Original'!I297))</f>
        <v/>
      </c>
      <c r="F297" s="20" t="str">
        <f t="shared" si="28"/>
        <v/>
      </c>
      <c r="G297" s="37" t="str">
        <f>IF('DDF Original'!B297="","",IF(TRIM('DDF Original'!P297)="",0,'DDF Original'!P297))</f>
        <v/>
      </c>
      <c r="H297" s="20" t="str">
        <f t="shared" si="29"/>
        <v/>
      </c>
      <c r="I297" s="25" t="str">
        <f t="shared" si="30"/>
        <v/>
      </c>
      <c r="J297" s="20" t="str">
        <f t="shared" si="31"/>
        <v/>
      </c>
      <c r="K297" s="20" t="str">
        <f t="shared" si="32"/>
        <v/>
      </c>
      <c r="L297" s="20" t="str">
        <f>IF(B297="","",70*'DDF Original'!$Q$4)</f>
        <v/>
      </c>
      <c r="M297" s="20" t="str">
        <f t="shared" si="33"/>
        <v/>
      </c>
      <c r="N297" s="20" t="str">
        <f>IF(AND(OR(B297="",J297&gt;G297,M297&gt;G297),'DDF Original'!L297&lt;&gt; "MI"),G297,IF(M297&gt;J297,M297,J297))</f>
        <v/>
      </c>
    </row>
    <row r="298" spans="2:14" x14ac:dyDescent="0.2">
      <c r="B298" s="19" t="str">
        <f>IF('DDF Original'!B298="","",'DDF Original'!B298)</f>
        <v/>
      </c>
      <c r="C298" s="19" t="e">
        <f t="shared" si="34"/>
        <v>#VALUE!</v>
      </c>
      <c r="D298" s="20" t="str">
        <f>IF('DDF Original'!C298="","",'DDF Original'!C298)</f>
        <v/>
      </c>
      <c r="E298" s="24" t="str">
        <f>IF('DDF Original'!B298="","",IF(TRIM('DDF Original'!I298)="",0,'DDF Original'!I298))</f>
        <v/>
      </c>
      <c r="F298" s="20" t="str">
        <f t="shared" si="28"/>
        <v/>
      </c>
      <c r="G298" s="37" t="str">
        <f>IF('DDF Original'!B298="","",IF(TRIM('DDF Original'!P298)="",0,'DDF Original'!P298))</f>
        <v/>
      </c>
      <c r="H298" s="20" t="str">
        <f t="shared" si="29"/>
        <v/>
      </c>
      <c r="I298" s="25" t="str">
        <f t="shared" si="30"/>
        <v/>
      </c>
      <c r="J298" s="20" t="str">
        <f t="shared" si="31"/>
        <v/>
      </c>
      <c r="K298" s="20" t="str">
        <f t="shared" si="32"/>
        <v/>
      </c>
      <c r="L298" s="20" t="str">
        <f>IF(B298="","",70*'DDF Original'!$Q$4)</f>
        <v/>
      </c>
      <c r="M298" s="20" t="str">
        <f t="shared" si="33"/>
        <v/>
      </c>
      <c r="N298" s="20" t="str">
        <f>IF(AND(OR(B298="",J298&gt;G298,M298&gt;G298),'DDF Original'!L298&lt;&gt; "MI"),G298,IF(M298&gt;J298,M298,J298))</f>
        <v/>
      </c>
    </row>
    <row r="299" spans="2:14" x14ac:dyDescent="0.2">
      <c r="B299" s="19" t="str">
        <f>IF('DDF Original'!B299="","",'DDF Original'!B299)</f>
        <v/>
      </c>
      <c r="C299" s="19" t="e">
        <f t="shared" si="34"/>
        <v>#VALUE!</v>
      </c>
      <c r="D299" s="20" t="str">
        <f>IF('DDF Original'!C299="","",'DDF Original'!C299)</f>
        <v/>
      </c>
      <c r="E299" s="24" t="str">
        <f>IF('DDF Original'!B299="","",IF(TRIM('DDF Original'!I299)="",0,'DDF Original'!I299))</f>
        <v/>
      </c>
      <c r="F299" s="20" t="str">
        <f t="shared" si="28"/>
        <v/>
      </c>
      <c r="G299" s="37" t="str">
        <f>IF('DDF Original'!B299="","",IF(TRIM('DDF Original'!P299)="",0,'DDF Original'!P299))</f>
        <v/>
      </c>
      <c r="H299" s="20" t="str">
        <f t="shared" si="29"/>
        <v/>
      </c>
      <c r="I299" s="25" t="str">
        <f t="shared" si="30"/>
        <v/>
      </c>
      <c r="J299" s="20" t="str">
        <f t="shared" si="31"/>
        <v/>
      </c>
      <c r="K299" s="20" t="str">
        <f t="shared" si="32"/>
        <v/>
      </c>
      <c r="L299" s="20" t="str">
        <f>IF(B299="","",70*'DDF Original'!$Q$4)</f>
        <v/>
      </c>
      <c r="M299" s="20" t="str">
        <f t="shared" si="33"/>
        <v/>
      </c>
      <c r="N299" s="20" t="str">
        <f>IF(AND(OR(B299="",J299&gt;G299,M299&gt;G299),'DDF Original'!L299&lt;&gt; "MI"),G299,IF(M299&gt;J299,M299,J299))</f>
        <v/>
      </c>
    </row>
    <row r="300" spans="2:14" x14ac:dyDescent="0.2">
      <c r="B300" s="19" t="str">
        <f>IF('DDF Original'!B300="","",'DDF Original'!B300)</f>
        <v/>
      </c>
      <c r="C300" s="19" t="e">
        <f t="shared" si="34"/>
        <v>#VALUE!</v>
      </c>
      <c r="D300" s="20" t="str">
        <f>IF('DDF Original'!C300="","",'DDF Original'!C300)</f>
        <v/>
      </c>
      <c r="E300" s="24" t="str">
        <f>IF('DDF Original'!B300="","",IF(TRIM('DDF Original'!I300)="",0,'DDF Original'!I300))</f>
        <v/>
      </c>
      <c r="F300" s="20" t="str">
        <f t="shared" si="28"/>
        <v/>
      </c>
      <c r="G300" s="37" t="str">
        <f>IF('DDF Original'!B300="","",IF(TRIM('DDF Original'!P300)="",0,'DDF Original'!P300))</f>
        <v/>
      </c>
      <c r="H300" s="20" t="str">
        <f t="shared" si="29"/>
        <v/>
      </c>
      <c r="I300" s="25" t="str">
        <f t="shared" si="30"/>
        <v/>
      </c>
      <c r="J300" s="20" t="str">
        <f t="shared" si="31"/>
        <v/>
      </c>
      <c r="K300" s="20" t="str">
        <f t="shared" si="32"/>
        <v/>
      </c>
      <c r="L300" s="20" t="str">
        <f>IF(B300="","",70*'DDF Original'!$Q$4)</f>
        <v/>
      </c>
      <c r="M300" s="20" t="str">
        <f t="shared" si="33"/>
        <v/>
      </c>
      <c r="N300" s="20" t="str">
        <f>IF(AND(OR(B300="",J300&gt;G300,M300&gt;G300),'DDF Original'!L300&lt;&gt; "MI"),G300,IF(M300&gt;J300,M300,J300))</f>
        <v/>
      </c>
    </row>
    <row r="301" spans="2:14" x14ac:dyDescent="0.2">
      <c r="B301" s="19" t="str">
        <f>IF('DDF Original'!B301="","",'DDF Original'!B301)</f>
        <v/>
      </c>
      <c r="C301" s="19" t="e">
        <f t="shared" si="34"/>
        <v>#VALUE!</v>
      </c>
      <c r="D301" s="20" t="str">
        <f>IF('DDF Original'!C301="","",'DDF Original'!C301)</f>
        <v/>
      </c>
      <c r="E301" s="24" t="str">
        <f>IF('DDF Original'!B301="","",IF(TRIM('DDF Original'!I301)="",0,'DDF Original'!I301))</f>
        <v/>
      </c>
      <c r="F301" s="20" t="str">
        <f t="shared" si="28"/>
        <v/>
      </c>
      <c r="G301" s="37" t="str">
        <f>IF('DDF Original'!B301="","",IF(TRIM('DDF Original'!P301)="",0,'DDF Original'!P301))</f>
        <v/>
      </c>
      <c r="H301" s="20" t="str">
        <f t="shared" si="29"/>
        <v/>
      </c>
      <c r="I301" s="25" t="str">
        <f t="shared" si="30"/>
        <v/>
      </c>
      <c r="J301" s="20" t="str">
        <f t="shared" si="31"/>
        <v/>
      </c>
      <c r="K301" s="20" t="str">
        <f t="shared" si="32"/>
        <v/>
      </c>
      <c r="L301" s="20" t="str">
        <f>IF(B301="","",70*'DDF Original'!$Q$4)</f>
        <v/>
      </c>
      <c r="M301" s="20" t="str">
        <f t="shared" si="33"/>
        <v/>
      </c>
      <c r="N301" s="20" t="str">
        <f>IF(AND(OR(B301="",J301&gt;G301,M301&gt;G301),'DDF Original'!L301&lt;&gt; "MI"),G301,IF(M301&gt;J301,M301,J301))</f>
        <v/>
      </c>
    </row>
    <row r="302" spans="2:14" x14ac:dyDescent="0.2">
      <c r="B302" s="19" t="str">
        <f>IF('DDF Original'!B302="","",'DDF Original'!B302)</f>
        <v/>
      </c>
      <c r="C302" s="19" t="e">
        <f t="shared" si="34"/>
        <v>#VALUE!</v>
      </c>
      <c r="D302" s="20" t="str">
        <f>IF('DDF Original'!C302="","",'DDF Original'!C302)</f>
        <v/>
      </c>
      <c r="E302" s="24" t="str">
        <f>IF('DDF Original'!B302="","",IF(TRIM('DDF Original'!I302)="",0,'DDF Original'!I302))</f>
        <v/>
      </c>
      <c r="F302" s="20" t="str">
        <f t="shared" si="28"/>
        <v/>
      </c>
      <c r="G302" s="37" t="str">
        <f>IF('DDF Original'!B302="","",IF(TRIM('DDF Original'!P302)="",0,'DDF Original'!P302))</f>
        <v/>
      </c>
      <c r="H302" s="20" t="str">
        <f t="shared" si="29"/>
        <v/>
      </c>
      <c r="I302" s="25" t="str">
        <f t="shared" si="30"/>
        <v/>
      </c>
      <c r="J302" s="20" t="str">
        <f t="shared" si="31"/>
        <v/>
      </c>
      <c r="K302" s="20" t="str">
        <f t="shared" si="32"/>
        <v/>
      </c>
      <c r="L302" s="20" t="str">
        <f>IF(B302="","",70*'DDF Original'!$Q$4)</f>
        <v/>
      </c>
      <c r="M302" s="20" t="str">
        <f t="shared" si="33"/>
        <v/>
      </c>
      <c r="N302" s="20" t="str">
        <f>IF(AND(OR(B302="",J302&gt;G302,M302&gt;G302),'DDF Original'!L302&lt;&gt; "MI"),G302,IF(M302&gt;J302,M302,J302))</f>
        <v/>
      </c>
    </row>
    <row r="303" spans="2:14" x14ac:dyDescent="0.2">
      <c r="B303" s="19" t="str">
        <f>IF('DDF Original'!B303="","",'DDF Original'!B303)</f>
        <v/>
      </c>
      <c r="C303" s="19" t="e">
        <f t="shared" si="34"/>
        <v>#VALUE!</v>
      </c>
      <c r="D303" s="20" t="str">
        <f>IF('DDF Original'!C303="","",'DDF Original'!C303)</f>
        <v/>
      </c>
      <c r="E303" s="24" t="str">
        <f>IF('DDF Original'!B303="","",IF(TRIM('DDF Original'!I303)="",0,'DDF Original'!I303))</f>
        <v/>
      </c>
      <c r="F303" s="20" t="str">
        <f t="shared" si="28"/>
        <v/>
      </c>
      <c r="G303" s="37" t="str">
        <f>IF('DDF Original'!B303="","",IF(TRIM('DDF Original'!P303)="",0,'DDF Original'!P303))</f>
        <v/>
      </c>
      <c r="H303" s="20" t="str">
        <f t="shared" si="29"/>
        <v/>
      </c>
      <c r="I303" s="25" t="str">
        <f t="shared" si="30"/>
        <v/>
      </c>
      <c r="J303" s="20" t="str">
        <f t="shared" si="31"/>
        <v/>
      </c>
      <c r="K303" s="20" t="str">
        <f t="shared" si="32"/>
        <v/>
      </c>
      <c r="L303" s="20" t="str">
        <f>IF(B303="","",70*'DDF Original'!$Q$4)</f>
        <v/>
      </c>
      <c r="M303" s="20" t="str">
        <f t="shared" si="33"/>
        <v/>
      </c>
      <c r="N303" s="20" t="str">
        <f>IF(AND(OR(B303="",J303&gt;G303,M303&gt;G303),'DDF Original'!L303&lt;&gt; "MI"),G303,IF(M303&gt;J303,M303,J303))</f>
        <v/>
      </c>
    </row>
    <row r="304" spans="2:14" x14ac:dyDescent="0.2">
      <c r="B304" s="19" t="str">
        <f>IF('DDF Original'!B304="","",'DDF Original'!B304)</f>
        <v/>
      </c>
      <c r="C304" s="19" t="e">
        <f t="shared" si="34"/>
        <v>#VALUE!</v>
      </c>
      <c r="D304" s="20" t="str">
        <f>IF('DDF Original'!C304="","",'DDF Original'!C304)</f>
        <v/>
      </c>
      <c r="E304" s="24" t="str">
        <f>IF('DDF Original'!B304="","",IF(TRIM('DDF Original'!I304)="",0,'DDF Original'!I304))</f>
        <v/>
      </c>
      <c r="F304" s="20" t="str">
        <f t="shared" si="28"/>
        <v/>
      </c>
      <c r="G304" s="37" t="str">
        <f>IF('DDF Original'!B304="","",IF(TRIM('DDF Original'!P304)="",0,'DDF Original'!P304))</f>
        <v/>
      </c>
      <c r="H304" s="20" t="str">
        <f t="shared" si="29"/>
        <v/>
      </c>
      <c r="I304" s="25" t="str">
        <f t="shared" si="30"/>
        <v/>
      </c>
      <c r="J304" s="20" t="str">
        <f t="shared" si="31"/>
        <v/>
      </c>
      <c r="K304" s="20" t="str">
        <f t="shared" si="32"/>
        <v/>
      </c>
      <c r="L304" s="20" t="str">
        <f>IF(B304="","",70*'DDF Original'!$Q$4)</f>
        <v/>
      </c>
      <c r="M304" s="20" t="str">
        <f t="shared" si="33"/>
        <v/>
      </c>
      <c r="N304" s="20" t="str">
        <f>IF(AND(OR(B304="",J304&gt;G304,M304&gt;G304),'DDF Original'!L304&lt;&gt; "MI"),G304,IF(M304&gt;J304,M304,J304))</f>
        <v/>
      </c>
    </row>
    <row r="305" spans="2:14" x14ac:dyDescent="0.2">
      <c r="B305" s="19" t="str">
        <f>IF('DDF Original'!B305="","",'DDF Original'!B305)</f>
        <v/>
      </c>
      <c r="C305" s="19" t="e">
        <f t="shared" si="34"/>
        <v>#VALUE!</v>
      </c>
      <c r="D305" s="20" t="str">
        <f>IF('DDF Original'!C305="","",'DDF Original'!C305)</f>
        <v/>
      </c>
      <c r="E305" s="24" t="str">
        <f>IF('DDF Original'!B305="","",IF(TRIM('DDF Original'!I305)="",0,'DDF Original'!I305))</f>
        <v/>
      </c>
      <c r="F305" s="20" t="str">
        <f t="shared" si="28"/>
        <v/>
      </c>
      <c r="G305" s="37" t="str">
        <f>IF('DDF Original'!B305="","",IF(TRIM('DDF Original'!P305)="",0,'DDF Original'!P305))</f>
        <v/>
      </c>
      <c r="H305" s="20" t="str">
        <f t="shared" si="29"/>
        <v/>
      </c>
      <c r="I305" s="25" t="str">
        <f t="shared" si="30"/>
        <v/>
      </c>
      <c r="J305" s="20" t="str">
        <f t="shared" si="31"/>
        <v/>
      </c>
      <c r="K305" s="20" t="str">
        <f t="shared" si="32"/>
        <v/>
      </c>
      <c r="L305" s="20" t="str">
        <f>IF(B305="","",70*'DDF Original'!$Q$4)</f>
        <v/>
      </c>
      <c r="M305" s="20" t="str">
        <f t="shared" si="33"/>
        <v/>
      </c>
      <c r="N305" s="20" t="str">
        <f>IF(AND(OR(B305="",J305&gt;G305,M305&gt;G305),'DDF Original'!L305&lt;&gt; "MI"),G305,IF(M305&gt;J305,M305,J305))</f>
        <v/>
      </c>
    </row>
    <row r="306" spans="2:14" x14ac:dyDescent="0.2">
      <c r="B306" s="19" t="str">
        <f>IF('DDF Original'!B306="","",'DDF Original'!B306)</f>
        <v/>
      </c>
      <c r="C306" s="19" t="e">
        <f t="shared" si="34"/>
        <v>#VALUE!</v>
      </c>
      <c r="D306" s="20" t="str">
        <f>IF('DDF Original'!C306="","",'DDF Original'!C306)</f>
        <v/>
      </c>
      <c r="E306" s="24" t="str">
        <f>IF('DDF Original'!B306="","",IF(TRIM('DDF Original'!I306)="",0,'DDF Original'!I306))</f>
        <v/>
      </c>
      <c r="F306" s="20" t="str">
        <f t="shared" si="28"/>
        <v/>
      </c>
      <c r="G306" s="37" t="str">
        <f>IF('DDF Original'!B306="","",IF(TRIM('DDF Original'!P306)="",0,'DDF Original'!P306))</f>
        <v/>
      </c>
      <c r="H306" s="20" t="str">
        <f t="shared" si="29"/>
        <v/>
      </c>
      <c r="I306" s="25" t="str">
        <f t="shared" si="30"/>
        <v/>
      </c>
      <c r="J306" s="20" t="str">
        <f t="shared" si="31"/>
        <v/>
      </c>
      <c r="K306" s="20" t="str">
        <f t="shared" si="32"/>
        <v/>
      </c>
      <c r="L306" s="20" t="str">
        <f>IF(B306="","",70*'DDF Original'!$Q$4)</f>
        <v/>
      </c>
      <c r="M306" s="20" t="str">
        <f t="shared" si="33"/>
        <v/>
      </c>
      <c r="N306" s="20" t="str">
        <f>IF(AND(OR(B306="",J306&gt;G306,M306&gt;G306),'DDF Original'!L306&lt;&gt; "MI"),G306,IF(M306&gt;J306,M306,J306))</f>
        <v/>
      </c>
    </row>
    <row r="307" spans="2:14" x14ac:dyDescent="0.2">
      <c r="B307" s="19" t="str">
        <f>IF('DDF Original'!B307="","",'DDF Original'!B307)</f>
        <v/>
      </c>
      <c r="C307" s="19" t="e">
        <f t="shared" si="34"/>
        <v>#VALUE!</v>
      </c>
      <c r="D307" s="20" t="str">
        <f>IF('DDF Original'!C307="","",'DDF Original'!C307)</f>
        <v/>
      </c>
      <c r="E307" s="24" t="str">
        <f>IF('DDF Original'!B307="","",IF(TRIM('DDF Original'!I307)="",0,'DDF Original'!I307))</f>
        <v/>
      </c>
      <c r="F307" s="20" t="str">
        <f t="shared" si="28"/>
        <v/>
      </c>
      <c r="G307" s="37" t="str">
        <f>IF('DDF Original'!B307="","",IF(TRIM('DDF Original'!P307)="",0,'DDF Original'!P307))</f>
        <v/>
      </c>
      <c r="H307" s="20" t="str">
        <f t="shared" si="29"/>
        <v/>
      </c>
      <c r="I307" s="25" t="str">
        <f t="shared" si="30"/>
        <v/>
      </c>
      <c r="J307" s="20" t="str">
        <f t="shared" si="31"/>
        <v/>
      </c>
      <c r="K307" s="20" t="str">
        <f t="shared" si="32"/>
        <v/>
      </c>
      <c r="L307" s="20" t="str">
        <f>IF(B307="","",70*'DDF Original'!$Q$4)</f>
        <v/>
      </c>
      <c r="M307" s="20" t="str">
        <f t="shared" si="33"/>
        <v/>
      </c>
      <c r="N307" s="20" t="str">
        <f>IF(AND(OR(B307="",J307&gt;G307,M307&gt;G307),'DDF Original'!L307&lt;&gt; "MI"),G307,IF(M307&gt;J307,M307,J307))</f>
        <v/>
      </c>
    </row>
    <row r="308" spans="2:14" x14ac:dyDescent="0.2">
      <c r="B308" s="19" t="str">
        <f>IF('DDF Original'!B308="","",'DDF Original'!B308)</f>
        <v/>
      </c>
      <c r="C308" s="19" t="e">
        <f t="shared" si="34"/>
        <v>#VALUE!</v>
      </c>
      <c r="D308" s="20" t="str">
        <f>IF('DDF Original'!C308="","",'DDF Original'!C308)</f>
        <v/>
      </c>
      <c r="E308" s="24" t="str">
        <f>IF('DDF Original'!B308="","",IF(TRIM('DDF Original'!I308)="",0,'DDF Original'!I308))</f>
        <v/>
      </c>
      <c r="F308" s="20" t="str">
        <f t="shared" si="28"/>
        <v/>
      </c>
      <c r="G308" s="37" t="str">
        <f>IF('DDF Original'!B308="","",IF(TRIM('DDF Original'!P308)="",0,'DDF Original'!P308))</f>
        <v/>
      </c>
      <c r="H308" s="20" t="str">
        <f t="shared" si="29"/>
        <v/>
      </c>
      <c r="I308" s="25" t="str">
        <f t="shared" si="30"/>
        <v/>
      </c>
      <c r="J308" s="20" t="str">
        <f t="shared" si="31"/>
        <v/>
      </c>
      <c r="K308" s="20" t="str">
        <f t="shared" si="32"/>
        <v/>
      </c>
      <c r="L308" s="20" t="str">
        <f>IF(B308="","",70*'DDF Original'!$Q$4)</f>
        <v/>
      </c>
      <c r="M308" s="20" t="str">
        <f t="shared" si="33"/>
        <v/>
      </c>
      <c r="N308" s="20" t="str">
        <f>IF(AND(OR(B308="",J308&gt;G308,M308&gt;G308),'DDF Original'!L308&lt;&gt; "MI"),G308,IF(M308&gt;J308,M308,J308))</f>
        <v/>
      </c>
    </row>
    <row r="309" spans="2:14" x14ac:dyDescent="0.2">
      <c r="B309" s="19" t="str">
        <f>IF('DDF Original'!B309="","",'DDF Original'!B309)</f>
        <v/>
      </c>
      <c r="C309" s="19" t="e">
        <f t="shared" si="34"/>
        <v>#VALUE!</v>
      </c>
      <c r="D309" s="20" t="str">
        <f>IF('DDF Original'!C309="","",'DDF Original'!C309)</f>
        <v/>
      </c>
      <c r="E309" s="24" t="str">
        <f>IF('DDF Original'!B309="","",IF(TRIM('DDF Original'!I309)="",0,'DDF Original'!I309))</f>
        <v/>
      </c>
      <c r="F309" s="20" t="str">
        <f t="shared" si="28"/>
        <v/>
      </c>
      <c r="G309" s="37" t="str">
        <f>IF('DDF Original'!B309="","",IF(TRIM('DDF Original'!P309)="",0,'DDF Original'!P309))</f>
        <v/>
      </c>
      <c r="H309" s="20" t="str">
        <f t="shared" si="29"/>
        <v/>
      </c>
      <c r="I309" s="25" t="str">
        <f t="shared" si="30"/>
        <v/>
      </c>
      <c r="J309" s="20" t="str">
        <f t="shared" si="31"/>
        <v/>
      </c>
      <c r="K309" s="20" t="str">
        <f t="shared" si="32"/>
        <v/>
      </c>
      <c r="L309" s="20" t="str">
        <f>IF(B309="","",70*'DDF Original'!$Q$4)</f>
        <v/>
      </c>
      <c r="M309" s="20" t="str">
        <f t="shared" si="33"/>
        <v/>
      </c>
      <c r="N309" s="20" t="str">
        <f>IF(AND(OR(B309="",J309&gt;G309,M309&gt;G309),'DDF Original'!L309&lt;&gt; "MI"),G309,IF(M309&gt;J309,M309,J309))</f>
        <v/>
      </c>
    </row>
    <row r="310" spans="2:14" x14ac:dyDescent="0.2">
      <c r="B310" s="19" t="str">
        <f>IF('DDF Original'!B310="","",'DDF Original'!B310)</f>
        <v/>
      </c>
      <c r="C310" s="19" t="e">
        <f t="shared" si="34"/>
        <v>#VALUE!</v>
      </c>
      <c r="D310" s="20" t="str">
        <f>IF('DDF Original'!C310="","",'DDF Original'!C310)</f>
        <v/>
      </c>
      <c r="E310" s="24" t="str">
        <f>IF('DDF Original'!B310="","",IF(TRIM('DDF Original'!I310)="",0,'DDF Original'!I310))</f>
        <v/>
      </c>
      <c r="F310" s="20" t="str">
        <f t="shared" si="28"/>
        <v/>
      </c>
      <c r="G310" s="37" t="str">
        <f>IF('DDF Original'!B310="","",IF(TRIM('DDF Original'!P310)="",0,'DDF Original'!P310))</f>
        <v/>
      </c>
      <c r="H310" s="20" t="str">
        <f t="shared" si="29"/>
        <v/>
      </c>
      <c r="I310" s="25" t="str">
        <f t="shared" si="30"/>
        <v/>
      </c>
      <c r="J310" s="20" t="str">
        <f t="shared" si="31"/>
        <v/>
      </c>
      <c r="K310" s="20" t="str">
        <f t="shared" si="32"/>
        <v/>
      </c>
      <c r="L310" s="20" t="str">
        <f>IF(B310="","",70*'DDF Original'!$Q$4)</f>
        <v/>
      </c>
      <c r="M310" s="20" t="str">
        <f t="shared" si="33"/>
        <v/>
      </c>
      <c r="N310" s="20" t="str">
        <f>IF(AND(OR(B310="",J310&gt;G310,M310&gt;G310),'DDF Original'!L310&lt;&gt; "MI"),G310,IF(M310&gt;J310,M310,J310))</f>
        <v/>
      </c>
    </row>
    <row r="311" spans="2:14" x14ac:dyDescent="0.2">
      <c r="B311" s="19" t="str">
        <f>IF('DDF Original'!B311="","",'DDF Original'!B311)</f>
        <v/>
      </c>
      <c r="C311" s="19" t="e">
        <f t="shared" si="34"/>
        <v>#VALUE!</v>
      </c>
      <c r="D311" s="20" t="str">
        <f>IF('DDF Original'!C311="","",'DDF Original'!C311)</f>
        <v/>
      </c>
      <c r="E311" s="24" t="str">
        <f>IF('DDF Original'!B311="","",IF(TRIM('DDF Original'!I311)="",0,'DDF Original'!I311))</f>
        <v/>
      </c>
      <c r="F311" s="20" t="str">
        <f t="shared" si="28"/>
        <v/>
      </c>
      <c r="G311" s="37" t="str">
        <f>IF('DDF Original'!B311="","",IF(TRIM('DDF Original'!P311)="",0,'DDF Original'!P311))</f>
        <v/>
      </c>
      <c r="H311" s="20" t="str">
        <f t="shared" si="29"/>
        <v/>
      </c>
      <c r="I311" s="25" t="str">
        <f t="shared" si="30"/>
        <v/>
      </c>
      <c r="J311" s="20" t="str">
        <f t="shared" si="31"/>
        <v/>
      </c>
      <c r="K311" s="20" t="str">
        <f t="shared" si="32"/>
        <v/>
      </c>
      <c r="L311" s="20" t="str">
        <f>IF(B311="","",70*'DDF Original'!$Q$4)</f>
        <v/>
      </c>
      <c r="M311" s="20" t="str">
        <f t="shared" si="33"/>
        <v/>
      </c>
      <c r="N311" s="20" t="str">
        <f>IF(AND(OR(B311="",J311&gt;G311,M311&gt;G311),'DDF Original'!L311&lt;&gt; "MI"),G311,IF(M311&gt;J311,M311,J311))</f>
        <v/>
      </c>
    </row>
    <row r="312" spans="2:14" x14ac:dyDescent="0.2">
      <c r="B312" s="19" t="str">
        <f>IF('DDF Original'!B312="","",'DDF Original'!B312)</f>
        <v/>
      </c>
      <c r="C312" s="19" t="e">
        <f t="shared" si="34"/>
        <v>#VALUE!</v>
      </c>
      <c r="D312" s="20" t="str">
        <f>IF('DDF Original'!C312="","",'DDF Original'!C312)</f>
        <v/>
      </c>
      <c r="E312" s="24" t="str">
        <f>IF('DDF Original'!B312="","",IF(TRIM('DDF Original'!I312)="",0,'DDF Original'!I312))</f>
        <v/>
      </c>
      <c r="F312" s="20" t="str">
        <f t="shared" si="28"/>
        <v/>
      </c>
      <c r="G312" s="37" t="str">
        <f>IF('DDF Original'!B312="","",IF(TRIM('DDF Original'!P312)="",0,'DDF Original'!P312))</f>
        <v/>
      </c>
      <c r="H312" s="20" t="str">
        <f t="shared" si="29"/>
        <v/>
      </c>
      <c r="I312" s="25" t="str">
        <f t="shared" si="30"/>
        <v/>
      </c>
      <c r="J312" s="20" t="str">
        <f t="shared" si="31"/>
        <v/>
      </c>
      <c r="K312" s="20" t="str">
        <f t="shared" si="32"/>
        <v/>
      </c>
      <c r="L312" s="20" t="str">
        <f>IF(B312="","",70*'DDF Original'!$Q$4)</f>
        <v/>
      </c>
      <c r="M312" s="20" t="str">
        <f t="shared" si="33"/>
        <v/>
      </c>
      <c r="N312" s="20" t="str">
        <f>IF(AND(OR(B312="",J312&gt;G312,M312&gt;G312),'DDF Original'!L312&lt;&gt; "MI"),G312,IF(M312&gt;J312,M312,J312))</f>
        <v/>
      </c>
    </row>
    <row r="313" spans="2:14" x14ac:dyDescent="0.2">
      <c r="B313" s="19" t="str">
        <f>IF('DDF Original'!B313="","",'DDF Original'!B313)</f>
        <v/>
      </c>
      <c r="C313" s="19" t="e">
        <f t="shared" si="34"/>
        <v>#VALUE!</v>
      </c>
      <c r="D313" s="20" t="str">
        <f>IF('DDF Original'!C313="","",'DDF Original'!C313)</f>
        <v/>
      </c>
      <c r="E313" s="24" t="str">
        <f>IF('DDF Original'!B313="","",IF(TRIM('DDF Original'!I313)="",0,'DDF Original'!I313))</f>
        <v/>
      </c>
      <c r="F313" s="20" t="str">
        <f t="shared" si="28"/>
        <v/>
      </c>
      <c r="G313" s="37" t="str">
        <f>IF('DDF Original'!B313="","",IF(TRIM('DDF Original'!P313)="",0,'DDF Original'!P313))</f>
        <v/>
      </c>
      <c r="H313" s="20" t="str">
        <f t="shared" si="29"/>
        <v/>
      </c>
      <c r="I313" s="25" t="str">
        <f t="shared" si="30"/>
        <v/>
      </c>
      <c r="J313" s="20" t="str">
        <f t="shared" si="31"/>
        <v/>
      </c>
      <c r="K313" s="20" t="str">
        <f t="shared" si="32"/>
        <v/>
      </c>
      <c r="L313" s="20" t="str">
        <f>IF(B313="","",70*'DDF Original'!$Q$4)</f>
        <v/>
      </c>
      <c r="M313" s="20" t="str">
        <f t="shared" si="33"/>
        <v/>
      </c>
      <c r="N313" s="20" t="str">
        <f>IF(AND(OR(B313="",J313&gt;G313,M313&gt;G313),'DDF Original'!L313&lt;&gt; "MI"),G313,IF(M313&gt;J313,M313,J313))</f>
        <v/>
      </c>
    </row>
    <row r="314" spans="2:14" x14ac:dyDescent="0.2">
      <c r="B314" s="19" t="str">
        <f>IF('DDF Original'!B314="","",'DDF Original'!B314)</f>
        <v/>
      </c>
      <c r="C314" s="19" t="e">
        <f t="shared" si="34"/>
        <v>#VALUE!</v>
      </c>
      <c r="D314" s="20" t="str">
        <f>IF('DDF Original'!C314="","",'DDF Original'!C314)</f>
        <v/>
      </c>
      <c r="E314" s="24" t="str">
        <f>IF('DDF Original'!B314="","",IF(TRIM('DDF Original'!I314)="",0,'DDF Original'!I314))</f>
        <v/>
      </c>
      <c r="F314" s="20" t="str">
        <f t="shared" si="28"/>
        <v/>
      </c>
      <c r="G314" s="37" t="str">
        <f>IF('DDF Original'!B314="","",IF(TRIM('DDF Original'!P314)="",0,'DDF Original'!P314))</f>
        <v/>
      </c>
      <c r="H314" s="20" t="str">
        <f t="shared" si="29"/>
        <v/>
      </c>
      <c r="I314" s="25" t="str">
        <f t="shared" si="30"/>
        <v/>
      </c>
      <c r="J314" s="20" t="str">
        <f t="shared" si="31"/>
        <v/>
      </c>
      <c r="K314" s="20" t="str">
        <f t="shared" si="32"/>
        <v/>
      </c>
      <c r="L314" s="20" t="str">
        <f>IF(B314="","",70*'DDF Original'!$Q$4)</f>
        <v/>
      </c>
      <c r="M314" s="20" t="str">
        <f t="shared" si="33"/>
        <v/>
      </c>
      <c r="N314" s="20" t="str">
        <f>IF(AND(OR(B314="",J314&gt;G314,M314&gt;G314),'DDF Original'!L314&lt;&gt; "MI"),G314,IF(M314&gt;J314,M314,J314))</f>
        <v/>
      </c>
    </row>
    <row r="315" spans="2:14" x14ac:dyDescent="0.2">
      <c r="B315" s="19" t="str">
        <f>IF('DDF Original'!B315="","",'DDF Original'!B315)</f>
        <v/>
      </c>
      <c r="C315" s="19" t="e">
        <f t="shared" si="34"/>
        <v>#VALUE!</v>
      </c>
      <c r="D315" s="20" t="str">
        <f>IF('DDF Original'!C315="","",'DDF Original'!C315)</f>
        <v/>
      </c>
      <c r="E315" s="24" t="str">
        <f>IF('DDF Original'!B315="","",IF(TRIM('DDF Original'!I315)="",0,'DDF Original'!I315))</f>
        <v/>
      </c>
      <c r="F315" s="20" t="str">
        <f t="shared" si="28"/>
        <v/>
      </c>
      <c r="G315" s="37" t="str">
        <f>IF('DDF Original'!B315="","",IF(TRIM('DDF Original'!P315)="",0,'DDF Original'!P315))</f>
        <v/>
      </c>
      <c r="H315" s="20" t="str">
        <f t="shared" si="29"/>
        <v/>
      </c>
      <c r="I315" s="25" t="str">
        <f t="shared" si="30"/>
        <v/>
      </c>
      <c r="J315" s="20" t="str">
        <f t="shared" si="31"/>
        <v/>
      </c>
      <c r="K315" s="20" t="str">
        <f t="shared" si="32"/>
        <v/>
      </c>
      <c r="L315" s="20" t="str">
        <f>IF(B315="","",70*'DDF Original'!$Q$4)</f>
        <v/>
      </c>
      <c r="M315" s="20" t="str">
        <f t="shared" si="33"/>
        <v/>
      </c>
      <c r="N315" s="20" t="str">
        <f>IF(AND(OR(B315="",J315&gt;G315,M315&gt;G315),'DDF Original'!L315&lt;&gt; "MI"),G315,IF(M315&gt;J315,M315,J315))</f>
        <v/>
      </c>
    </row>
    <row r="316" spans="2:14" x14ac:dyDescent="0.2">
      <c r="B316" s="19" t="str">
        <f>IF('DDF Original'!B316="","",'DDF Original'!B316)</f>
        <v/>
      </c>
      <c r="C316" s="19" t="e">
        <f t="shared" si="34"/>
        <v>#VALUE!</v>
      </c>
      <c r="D316" s="20" t="str">
        <f>IF('DDF Original'!C316="","",'DDF Original'!C316)</f>
        <v/>
      </c>
      <c r="E316" s="24" t="str">
        <f>IF('DDF Original'!B316="","",IF(TRIM('DDF Original'!I316)="",0,'DDF Original'!I316))</f>
        <v/>
      </c>
      <c r="F316" s="20" t="str">
        <f t="shared" si="28"/>
        <v/>
      </c>
      <c r="G316" s="37" t="str">
        <f>IF('DDF Original'!B316="","",IF(TRIM('DDF Original'!P316)="",0,'DDF Original'!P316))</f>
        <v/>
      </c>
      <c r="H316" s="20" t="str">
        <f t="shared" si="29"/>
        <v/>
      </c>
      <c r="I316" s="25" t="str">
        <f t="shared" si="30"/>
        <v/>
      </c>
      <c r="J316" s="20" t="str">
        <f t="shared" si="31"/>
        <v/>
      </c>
      <c r="K316" s="20" t="str">
        <f t="shared" si="32"/>
        <v/>
      </c>
      <c r="L316" s="20" t="str">
        <f>IF(B316="","",70*'DDF Original'!$Q$4)</f>
        <v/>
      </c>
      <c r="M316" s="20" t="str">
        <f t="shared" si="33"/>
        <v/>
      </c>
      <c r="N316" s="20" t="str">
        <f>IF(AND(OR(B316="",J316&gt;G316,M316&gt;G316),'DDF Original'!L316&lt;&gt; "MI"),G316,IF(M316&gt;J316,M316,J316))</f>
        <v/>
      </c>
    </row>
    <row r="317" spans="2:14" x14ac:dyDescent="0.2">
      <c r="B317" s="19" t="str">
        <f>IF('DDF Original'!B317="","",'DDF Original'!B317)</f>
        <v/>
      </c>
      <c r="C317" s="19" t="e">
        <f t="shared" si="34"/>
        <v>#VALUE!</v>
      </c>
      <c r="D317" s="20" t="str">
        <f>IF('DDF Original'!C317="","",'DDF Original'!C317)</f>
        <v/>
      </c>
      <c r="E317" s="24" t="str">
        <f>IF('DDF Original'!B317="","",IF(TRIM('DDF Original'!I317)="",0,'DDF Original'!I317))</f>
        <v/>
      </c>
      <c r="F317" s="20" t="str">
        <f t="shared" si="28"/>
        <v/>
      </c>
      <c r="G317" s="37" t="str">
        <f>IF('DDF Original'!B317="","",IF(TRIM('DDF Original'!P317)="",0,'DDF Original'!P317))</f>
        <v/>
      </c>
      <c r="H317" s="20" t="str">
        <f t="shared" si="29"/>
        <v/>
      </c>
      <c r="I317" s="25" t="str">
        <f t="shared" si="30"/>
        <v/>
      </c>
      <c r="J317" s="20" t="str">
        <f t="shared" si="31"/>
        <v/>
      </c>
      <c r="K317" s="20" t="str">
        <f t="shared" si="32"/>
        <v/>
      </c>
      <c r="L317" s="20" t="str">
        <f>IF(B317="","",70*'DDF Original'!$Q$4)</f>
        <v/>
      </c>
      <c r="M317" s="20" t="str">
        <f t="shared" si="33"/>
        <v/>
      </c>
      <c r="N317" s="20" t="str">
        <f>IF(AND(OR(B317="",J317&gt;G317,M317&gt;G317),'DDF Original'!L317&lt;&gt; "MI"),G317,IF(M317&gt;J317,M317,J317))</f>
        <v/>
      </c>
    </row>
    <row r="318" spans="2:14" x14ac:dyDescent="0.2">
      <c r="B318" s="19" t="str">
        <f>IF('DDF Original'!B318="","",'DDF Original'!B318)</f>
        <v/>
      </c>
      <c r="C318" s="19" t="e">
        <f t="shared" si="34"/>
        <v>#VALUE!</v>
      </c>
      <c r="D318" s="20" t="str">
        <f>IF('DDF Original'!C318="","",'DDF Original'!C318)</f>
        <v/>
      </c>
      <c r="E318" s="24" t="str">
        <f>IF('DDF Original'!B318="","",IF(TRIM('DDF Original'!I318)="",0,'DDF Original'!I318))</f>
        <v/>
      </c>
      <c r="F318" s="20" t="str">
        <f t="shared" si="28"/>
        <v/>
      </c>
      <c r="G318" s="37" t="str">
        <f>IF('DDF Original'!B318="","",IF(TRIM('DDF Original'!P318)="",0,'DDF Original'!P318))</f>
        <v/>
      </c>
      <c r="H318" s="20" t="str">
        <f t="shared" si="29"/>
        <v/>
      </c>
      <c r="I318" s="25" t="str">
        <f t="shared" si="30"/>
        <v/>
      </c>
      <c r="J318" s="20" t="str">
        <f t="shared" si="31"/>
        <v/>
      </c>
      <c r="K318" s="20" t="str">
        <f t="shared" si="32"/>
        <v/>
      </c>
      <c r="L318" s="20" t="str">
        <f>IF(B318="","",70*'DDF Original'!$Q$4)</f>
        <v/>
      </c>
      <c r="M318" s="20" t="str">
        <f t="shared" si="33"/>
        <v/>
      </c>
      <c r="N318" s="20" t="str">
        <f>IF(AND(OR(B318="",J318&gt;G318,M318&gt;G318),'DDF Original'!L318&lt;&gt; "MI"),G318,IF(M318&gt;J318,M318,J318))</f>
        <v/>
      </c>
    </row>
    <row r="319" spans="2:14" x14ac:dyDescent="0.2">
      <c r="B319" s="19" t="str">
        <f>IF('DDF Original'!B319="","",'DDF Original'!B319)</f>
        <v/>
      </c>
      <c r="C319" s="19" t="e">
        <f t="shared" si="34"/>
        <v>#VALUE!</v>
      </c>
      <c r="D319" s="20" t="str">
        <f>IF('DDF Original'!C319="","",'DDF Original'!C319)</f>
        <v/>
      </c>
      <c r="E319" s="24" t="str">
        <f>IF('DDF Original'!B319="","",IF(TRIM('DDF Original'!I319)="",0,'DDF Original'!I319))</f>
        <v/>
      </c>
      <c r="F319" s="20" t="str">
        <f t="shared" si="28"/>
        <v/>
      </c>
      <c r="G319" s="37" t="str">
        <f>IF('DDF Original'!B319="","",IF(TRIM('DDF Original'!P319)="",0,'DDF Original'!P319))</f>
        <v/>
      </c>
      <c r="H319" s="20" t="str">
        <f t="shared" si="29"/>
        <v/>
      </c>
      <c r="I319" s="25" t="str">
        <f t="shared" si="30"/>
        <v/>
      </c>
      <c r="J319" s="20" t="str">
        <f t="shared" si="31"/>
        <v/>
      </c>
      <c r="K319" s="20" t="str">
        <f t="shared" si="32"/>
        <v/>
      </c>
      <c r="L319" s="20" t="str">
        <f>IF(B319="","",70*'DDF Original'!$Q$4)</f>
        <v/>
      </c>
      <c r="M319" s="20" t="str">
        <f t="shared" si="33"/>
        <v/>
      </c>
      <c r="N319" s="20" t="str">
        <f>IF(AND(OR(B319="",J319&gt;G319,M319&gt;G319),'DDF Original'!L319&lt;&gt; "MI"),G319,IF(M319&gt;J319,M319,J319))</f>
        <v/>
      </c>
    </row>
    <row r="320" spans="2:14" x14ac:dyDescent="0.2">
      <c r="B320" s="19" t="str">
        <f>IF('DDF Original'!B320="","",'DDF Original'!B320)</f>
        <v/>
      </c>
      <c r="C320" s="19" t="e">
        <f t="shared" si="34"/>
        <v>#VALUE!</v>
      </c>
      <c r="D320" s="20" t="str">
        <f>IF('DDF Original'!C320="","",'DDF Original'!C320)</f>
        <v/>
      </c>
      <c r="E320" s="24" t="str">
        <f>IF('DDF Original'!B320="","",IF(TRIM('DDF Original'!I320)="",0,'DDF Original'!I320))</f>
        <v/>
      </c>
      <c r="F320" s="20" t="str">
        <f t="shared" si="28"/>
        <v/>
      </c>
      <c r="G320" s="37" t="str">
        <f>IF('DDF Original'!B320="","",IF(TRIM('DDF Original'!P320)="",0,'DDF Original'!P320))</f>
        <v/>
      </c>
      <c r="H320" s="20" t="str">
        <f t="shared" si="29"/>
        <v/>
      </c>
      <c r="I320" s="25" t="str">
        <f t="shared" si="30"/>
        <v/>
      </c>
      <c r="J320" s="20" t="str">
        <f t="shared" si="31"/>
        <v/>
      </c>
      <c r="K320" s="20" t="str">
        <f t="shared" si="32"/>
        <v/>
      </c>
      <c r="L320" s="20" t="str">
        <f>IF(B320="","",70*'DDF Original'!$Q$4)</f>
        <v/>
      </c>
      <c r="M320" s="20" t="str">
        <f t="shared" si="33"/>
        <v/>
      </c>
      <c r="N320" s="20" t="str">
        <f>IF(AND(OR(B320="",J320&gt;G320,M320&gt;G320),'DDF Original'!L320&lt;&gt; "MI"),G320,IF(M320&gt;J320,M320,J320))</f>
        <v/>
      </c>
    </row>
    <row r="321" spans="2:14" x14ac:dyDescent="0.2">
      <c r="B321" s="19" t="str">
        <f>IF('DDF Original'!B321="","",'DDF Original'!B321)</f>
        <v/>
      </c>
      <c r="C321" s="19" t="e">
        <f t="shared" si="34"/>
        <v>#VALUE!</v>
      </c>
      <c r="D321" s="20" t="str">
        <f>IF('DDF Original'!C321="","",'DDF Original'!C321)</f>
        <v/>
      </c>
      <c r="E321" s="24" t="str">
        <f>IF('DDF Original'!B321="","",IF(TRIM('DDF Original'!I321)="",0,'DDF Original'!I321))</f>
        <v/>
      </c>
      <c r="F321" s="20" t="str">
        <f t="shared" si="28"/>
        <v/>
      </c>
      <c r="G321" s="37" t="str">
        <f>IF('DDF Original'!B321="","",IF(TRIM('DDF Original'!P321)="",0,'DDF Original'!P321))</f>
        <v/>
      </c>
      <c r="H321" s="20" t="str">
        <f t="shared" si="29"/>
        <v/>
      </c>
      <c r="I321" s="25" t="str">
        <f t="shared" si="30"/>
        <v/>
      </c>
      <c r="J321" s="20" t="str">
        <f t="shared" si="31"/>
        <v/>
      </c>
      <c r="K321" s="20" t="str">
        <f t="shared" si="32"/>
        <v/>
      </c>
      <c r="L321" s="20" t="str">
        <f>IF(B321="","",70*'DDF Original'!$Q$4)</f>
        <v/>
      </c>
      <c r="M321" s="20" t="str">
        <f t="shared" si="33"/>
        <v/>
      </c>
      <c r="N321" s="20" t="str">
        <f>IF(AND(OR(B321="",J321&gt;G321,M321&gt;G321),'DDF Original'!L321&lt;&gt; "MI"),G321,IF(M321&gt;J321,M321,J321))</f>
        <v/>
      </c>
    </row>
    <row r="322" spans="2:14" x14ac:dyDescent="0.2">
      <c r="B322" s="19" t="str">
        <f>IF('DDF Original'!B322="","",'DDF Original'!B322)</f>
        <v/>
      </c>
      <c r="C322" s="19" t="e">
        <f t="shared" si="34"/>
        <v>#VALUE!</v>
      </c>
      <c r="D322" s="20" t="str">
        <f>IF('DDF Original'!C322="","",'DDF Original'!C322)</f>
        <v/>
      </c>
      <c r="E322" s="24" t="str">
        <f>IF('DDF Original'!B322="","",IF(TRIM('DDF Original'!I322)="",0,'DDF Original'!I322))</f>
        <v/>
      </c>
      <c r="F322" s="20" t="str">
        <f t="shared" si="28"/>
        <v/>
      </c>
      <c r="G322" s="37" t="str">
        <f>IF('DDF Original'!B322="","",IF(TRIM('DDF Original'!P322)="",0,'DDF Original'!P322))</f>
        <v/>
      </c>
      <c r="H322" s="20" t="str">
        <f t="shared" si="29"/>
        <v/>
      </c>
      <c r="I322" s="25" t="str">
        <f t="shared" si="30"/>
        <v/>
      </c>
      <c r="J322" s="20" t="str">
        <f t="shared" si="31"/>
        <v/>
      </c>
      <c r="K322" s="20" t="str">
        <f t="shared" si="32"/>
        <v/>
      </c>
      <c r="L322" s="20" t="str">
        <f>IF(B322="","",70*'DDF Original'!$Q$4)</f>
        <v/>
      </c>
      <c r="M322" s="20" t="str">
        <f t="shared" si="33"/>
        <v/>
      </c>
      <c r="N322" s="20" t="str">
        <f>IF(AND(OR(B322="",J322&gt;G322,M322&gt;G322),'DDF Original'!L322&lt;&gt; "MI"),G322,IF(M322&gt;J322,M322,J322))</f>
        <v/>
      </c>
    </row>
    <row r="323" spans="2:14" x14ac:dyDescent="0.2">
      <c r="B323" s="19" t="str">
        <f>IF('DDF Original'!B323="","",'DDF Original'!B323)</f>
        <v/>
      </c>
      <c r="C323" s="19" t="e">
        <f t="shared" si="34"/>
        <v>#VALUE!</v>
      </c>
      <c r="D323" s="20" t="str">
        <f>IF('DDF Original'!C323="","",'DDF Original'!C323)</f>
        <v/>
      </c>
      <c r="E323" s="24" t="str">
        <f>IF('DDF Original'!B323="","",IF(TRIM('DDF Original'!I323)="",0,'DDF Original'!I323))</f>
        <v/>
      </c>
      <c r="F323" s="20" t="str">
        <f t="shared" si="28"/>
        <v/>
      </c>
      <c r="G323" s="37" t="str">
        <f>IF('DDF Original'!B323="","",IF(TRIM('DDF Original'!P323)="",0,'DDF Original'!P323))</f>
        <v/>
      </c>
      <c r="H323" s="20" t="str">
        <f t="shared" si="29"/>
        <v/>
      </c>
      <c r="I323" s="25" t="str">
        <f t="shared" si="30"/>
        <v/>
      </c>
      <c r="J323" s="20" t="str">
        <f t="shared" si="31"/>
        <v/>
      </c>
      <c r="K323" s="20" t="str">
        <f t="shared" si="32"/>
        <v/>
      </c>
      <c r="L323" s="20" t="str">
        <f>IF(B323="","",70*'DDF Original'!$Q$4)</f>
        <v/>
      </c>
      <c r="M323" s="20" t="str">
        <f t="shared" si="33"/>
        <v/>
      </c>
      <c r="N323" s="20" t="str">
        <f>IF(AND(OR(B323="",J323&gt;G323,M323&gt;G323),'DDF Original'!L323&lt;&gt; "MI"),G323,IF(M323&gt;J323,M323,J323))</f>
        <v/>
      </c>
    </row>
    <row r="324" spans="2:14" x14ac:dyDescent="0.2">
      <c r="B324" s="19" t="str">
        <f>IF('DDF Original'!B324="","",'DDF Original'!B324)</f>
        <v/>
      </c>
      <c r="C324" s="19" t="e">
        <f t="shared" si="34"/>
        <v>#VALUE!</v>
      </c>
      <c r="D324" s="20" t="str">
        <f>IF('DDF Original'!C324="","",'DDF Original'!C324)</f>
        <v/>
      </c>
      <c r="E324" s="24" t="str">
        <f>IF('DDF Original'!B324="","",IF(TRIM('DDF Original'!I324)="",0,'DDF Original'!I324))</f>
        <v/>
      </c>
      <c r="F324" s="20" t="str">
        <f t="shared" si="28"/>
        <v/>
      </c>
      <c r="G324" s="37" t="str">
        <f>IF('DDF Original'!B324="","",IF(TRIM('DDF Original'!P324)="",0,'DDF Original'!P324))</f>
        <v/>
      </c>
      <c r="H324" s="20" t="str">
        <f t="shared" si="29"/>
        <v/>
      </c>
      <c r="I324" s="25" t="str">
        <f t="shared" si="30"/>
        <v/>
      </c>
      <c r="J324" s="20" t="str">
        <f t="shared" si="31"/>
        <v/>
      </c>
      <c r="K324" s="20" t="str">
        <f t="shared" si="32"/>
        <v/>
      </c>
      <c r="L324" s="20" t="str">
        <f>IF(B324="","",70*'DDF Original'!$Q$4)</f>
        <v/>
      </c>
      <c r="M324" s="20" t="str">
        <f t="shared" si="33"/>
        <v/>
      </c>
      <c r="N324" s="20" t="str">
        <f>IF(AND(OR(B324="",J324&gt;G324,M324&gt;G324),'DDF Original'!L324&lt;&gt; "MI"),G324,IF(M324&gt;J324,M324,J324))</f>
        <v/>
      </c>
    </row>
    <row r="325" spans="2:14" x14ac:dyDescent="0.2">
      <c r="B325" s="19" t="str">
        <f>IF('DDF Original'!B325="","",'DDF Original'!B325)</f>
        <v/>
      </c>
      <c r="C325" s="19" t="e">
        <f t="shared" si="34"/>
        <v>#VALUE!</v>
      </c>
      <c r="D325" s="20" t="str">
        <f>IF('DDF Original'!C325="","",'DDF Original'!C325)</f>
        <v/>
      </c>
      <c r="E325" s="24" t="str">
        <f>IF('DDF Original'!B325="","",IF(TRIM('DDF Original'!I325)="",0,'DDF Original'!I325))</f>
        <v/>
      </c>
      <c r="F325" s="20" t="str">
        <f t="shared" si="28"/>
        <v/>
      </c>
      <c r="G325" s="37" t="str">
        <f>IF('DDF Original'!B325="","",IF(TRIM('DDF Original'!P325)="",0,'DDF Original'!P325))</f>
        <v/>
      </c>
      <c r="H325" s="20" t="str">
        <f t="shared" si="29"/>
        <v/>
      </c>
      <c r="I325" s="25" t="str">
        <f t="shared" si="30"/>
        <v/>
      </c>
      <c r="J325" s="20" t="str">
        <f t="shared" si="31"/>
        <v/>
      </c>
      <c r="K325" s="20" t="str">
        <f t="shared" si="32"/>
        <v/>
      </c>
      <c r="L325" s="20" t="str">
        <f>IF(B325="","",70*'DDF Original'!$Q$4)</f>
        <v/>
      </c>
      <c r="M325" s="20" t="str">
        <f t="shared" si="33"/>
        <v/>
      </c>
      <c r="N325" s="20" t="str">
        <f>IF(AND(OR(B325="",J325&gt;G325,M325&gt;G325),'DDF Original'!L325&lt;&gt; "MI"),G325,IF(M325&gt;J325,M325,J325))</f>
        <v/>
      </c>
    </row>
    <row r="326" spans="2:14" x14ac:dyDescent="0.2">
      <c r="B326" s="19" t="str">
        <f>IF('DDF Original'!B326="","",'DDF Original'!B326)</f>
        <v/>
      </c>
      <c r="C326" s="19" t="e">
        <f t="shared" si="34"/>
        <v>#VALUE!</v>
      </c>
      <c r="D326" s="20" t="str">
        <f>IF('DDF Original'!C326="","",'DDF Original'!C326)</f>
        <v/>
      </c>
      <c r="E326" s="24" t="str">
        <f>IF('DDF Original'!B326="","",IF(TRIM('DDF Original'!I326)="",0,'DDF Original'!I326))</f>
        <v/>
      </c>
      <c r="F326" s="20" t="str">
        <f t="shared" si="28"/>
        <v/>
      </c>
      <c r="G326" s="37" t="str">
        <f>IF('DDF Original'!B326="","",IF(TRIM('DDF Original'!P326)="",0,'DDF Original'!P326))</f>
        <v/>
      </c>
      <c r="H326" s="20" t="str">
        <f t="shared" si="29"/>
        <v/>
      </c>
      <c r="I326" s="25" t="str">
        <f t="shared" si="30"/>
        <v/>
      </c>
      <c r="J326" s="20" t="str">
        <f t="shared" si="31"/>
        <v/>
      </c>
      <c r="K326" s="20" t="str">
        <f t="shared" si="32"/>
        <v/>
      </c>
      <c r="L326" s="20" t="str">
        <f>IF(B326="","",70*'DDF Original'!$Q$4)</f>
        <v/>
      </c>
      <c r="M326" s="20" t="str">
        <f t="shared" si="33"/>
        <v/>
      </c>
      <c r="N326" s="20" t="str">
        <f>IF(AND(OR(B326="",J326&gt;G326,M326&gt;G326),'DDF Original'!L326&lt;&gt; "MI"),G326,IF(M326&gt;J326,M326,J326))</f>
        <v/>
      </c>
    </row>
    <row r="327" spans="2:14" x14ac:dyDescent="0.2">
      <c r="B327" s="19" t="str">
        <f>IF('DDF Original'!B327="","",'DDF Original'!B327)</f>
        <v/>
      </c>
      <c r="C327" s="19" t="e">
        <f t="shared" si="34"/>
        <v>#VALUE!</v>
      </c>
      <c r="D327" s="20" t="str">
        <f>IF('DDF Original'!C327="","",'DDF Original'!C327)</f>
        <v/>
      </c>
      <c r="E327" s="24" t="str">
        <f>IF('DDF Original'!B327="","",IF(TRIM('DDF Original'!I327)="",0,'DDF Original'!I327))</f>
        <v/>
      </c>
      <c r="F327" s="20" t="str">
        <f t="shared" si="28"/>
        <v/>
      </c>
      <c r="G327" s="37" t="str">
        <f>IF('DDF Original'!B327="","",IF(TRIM('DDF Original'!P327)="",0,'DDF Original'!P327))</f>
        <v/>
      </c>
      <c r="H327" s="20" t="str">
        <f t="shared" si="29"/>
        <v/>
      </c>
      <c r="I327" s="25" t="str">
        <f t="shared" si="30"/>
        <v/>
      </c>
      <c r="J327" s="20" t="str">
        <f t="shared" si="31"/>
        <v/>
      </c>
      <c r="K327" s="20" t="str">
        <f t="shared" si="32"/>
        <v/>
      </c>
      <c r="L327" s="20" t="str">
        <f>IF(B327="","",70*'DDF Original'!$Q$4)</f>
        <v/>
      </c>
      <c r="M327" s="20" t="str">
        <f t="shared" si="33"/>
        <v/>
      </c>
      <c r="N327" s="20" t="str">
        <f>IF(AND(OR(B327="",J327&gt;G327,M327&gt;G327),'DDF Original'!L327&lt;&gt; "MI"),G327,IF(M327&gt;J327,M327,J327))</f>
        <v/>
      </c>
    </row>
    <row r="328" spans="2:14" x14ac:dyDescent="0.2">
      <c r="B328" s="19" t="str">
        <f>IF('DDF Original'!B328="","",'DDF Original'!B328)</f>
        <v/>
      </c>
      <c r="C328" s="19" t="e">
        <f t="shared" si="34"/>
        <v>#VALUE!</v>
      </c>
      <c r="D328" s="20" t="str">
        <f>IF('DDF Original'!C328="","",'DDF Original'!C328)</f>
        <v/>
      </c>
      <c r="E328" s="24" t="str">
        <f>IF('DDF Original'!B328="","",IF(TRIM('DDF Original'!I328)="",0,'DDF Original'!I328))</f>
        <v/>
      </c>
      <c r="F328" s="20" t="str">
        <f t="shared" si="28"/>
        <v/>
      </c>
      <c r="G328" s="37" t="str">
        <f>IF('DDF Original'!B328="","",IF(TRIM('DDF Original'!P328)="",0,'DDF Original'!P328))</f>
        <v/>
      </c>
      <c r="H328" s="20" t="str">
        <f t="shared" si="29"/>
        <v/>
      </c>
      <c r="I328" s="25" t="str">
        <f t="shared" si="30"/>
        <v/>
      </c>
      <c r="J328" s="20" t="str">
        <f t="shared" si="31"/>
        <v/>
      </c>
      <c r="K328" s="20" t="str">
        <f t="shared" si="32"/>
        <v/>
      </c>
      <c r="L328" s="20" t="str">
        <f>IF(B328="","",70*'DDF Original'!$Q$4)</f>
        <v/>
      </c>
      <c r="M328" s="20" t="str">
        <f t="shared" si="33"/>
        <v/>
      </c>
      <c r="N328" s="20" t="str">
        <f>IF(AND(OR(B328="",J328&gt;G328,M328&gt;G328),'DDF Original'!L328&lt;&gt; "MI"),G328,IF(M328&gt;J328,M328,J328))</f>
        <v/>
      </c>
    </row>
    <row r="329" spans="2:14" x14ac:dyDescent="0.2">
      <c r="B329" s="19" t="str">
        <f>IF('DDF Original'!B329="","",'DDF Original'!B329)</f>
        <v/>
      </c>
      <c r="C329" s="19" t="e">
        <f t="shared" si="34"/>
        <v>#VALUE!</v>
      </c>
      <c r="D329" s="20" t="str">
        <f>IF('DDF Original'!C329="","",'DDF Original'!C329)</f>
        <v/>
      </c>
      <c r="E329" s="24" t="str">
        <f>IF('DDF Original'!B329="","",IF(TRIM('DDF Original'!I329)="",0,'DDF Original'!I329))</f>
        <v/>
      </c>
      <c r="F329" s="20" t="str">
        <f t="shared" ref="F329:F392" si="35">IF(D329="",D329,ROUND(D329*(1+E329/100),2))</f>
        <v/>
      </c>
      <c r="G329" s="37" t="str">
        <f>IF('DDF Original'!B329="","",IF(TRIM('DDF Original'!P329)="",0,'DDF Original'!P329))</f>
        <v/>
      </c>
      <c r="H329" s="20" t="str">
        <f t="shared" ref="H329:H392" si="36">IF(OR(D329=0,D329=""),G329,F329)</f>
        <v/>
      </c>
      <c r="I329" s="25" t="str">
        <f t="shared" ref="I329:I392" si="37">IF(B329="","",IF(OR(D329=0,D329=""),50,35))</f>
        <v/>
      </c>
      <c r="J329" s="20" t="str">
        <f t="shared" ref="J329:J392" si="38">IF(B329="","",ROUND(H329*I329/100,2))</f>
        <v/>
      </c>
      <c r="K329" s="20" t="str">
        <f t="shared" ref="K329:K392" si="39">IF(B329="","",SUMIFS($J$9:$J$508,$C$9:$C$508,"="&amp;C329))</f>
        <v/>
      </c>
      <c r="L329" s="20" t="str">
        <f>IF(B329="","",70*'DDF Original'!$Q$4)</f>
        <v/>
      </c>
      <c r="M329" s="20" t="str">
        <f t="shared" ref="M329:M392" si="40">IF(B329="","",ROUND(J329/K329*L329,2))</f>
        <v/>
      </c>
      <c r="N329" s="20" t="str">
        <f>IF(AND(OR(B329="",J329&gt;G329,M329&gt;G329),'DDF Original'!L329&lt;&gt; "MI"),G329,IF(M329&gt;J329,M329,J329))</f>
        <v/>
      </c>
    </row>
    <row r="330" spans="2:14" x14ac:dyDescent="0.2">
      <c r="B330" s="19" t="str">
        <f>IF('DDF Original'!B330="","",'DDF Original'!B330)</f>
        <v/>
      </c>
      <c r="C330" s="19" t="e">
        <f t="shared" ref="C330:C393" si="41">LEFT(B330,FIND(".",B330)-1)</f>
        <v>#VALUE!</v>
      </c>
      <c r="D330" s="20" t="str">
        <f>IF('DDF Original'!C330="","",'DDF Original'!C330)</f>
        <v/>
      </c>
      <c r="E330" s="24" t="str">
        <f>IF('DDF Original'!B330="","",IF(TRIM('DDF Original'!I330)="",0,'DDF Original'!I330))</f>
        <v/>
      </c>
      <c r="F330" s="20" t="str">
        <f t="shared" si="35"/>
        <v/>
      </c>
      <c r="G330" s="37" t="str">
        <f>IF('DDF Original'!B330="","",IF(TRIM('DDF Original'!P330)="",0,'DDF Original'!P330))</f>
        <v/>
      </c>
      <c r="H330" s="20" t="str">
        <f t="shared" si="36"/>
        <v/>
      </c>
      <c r="I330" s="25" t="str">
        <f t="shared" si="37"/>
        <v/>
      </c>
      <c r="J330" s="20" t="str">
        <f t="shared" si="38"/>
        <v/>
      </c>
      <c r="K330" s="20" t="str">
        <f t="shared" si="39"/>
        <v/>
      </c>
      <c r="L330" s="20" t="str">
        <f>IF(B330="","",70*'DDF Original'!$Q$4)</f>
        <v/>
      </c>
      <c r="M330" s="20" t="str">
        <f t="shared" si="40"/>
        <v/>
      </c>
      <c r="N330" s="20" t="str">
        <f>IF(AND(OR(B330="",J330&gt;G330,M330&gt;G330),'DDF Original'!L330&lt;&gt; "MI"),G330,IF(M330&gt;J330,M330,J330))</f>
        <v/>
      </c>
    </row>
    <row r="331" spans="2:14" x14ac:dyDescent="0.2">
      <c r="B331" s="19" t="str">
        <f>IF('DDF Original'!B331="","",'DDF Original'!B331)</f>
        <v/>
      </c>
      <c r="C331" s="19" t="e">
        <f t="shared" si="41"/>
        <v>#VALUE!</v>
      </c>
      <c r="D331" s="20" t="str">
        <f>IF('DDF Original'!C331="","",'DDF Original'!C331)</f>
        <v/>
      </c>
      <c r="E331" s="24" t="str">
        <f>IF('DDF Original'!B331="","",IF(TRIM('DDF Original'!I331)="",0,'DDF Original'!I331))</f>
        <v/>
      </c>
      <c r="F331" s="20" t="str">
        <f t="shared" si="35"/>
        <v/>
      </c>
      <c r="G331" s="37" t="str">
        <f>IF('DDF Original'!B331="","",IF(TRIM('DDF Original'!P331)="",0,'DDF Original'!P331))</f>
        <v/>
      </c>
      <c r="H331" s="20" t="str">
        <f t="shared" si="36"/>
        <v/>
      </c>
      <c r="I331" s="25" t="str">
        <f t="shared" si="37"/>
        <v/>
      </c>
      <c r="J331" s="20" t="str">
        <f t="shared" si="38"/>
        <v/>
      </c>
      <c r="K331" s="20" t="str">
        <f t="shared" si="39"/>
        <v/>
      </c>
      <c r="L331" s="20" t="str">
        <f>IF(B331="","",70*'DDF Original'!$Q$4)</f>
        <v/>
      </c>
      <c r="M331" s="20" t="str">
        <f t="shared" si="40"/>
        <v/>
      </c>
      <c r="N331" s="20" t="str">
        <f>IF(AND(OR(B331="",J331&gt;G331,M331&gt;G331),'DDF Original'!L331&lt;&gt; "MI"),G331,IF(M331&gt;J331,M331,J331))</f>
        <v/>
      </c>
    </row>
    <row r="332" spans="2:14" x14ac:dyDescent="0.2">
      <c r="B332" s="19" t="str">
        <f>IF('DDF Original'!B332="","",'DDF Original'!B332)</f>
        <v/>
      </c>
      <c r="C332" s="19" t="e">
        <f t="shared" si="41"/>
        <v>#VALUE!</v>
      </c>
      <c r="D332" s="20" t="str">
        <f>IF('DDF Original'!C332="","",'DDF Original'!C332)</f>
        <v/>
      </c>
      <c r="E332" s="24" t="str">
        <f>IF('DDF Original'!B332="","",IF(TRIM('DDF Original'!I332)="",0,'DDF Original'!I332))</f>
        <v/>
      </c>
      <c r="F332" s="20" t="str">
        <f t="shared" si="35"/>
        <v/>
      </c>
      <c r="G332" s="37" t="str">
        <f>IF('DDF Original'!B332="","",IF(TRIM('DDF Original'!P332)="",0,'DDF Original'!P332))</f>
        <v/>
      </c>
      <c r="H332" s="20" t="str">
        <f t="shared" si="36"/>
        <v/>
      </c>
      <c r="I332" s="25" t="str">
        <f t="shared" si="37"/>
        <v/>
      </c>
      <c r="J332" s="20" t="str">
        <f t="shared" si="38"/>
        <v/>
      </c>
      <c r="K332" s="20" t="str">
        <f t="shared" si="39"/>
        <v/>
      </c>
      <c r="L332" s="20" t="str">
        <f>IF(B332="","",70*'DDF Original'!$Q$4)</f>
        <v/>
      </c>
      <c r="M332" s="20" t="str">
        <f t="shared" si="40"/>
        <v/>
      </c>
      <c r="N332" s="20" t="str">
        <f>IF(AND(OR(B332="",J332&gt;G332,M332&gt;G332),'DDF Original'!L332&lt;&gt; "MI"),G332,IF(M332&gt;J332,M332,J332))</f>
        <v/>
      </c>
    </row>
    <row r="333" spans="2:14" x14ac:dyDescent="0.2">
      <c r="B333" s="19" t="str">
        <f>IF('DDF Original'!B333="","",'DDF Original'!B333)</f>
        <v/>
      </c>
      <c r="C333" s="19" t="e">
        <f t="shared" si="41"/>
        <v>#VALUE!</v>
      </c>
      <c r="D333" s="20" t="str">
        <f>IF('DDF Original'!C333="","",'DDF Original'!C333)</f>
        <v/>
      </c>
      <c r="E333" s="24" t="str">
        <f>IF('DDF Original'!B333="","",IF(TRIM('DDF Original'!I333)="",0,'DDF Original'!I333))</f>
        <v/>
      </c>
      <c r="F333" s="20" t="str">
        <f t="shared" si="35"/>
        <v/>
      </c>
      <c r="G333" s="37" t="str">
        <f>IF('DDF Original'!B333="","",IF(TRIM('DDF Original'!P333)="",0,'DDF Original'!P333))</f>
        <v/>
      </c>
      <c r="H333" s="20" t="str">
        <f t="shared" si="36"/>
        <v/>
      </c>
      <c r="I333" s="25" t="str">
        <f t="shared" si="37"/>
        <v/>
      </c>
      <c r="J333" s="20" t="str">
        <f t="shared" si="38"/>
        <v/>
      </c>
      <c r="K333" s="20" t="str">
        <f t="shared" si="39"/>
        <v/>
      </c>
      <c r="L333" s="20" t="str">
        <f>IF(B333="","",70*'DDF Original'!$Q$4)</f>
        <v/>
      </c>
      <c r="M333" s="20" t="str">
        <f t="shared" si="40"/>
        <v/>
      </c>
      <c r="N333" s="20" t="str">
        <f>IF(AND(OR(B333="",J333&gt;G333,M333&gt;G333),'DDF Original'!L333&lt;&gt; "MI"),G333,IF(M333&gt;J333,M333,J333))</f>
        <v/>
      </c>
    </row>
    <row r="334" spans="2:14" x14ac:dyDescent="0.2">
      <c r="B334" s="19" t="str">
        <f>IF('DDF Original'!B334="","",'DDF Original'!B334)</f>
        <v/>
      </c>
      <c r="C334" s="19" t="e">
        <f t="shared" si="41"/>
        <v>#VALUE!</v>
      </c>
      <c r="D334" s="20" t="str">
        <f>IF('DDF Original'!C334="","",'DDF Original'!C334)</f>
        <v/>
      </c>
      <c r="E334" s="24" t="str">
        <f>IF('DDF Original'!B334="","",IF(TRIM('DDF Original'!I334)="",0,'DDF Original'!I334))</f>
        <v/>
      </c>
      <c r="F334" s="20" t="str">
        <f t="shared" si="35"/>
        <v/>
      </c>
      <c r="G334" s="37" t="str">
        <f>IF('DDF Original'!B334="","",IF(TRIM('DDF Original'!P334)="",0,'DDF Original'!P334))</f>
        <v/>
      </c>
      <c r="H334" s="20" t="str">
        <f t="shared" si="36"/>
        <v/>
      </c>
      <c r="I334" s="25" t="str">
        <f t="shared" si="37"/>
        <v/>
      </c>
      <c r="J334" s="20" t="str">
        <f t="shared" si="38"/>
        <v/>
      </c>
      <c r="K334" s="20" t="str">
        <f t="shared" si="39"/>
        <v/>
      </c>
      <c r="L334" s="20" t="str">
        <f>IF(B334="","",70*'DDF Original'!$Q$4)</f>
        <v/>
      </c>
      <c r="M334" s="20" t="str">
        <f t="shared" si="40"/>
        <v/>
      </c>
      <c r="N334" s="20" t="str">
        <f>IF(AND(OR(B334="",J334&gt;G334,M334&gt;G334),'DDF Original'!L334&lt;&gt; "MI"),G334,IF(M334&gt;J334,M334,J334))</f>
        <v/>
      </c>
    </row>
    <row r="335" spans="2:14" x14ac:dyDescent="0.2">
      <c r="B335" s="19" t="str">
        <f>IF('DDF Original'!B335="","",'DDF Original'!B335)</f>
        <v/>
      </c>
      <c r="C335" s="19" t="e">
        <f t="shared" si="41"/>
        <v>#VALUE!</v>
      </c>
      <c r="D335" s="20" t="str">
        <f>IF('DDF Original'!C335="","",'DDF Original'!C335)</f>
        <v/>
      </c>
      <c r="E335" s="24" t="str">
        <f>IF('DDF Original'!B335="","",IF(TRIM('DDF Original'!I335)="",0,'DDF Original'!I335))</f>
        <v/>
      </c>
      <c r="F335" s="20" t="str">
        <f t="shared" si="35"/>
        <v/>
      </c>
      <c r="G335" s="37" t="str">
        <f>IF('DDF Original'!B335="","",IF(TRIM('DDF Original'!P335)="",0,'DDF Original'!P335))</f>
        <v/>
      </c>
      <c r="H335" s="20" t="str">
        <f t="shared" si="36"/>
        <v/>
      </c>
      <c r="I335" s="25" t="str">
        <f t="shared" si="37"/>
        <v/>
      </c>
      <c r="J335" s="20" t="str">
        <f t="shared" si="38"/>
        <v/>
      </c>
      <c r="K335" s="20" t="str">
        <f t="shared" si="39"/>
        <v/>
      </c>
      <c r="L335" s="20" t="str">
        <f>IF(B335="","",70*'DDF Original'!$Q$4)</f>
        <v/>
      </c>
      <c r="M335" s="20" t="str">
        <f t="shared" si="40"/>
        <v/>
      </c>
      <c r="N335" s="20" t="str">
        <f>IF(AND(OR(B335="",J335&gt;G335,M335&gt;G335),'DDF Original'!L335&lt;&gt; "MI"),G335,IF(M335&gt;J335,M335,J335))</f>
        <v/>
      </c>
    </row>
    <row r="336" spans="2:14" x14ac:dyDescent="0.2">
      <c r="B336" s="19" t="str">
        <f>IF('DDF Original'!B336="","",'DDF Original'!B336)</f>
        <v/>
      </c>
      <c r="C336" s="19" t="e">
        <f t="shared" si="41"/>
        <v>#VALUE!</v>
      </c>
      <c r="D336" s="20" t="str">
        <f>IF('DDF Original'!C336="","",'DDF Original'!C336)</f>
        <v/>
      </c>
      <c r="E336" s="24" t="str">
        <f>IF('DDF Original'!B336="","",IF(TRIM('DDF Original'!I336)="",0,'DDF Original'!I336))</f>
        <v/>
      </c>
      <c r="F336" s="20" t="str">
        <f t="shared" si="35"/>
        <v/>
      </c>
      <c r="G336" s="37" t="str">
        <f>IF('DDF Original'!B336="","",IF(TRIM('DDF Original'!P336)="",0,'DDF Original'!P336))</f>
        <v/>
      </c>
      <c r="H336" s="20" t="str">
        <f t="shared" si="36"/>
        <v/>
      </c>
      <c r="I336" s="25" t="str">
        <f t="shared" si="37"/>
        <v/>
      </c>
      <c r="J336" s="20" t="str">
        <f t="shared" si="38"/>
        <v/>
      </c>
      <c r="K336" s="20" t="str">
        <f t="shared" si="39"/>
        <v/>
      </c>
      <c r="L336" s="20" t="str">
        <f>IF(B336="","",70*'DDF Original'!$Q$4)</f>
        <v/>
      </c>
      <c r="M336" s="20" t="str">
        <f t="shared" si="40"/>
        <v/>
      </c>
      <c r="N336" s="20" t="str">
        <f>IF(AND(OR(B336="",J336&gt;G336,M336&gt;G336),'DDF Original'!L336&lt;&gt; "MI"),G336,IF(M336&gt;J336,M336,J336))</f>
        <v/>
      </c>
    </row>
    <row r="337" spans="2:14" x14ac:dyDescent="0.2">
      <c r="B337" s="19" t="str">
        <f>IF('DDF Original'!B337="","",'DDF Original'!B337)</f>
        <v/>
      </c>
      <c r="C337" s="19" t="e">
        <f t="shared" si="41"/>
        <v>#VALUE!</v>
      </c>
      <c r="D337" s="20" t="str">
        <f>IF('DDF Original'!C337="","",'DDF Original'!C337)</f>
        <v/>
      </c>
      <c r="E337" s="24" t="str">
        <f>IF('DDF Original'!B337="","",IF(TRIM('DDF Original'!I337)="",0,'DDF Original'!I337))</f>
        <v/>
      </c>
      <c r="F337" s="20" t="str">
        <f t="shared" si="35"/>
        <v/>
      </c>
      <c r="G337" s="37" t="str">
        <f>IF('DDF Original'!B337="","",IF(TRIM('DDF Original'!P337)="",0,'DDF Original'!P337))</f>
        <v/>
      </c>
      <c r="H337" s="20" t="str">
        <f t="shared" si="36"/>
        <v/>
      </c>
      <c r="I337" s="25" t="str">
        <f t="shared" si="37"/>
        <v/>
      </c>
      <c r="J337" s="20" t="str">
        <f t="shared" si="38"/>
        <v/>
      </c>
      <c r="K337" s="20" t="str">
        <f t="shared" si="39"/>
        <v/>
      </c>
      <c r="L337" s="20" t="str">
        <f>IF(B337="","",70*'DDF Original'!$Q$4)</f>
        <v/>
      </c>
      <c r="M337" s="20" t="str">
        <f t="shared" si="40"/>
        <v/>
      </c>
      <c r="N337" s="20" t="str">
        <f>IF(AND(OR(B337="",J337&gt;G337,M337&gt;G337),'DDF Original'!L337&lt;&gt; "MI"),G337,IF(M337&gt;J337,M337,J337))</f>
        <v/>
      </c>
    </row>
    <row r="338" spans="2:14" x14ac:dyDescent="0.2">
      <c r="B338" s="19" t="str">
        <f>IF('DDF Original'!B338="","",'DDF Original'!B338)</f>
        <v/>
      </c>
      <c r="C338" s="19" t="e">
        <f t="shared" si="41"/>
        <v>#VALUE!</v>
      </c>
      <c r="D338" s="20" t="str">
        <f>IF('DDF Original'!C338="","",'DDF Original'!C338)</f>
        <v/>
      </c>
      <c r="E338" s="24" t="str">
        <f>IF('DDF Original'!B338="","",IF(TRIM('DDF Original'!I338)="",0,'DDF Original'!I338))</f>
        <v/>
      </c>
      <c r="F338" s="20" t="str">
        <f t="shared" si="35"/>
        <v/>
      </c>
      <c r="G338" s="37" t="str">
        <f>IF('DDF Original'!B338="","",IF(TRIM('DDF Original'!P338)="",0,'DDF Original'!P338))</f>
        <v/>
      </c>
      <c r="H338" s="20" t="str">
        <f t="shared" si="36"/>
        <v/>
      </c>
      <c r="I338" s="25" t="str">
        <f t="shared" si="37"/>
        <v/>
      </c>
      <c r="J338" s="20" t="str">
        <f t="shared" si="38"/>
        <v/>
      </c>
      <c r="K338" s="20" t="str">
        <f t="shared" si="39"/>
        <v/>
      </c>
      <c r="L338" s="20" t="str">
        <f>IF(B338="","",70*'DDF Original'!$Q$4)</f>
        <v/>
      </c>
      <c r="M338" s="20" t="str">
        <f t="shared" si="40"/>
        <v/>
      </c>
      <c r="N338" s="20" t="str">
        <f>IF(AND(OR(B338="",J338&gt;G338,M338&gt;G338),'DDF Original'!L338&lt;&gt; "MI"),G338,IF(M338&gt;J338,M338,J338))</f>
        <v/>
      </c>
    </row>
    <row r="339" spans="2:14" x14ac:dyDescent="0.2">
      <c r="B339" s="19" t="str">
        <f>IF('DDF Original'!B339="","",'DDF Original'!B339)</f>
        <v/>
      </c>
      <c r="C339" s="19" t="e">
        <f t="shared" si="41"/>
        <v>#VALUE!</v>
      </c>
      <c r="D339" s="20" t="str">
        <f>IF('DDF Original'!C339="","",'DDF Original'!C339)</f>
        <v/>
      </c>
      <c r="E339" s="24" t="str">
        <f>IF('DDF Original'!B339="","",IF(TRIM('DDF Original'!I339)="",0,'DDF Original'!I339))</f>
        <v/>
      </c>
      <c r="F339" s="20" t="str">
        <f t="shared" si="35"/>
        <v/>
      </c>
      <c r="G339" s="37" t="str">
        <f>IF('DDF Original'!B339="","",IF(TRIM('DDF Original'!P339)="",0,'DDF Original'!P339))</f>
        <v/>
      </c>
      <c r="H339" s="20" t="str">
        <f t="shared" si="36"/>
        <v/>
      </c>
      <c r="I339" s="25" t="str">
        <f t="shared" si="37"/>
        <v/>
      </c>
      <c r="J339" s="20" t="str">
        <f t="shared" si="38"/>
        <v/>
      </c>
      <c r="K339" s="20" t="str">
        <f t="shared" si="39"/>
        <v/>
      </c>
      <c r="L339" s="20" t="str">
        <f>IF(B339="","",70*'DDF Original'!$Q$4)</f>
        <v/>
      </c>
      <c r="M339" s="20" t="str">
        <f t="shared" si="40"/>
        <v/>
      </c>
      <c r="N339" s="20" t="str">
        <f>IF(AND(OR(B339="",J339&gt;G339,M339&gt;G339),'DDF Original'!L339&lt;&gt; "MI"),G339,IF(M339&gt;J339,M339,J339))</f>
        <v/>
      </c>
    </row>
    <row r="340" spans="2:14" x14ac:dyDescent="0.2">
      <c r="B340" s="19" t="str">
        <f>IF('DDF Original'!B340="","",'DDF Original'!B340)</f>
        <v/>
      </c>
      <c r="C340" s="19" t="e">
        <f t="shared" si="41"/>
        <v>#VALUE!</v>
      </c>
      <c r="D340" s="20" t="str">
        <f>IF('DDF Original'!C340="","",'DDF Original'!C340)</f>
        <v/>
      </c>
      <c r="E340" s="24" t="str">
        <f>IF('DDF Original'!B340="","",IF(TRIM('DDF Original'!I340)="",0,'DDF Original'!I340))</f>
        <v/>
      </c>
      <c r="F340" s="20" t="str">
        <f t="shared" si="35"/>
        <v/>
      </c>
      <c r="G340" s="37" t="str">
        <f>IF('DDF Original'!B340="","",IF(TRIM('DDF Original'!P340)="",0,'DDF Original'!P340))</f>
        <v/>
      </c>
      <c r="H340" s="20" t="str">
        <f t="shared" si="36"/>
        <v/>
      </c>
      <c r="I340" s="25" t="str">
        <f t="shared" si="37"/>
        <v/>
      </c>
      <c r="J340" s="20" t="str">
        <f t="shared" si="38"/>
        <v/>
      </c>
      <c r="K340" s="20" t="str">
        <f t="shared" si="39"/>
        <v/>
      </c>
      <c r="L340" s="20" t="str">
        <f>IF(B340="","",70*'DDF Original'!$Q$4)</f>
        <v/>
      </c>
      <c r="M340" s="20" t="str">
        <f t="shared" si="40"/>
        <v/>
      </c>
      <c r="N340" s="20" t="str">
        <f>IF(AND(OR(B340="",J340&gt;G340,M340&gt;G340),'DDF Original'!L340&lt;&gt; "MI"),G340,IF(M340&gt;J340,M340,J340))</f>
        <v/>
      </c>
    </row>
    <row r="341" spans="2:14" x14ac:dyDescent="0.2">
      <c r="B341" s="19" t="str">
        <f>IF('DDF Original'!B341="","",'DDF Original'!B341)</f>
        <v/>
      </c>
      <c r="C341" s="19" t="e">
        <f t="shared" si="41"/>
        <v>#VALUE!</v>
      </c>
      <c r="D341" s="20" t="str">
        <f>IF('DDF Original'!C341="","",'DDF Original'!C341)</f>
        <v/>
      </c>
      <c r="E341" s="24" t="str">
        <f>IF('DDF Original'!B341="","",IF(TRIM('DDF Original'!I341)="",0,'DDF Original'!I341))</f>
        <v/>
      </c>
      <c r="F341" s="20" t="str">
        <f t="shared" si="35"/>
        <v/>
      </c>
      <c r="G341" s="37" t="str">
        <f>IF('DDF Original'!B341="","",IF(TRIM('DDF Original'!P341)="",0,'DDF Original'!P341))</f>
        <v/>
      </c>
      <c r="H341" s="20" t="str">
        <f t="shared" si="36"/>
        <v/>
      </c>
      <c r="I341" s="25" t="str">
        <f t="shared" si="37"/>
        <v/>
      </c>
      <c r="J341" s="20" t="str">
        <f t="shared" si="38"/>
        <v/>
      </c>
      <c r="K341" s="20" t="str">
        <f t="shared" si="39"/>
        <v/>
      </c>
      <c r="L341" s="20" t="str">
        <f>IF(B341="","",70*'DDF Original'!$Q$4)</f>
        <v/>
      </c>
      <c r="M341" s="20" t="str">
        <f t="shared" si="40"/>
        <v/>
      </c>
      <c r="N341" s="20" t="str">
        <f>IF(AND(OR(B341="",J341&gt;G341,M341&gt;G341),'DDF Original'!L341&lt;&gt; "MI"),G341,IF(M341&gt;J341,M341,J341))</f>
        <v/>
      </c>
    </row>
    <row r="342" spans="2:14" x14ac:dyDescent="0.2">
      <c r="B342" s="19" t="str">
        <f>IF('DDF Original'!B342="","",'DDF Original'!B342)</f>
        <v/>
      </c>
      <c r="C342" s="19" t="e">
        <f t="shared" si="41"/>
        <v>#VALUE!</v>
      </c>
      <c r="D342" s="20" t="str">
        <f>IF('DDF Original'!C342="","",'DDF Original'!C342)</f>
        <v/>
      </c>
      <c r="E342" s="24" t="str">
        <f>IF('DDF Original'!B342="","",IF(TRIM('DDF Original'!I342)="",0,'DDF Original'!I342))</f>
        <v/>
      </c>
      <c r="F342" s="20" t="str">
        <f t="shared" si="35"/>
        <v/>
      </c>
      <c r="G342" s="37" t="str">
        <f>IF('DDF Original'!B342="","",IF(TRIM('DDF Original'!P342)="",0,'DDF Original'!P342))</f>
        <v/>
      </c>
      <c r="H342" s="20" t="str">
        <f t="shared" si="36"/>
        <v/>
      </c>
      <c r="I342" s="25" t="str">
        <f t="shared" si="37"/>
        <v/>
      </c>
      <c r="J342" s="20" t="str">
        <f t="shared" si="38"/>
        <v/>
      </c>
      <c r="K342" s="20" t="str">
        <f t="shared" si="39"/>
        <v/>
      </c>
      <c r="L342" s="20" t="str">
        <f>IF(B342="","",70*'DDF Original'!$Q$4)</f>
        <v/>
      </c>
      <c r="M342" s="20" t="str">
        <f t="shared" si="40"/>
        <v/>
      </c>
      <c r="N342" s="20" t="str">
        <f>IF(AND(OR(B342="",J342&gt;G342,M342&gt;G342),'DDF Original'!L342&lt;&gt; "MI"),G342,IF(M342&gt;J342,M342,J342))</f>
        <v/>
      </c>
    </row>
    <row r="343" spans="2:14" x14ac:dyDescent="0.2">
      <c r="B343" s="19" t="str">
        <f>IF('DDF Original'!B343="","",'DDF Original'!B343)</f>
        <v/>
      </c>
      <c r="C343" s="19" t="e">
        <f t="shared" si="41"/>
        <v>#VALUE!</v>
      </c>
      <c r="D343" s="20" t="str">
        <f>IF('DDF Original'!C343="","",'DDF Original'!C343)</f>
        <v/>
      </c>
      <c r="E343" s="24" t="str">
        <f>IF('DDF Original'!B343="","",IF(TRIM('DDF Original'!I343)="",0,'DDF Original'!I343))</f>
        <v/>
      </c>
      <c r="F343" s="20" t="str">
        <f t="shared" si="35"/>
        <v/>
      </c>
      <c r="G343" s="37" t="str">
        <f>IF('DDF Original'!B343="","",IF(TRIM('DDF Original'!P343)="",0,'DDF Original'!P343))</f>
        <v/>
      </c>
      <c r="H343" s="20" t="str">
        <f t="shared" si="36"/>
        <v/>
      </c>
      <c r="I343" s="25" t="str">
        <f t="shared" si="37"/>
        <v/>
      </c>
      <c r="J343" s="20" t="str">
        <f t="shared" si="38"/>
        <v/>
      </c>
      <c r="K343" s="20" t="str">
        <f t="shared" si="39"/>
        <v/>
      </c>
      <c r="L343" s="20" t="str">
        <f>IF(B343="","",70*'DDF Original'!$Q$4)</f>
        <v/>
      </c>
      <c r="M343" s="20" t="str">
        <f t="shared" si="40"/>
        <v/>
      </c>
      <c r="N343" s="20" t="str">
        <f>IF(AND(OR(B343="",J343&gt;G343,M343&gt;G343),'DDF Original'!L343&lt;&gt; "MI"),G343,IF(M343&gt;J343,M343,J343))</f>
        <v/>
      </c>
    </row>
    <row r="344" spans="2:14" x14ac:dyDescent="0.2">
      <c r="B344" s="19" t="str">
        <f>IF('DDF Original'!B344="","",'DDF Original'!B344)</f>
        <v/>
      </c>
      <c r="C344" s="19" t="e">
        <f t="shared" si="41"/>
        <v>#VALUE!</v>
      </c>
      <c r="D344" s="20" t="str">
        <f>IF('DDF Original'!C344="","",'DDF Original'!C344)</f>
        <v/>
      </c>
      <c r="E344" s="24" t="str">
        <f>IF('DDF Original'!B344="","",IF(TRIM('DDF Original'!I344)="",0,'DDF Original'!I344))</f>
        <v/>
      </c>
      <c r="F344" s="20" t="str">
        <f t="shared" si="35"/>
        <v/>
      </c>
      <c r="G344" s="37" t="str">
        <f>IF('DDF Original'!B344="","",IF(TRIM('DDF Original'!P344)="",0,'DDF Original'!P344))</f>
        <v/>
      </c>
      <c r="H344" s="20" t="str">
        <f t="shared" si="36"/>
        <v/>
      </c>
      <c r="I344" s="25" t="str">
        <f t="shared" si="37"/>
        <v/>
      </c>
      <c r="J344" s="20" t="str">
        <f t="shared" si="38"/>
        <v/>
      </c>
      <c r="K344" s="20" t="str">
        <f t="shared" si="39"/>
        <v/>
      </c>
      <c r="L344" s="20" t="str">
        <f>IF(B344="","",70*'DDF Original'!$Q$4)</f>
        <v/>
      </c>
      <c r="M344" s="20" t="str">
        <f t="shared" si="40"/>
        <v/>
      </c>
      <c r="N344" s="20" t="str">
        <f>IF(AND(OR(B344="",J344&gt;G344,M344&gt;G344),'DDF Original'!L344&lt;&gt; "MI"),G344,IF(M344&gt;J344,M344,J344))</f>
        <v/>
      </c>
    </row>
    <row r="345" spans="2:14" x14ac:dyDescent="0.2">
      <c r="B345" s="19" t="str">
        <f>IF('DDF Original'!B345="","",'DDF Original'!B345)</f>
        <v/>
      </c>
      <c r="C345" s="19" t="e">
        <f t="shared" si="41"/>
        <v>#VALUE!</v>
      </c>
      <c r="D345" s="20" t="str">
        <f>IF('DDF Original'!C345="","",'DDF Original'!C345)</f>
        <v/>
      </c>
      <c r="E345" s="24" t="str">
        <f>IF('DDF Original'!B345="","",IF(TRIM('DDF Original'!I345)="",0,'DDF Original'!I345))</f>
        <v/>
      </c>
      <c r="F345" s="20" t="str">
        <f t="shared" si="35"/>
        <v/>
      </c>
      <c r="G345" s="37" t="str">
        <f>IF('DDF Original'!B345="","",IF(TRIM('DDF Original'!P345)="",0,'DDF Original'!P345))</f>
        <v/>
      </c>
      <c r="H345" s="20" t="str">
        <f t="shared" si="36"/>
        <v/>
      </c>
      <c r="I345" s="25" t="str">
        <f t="shared" si="37"/>
        <v/>
      </c>
      <c r="J345" s="20" t="str">
        <f t="shared" si="38"/>
        <v/>
      </c>
      <c r="K345" s="20" t="str">
        <f t="shared" si="39"/>
        <v/>
      </c>
      <c r="L345" s="20" t="str">
        <f>IF(B345="","",70*'DDF Original'!$Q$4)</f>
        <v/>
      </c>
      <c r="M345" s="20" t="str">
        <f t="shared" si="40"/>
        <v/>
      </c>
      <c r="N345" s="20" t="str">
        <f>IF(AND(OR(B345="",J345&gt;G345,M345&gt;G345),'DDF Original'!L345&lt;&gt; "MI"),G345,IF(M345&gt;J345,M345,J345))</f>
        <v/>
      </c>
    </row>
    <row r="346" spans="2:14" x14ac:dyDescent="0.2">
      <c r="B346" s="19" t="str">
        <f>IF('DDF Original'!B346="","",'DDF Original'!B346)</f>
        <v/>
      </c>
      <c r="C346" s="19" t="e">
        <f t="shared" si="41"/>
        <v>#VALUE!</v>
      </c>
      <c r="D346" s="20" t="str">
        <f>IF('DDF Original'!C346="","",'DDF Original'!C346)</f>
        <v/>
      </c>
      <c r="E346" s="24" t="str">
        <f>IF('DDF Original'!B346="","",IF(TRIM('DDF Original'!I346)="",0,'DDF Original'!I346))</f>
        <v/>
      </c>
      <c r="F346" s="20" t="str">
        <f t="shared" si="35"/>
        <v/>
      </c>
      <c r="G346" s="37" t="str">
        <f>IF('DDF Original'!B346="","",IF(TRIM('DDF Original'!P346)="",0,'DDF Original'!P346))</f>
        <v/>
      </c>
      <c r="H346" s="20" t="str">
        <f t="shared" si="36"/>
        <v/>
      </c>
      <c r="I346" s="25" t="str">
        <f t="shared" si="37"/>
        <v/>
      </c>
      <c r="J346" s="20" t="str">
        <f t="shared" si="38"/>
        <v/>
      </c>
      <c r="K346" s="20" t="str">
        <f t="shared" si="39"/>
        <v/>
      </c>
      <c r="L346" s="20" t="str">
        <f>IF(B346="","",70*'DDF Original'!$Q$4)</f>
        <v/>
      </c>
      <c r="M346" s="20" t="str">
        <f t="shared" si="40"/>
        <v/>
      </c>
      <c r="N346" s="20" t="str">
        <f>IF(AND(OR(B346="",J346&gt;G346,M346&gt;G346),'DDF Original'!L346&lt;&gt; "MI"),G346,IF(M346&gt;J346,M346,J346))</f>
        <v/>
      </c>
    </row>
    <row r="347" spans="2:14" x14ac:dyDescent="0.2">
      <c r="B347" s="19" t="str">
        <f>IF('DDF Original'!B347="","",'DDF Original'!B347)</f>
        <v/>
      </c>
      <c r="C347" s="19" t="e">
        <f t="shared" si="41"/>
        <v>#VALUE!</v>
      </c>
      <c r="D347" s="20" t="str">
        <f>IF('DDF Original'!C347="","",'DDF Original'!C347)</f>
        <v/>
      </c>
      <c r="E347" s="24" t="str">
        <f>IF('DDF Original'!B347="","",IF(TRIM('DDF Original'!I347)="",0,'DDF Original'!I347))</f>
        <v/>
      </c>
      <c r="F347" s="20" t="str">
        <f t="shared" si="35"/>
        <v/>
      </c>
      <c r="G347" s="37" t="str">
        <f>IF('DDF Original'!B347="","",IF(TRIM('DDF Original'!P347)="",0,'DDF Original'!P347))</f>
        <v/>
      </c>
      <c r="H347" s="20" t="str">
        <f t="shared" si="36"/>
        <v/>
      </c>
      <c r="I347" s="25" t="str">
        <f t="shared" si="37"/>
        <v/>
      </c>
      <c r="J347" s="20" t="str">
        <f t="shared" si="38"/>
        <v/>
      </c>
      <c r="K347" s="20" t="str">
        <f t="shared" si="39"/>
        <v/>
      </c>
      <c r="L347" s="20" t="str">
        <f>IF(B347="","",70*'DDF Original'!$Q$4)</f>
        <v/>
      </c>
      <c r="M347" s="20" t="str">
        <f t="shared" si="40"/>
        <v/>
      </c>
      <c r="N347" s="20" t="str">
        <f>IF(AND(OR(B347="",J347&gt;G347,M347&gt;G347),'DDF Original'!L347&lt;&gt; "MI"),G347,IF(M347&gt;J347,M347,J347))</f>
        <v/>
      </c>
    </row>
    <row r="348" spans="2:14" x14ac:dyDescent="0.2">
      <c r="B348" s="19" t="str">
        <f>IF('DDF Original'!B348="","",'DDF Original'!B348)</f>
        <v/>
      </c>
      <c r="C348" s="19" t="e">
        <f t="shared" si="41"/>
        <v>#VALUE!</v>
      </c>
      <c r="D348" s="20" t="str">
        <f>IF('DDF Original'!C348="","",'DDF Original'!C348)</f>
        <v/>
      </c>
      <c r="E348" s="24" t="str">
        <f>IF('DDF Original'!B348="","",IF(TRIM('DDF Original'!I348)="",0,'DDF Original'!I348))</f>
        <v/>
      </c>
      <c r="F348" s="20" t="str">
        <f t="shared" si="35"/>
        <v/>
      </c>
      <c r="G348" s="37" t="str">
        <f>IF('DDF Original'!B348="","",IF(TRIM('DDF Original'!P348)="",0,'DDF Original'!P348))</f>
        <v/>
      </c>
      <c r="H348" s="20" t="str">
        <f t="shared" si="36"/>
        <v/>
      </c>
      <c r="I348" s="25" t="str">
        <f t="shared" si="37"/>
        <v/>
      </c>
      <c r="J348" s="20" t="str">
        <f t="shared" si="38"/>
        <v/>
      </c>
      <c r="K348" s="20" t="str">
        <f t="shared" si="39"/>
        <v/>
      </c>
      <c r="L348" s="20" t="str">
        <f>IF(B348="","",70*'DDF Original'!$Q$4)</f>
        <v/>
      </c>
      <c r="M348" s="20" t="str">
        <f t="shared" si="40"/>
        <v/>
      </c>
      <c r="N348" s="20" t="str">
        <f>IF(AND(OR(B348="",J348&gt;G348,M348&gt;G348),'DDF Original'!L348&lt;&gt; "MI"),G348,IF(M348&gt;J348,M348,J348))</f>
        <v/>
      </c>
    </row>
    <row r="349" spans="2:14" x14ac:dyDescent="0.2">
      <c r="B349" s="19" t="str">
        <f>IF('DDF Original'!B349="","",'DDF Original'!B349)</f>
        <v/>
      </c>
      <c r="C349" s="19" t="e">
        <f t="shared" si="41"/>
        <v>#VALUE!</v>
      </c>
      <c r="D349" s="20" t="str">
        <f>IF('DDF Original'!C349="","",'DDF Original'!C349)</f>
        <v/>
      </c>
      <c r="E349" s="24" t="str">
        <f>IF('DDF Original'!B349="","",IF(TRIM('DDF Original'!I349)="",0,'DDF Original'!I349))</f>
        <v/>
      </c>
      <c r="F349" s="20" t="str">
        <f t="shared" si="35"/>
        <v/>
      </c>
      <c r="G349" s="37" t="str">
        <f>IF('DDF Original'!B349="","",IF(TRIM('DDF Original'!P349)="",0,'DDF Original'!P349))</f>
        <v/>
      </c>
      <c r="H349" s="20" t="str">
        <f t="shared" si="36"/>
        <v/>
      </c>
      <c r="I349" s="25" t="str">
        <f t="shared" si="37"/>
        <v/>
      </c>
      <c r="J349" s="20" t="str">
        <f t="shared" si="38"/>
        <v/>
      </c>
      <c r="K349" s="20" t="str">
        <f t="shared" si="39"/>
        <v/>
      </c>
      <c r="L349" s="20" t="str">
        <f>IF(B349="","",70*'DDF Original'!$Q$4)</f>
        <v/>
      </c>
      <c r="M349" s="20" t="str">
        <f t="shared" si="40"/>
        <v/>
      </c>
      <c r="N349" s="20" t="str">
        <f>IF(AND(OR(B349="",J349&gt;G349,M349&gt;G349),'DDF Original'!L349&lt;&gt; "MI"),G349,IF(M349&gt;J349,M349,J349))</f>
        <v/>
      </c>
    </row>
    <row r="350" spans="2:14" x14ac:dyDescent="0.2">
      <c r="B350" s="19" t="str">
        <f>IF('DDF Original'!B350="","",'DDF Original'!B350)</f>
        <v/>
      </c>
      <c r="C350" s="19" t="e">
        <f t="shared" si="41"/>
        <v>#VALUE!</v>
      </c>
      <c r="D350" s="20" t="str">
        <f>IF('DDF Original'!C350="","",'DDF Original'!C350)</f>
        <v/>
      </c>
      <c r="E350" s="24" t="str">
        <f>IF('DDF Original'!B350="","",IF(TRIM('DDF Original'!I350)="",0,'DDF Original'!I350))</f>
        <v/>
      </c>
      <c r="F350" s="20" t="str">
        <f t="shared" si="35"/>
        <v/>
      </c>
      <c r="G350" s="37" t="str">
        <f>IF('DDF Original'!B350="","",IF(TRIM('DDF Original'!P350)="",0,'DDF Original'!P350))</f>
        <v/>
      </c>
      <c r="H350" s="20" t="str">
        <f t="shared" si="36"/>
        <v/>
      </c>
      <c r="I350" s="25" t="str">
        <f t="shared" si="37"/>
        <v/>
      </c>
      <c r="J350" s="20" t="str">
        <f t="shared" si="38"/>
        <v/>
      </c>
      <c r="K350" s="20" t="str">
        <f t="shared" si="39"/>
        <v/>
      </c>
      <c r="L350" s="20" t="str">
        <f>IF(B350="","",70*'DDF Original'!$Q$4)</f>
        <v/>
      </c>
      <c r="M350" s="20" t="str">
        <f t="shared" si="40"/>
        <v/>
      </c>
      <c r="N350" s="20" t="str">
        <f>IF(AND(OR(B350="",J350&gt;G350,M350&gt;G350),'DDF Original'!L350&lt;&gt; "MI"),G350,IF(M350&gt;J350,M350,J350))</f>
        <v/>
      </c>
    </row>
    <row r="351" spans="2:14" x14ac:dyDescent="0.2">
      <c r="B351" s="19" t="str">
        <f>IF('DDF Original'!B351="","",'DDF Original'!B351)</f>
        <v/>
      </c>
      <c r="C351" s="19" t="e">
        <f t="shared" si="41"/>
        <v>#VALUE!</v>
      </c>
      <c r="D351" s="20" t="str">
        <f>IF('DDF Original'!C351="","",'DDF Original'!C351)</f>
        <v/>
      </c>
      <c r="E351" s="24" t="str">
        <f>IF('DDF Original'!B351="","",IF(TRIM('DDF Original'!I351)="",0,'DDF Original'!I351))</f>
        <v/>
      </c>
      <c r="F351" s="20" t="str">
        <f t="shared" si="35"/>
        <v/>
      </c>
      <c r="G351" s="37" t="str">
        <f>IF('DDF Original'!B351="","",IF(TRIM('DDF Original'!P351)="",0,'DDF Original'!P351))</f>
        <v/>
      </c>
      <c r="H351" s="20" t="str">
        <f t="shared" si="36"/>
        <v/>
      </c>
      <c r="I351" s="25" t="str">
        <f t="shared" si="37"/>
        <v/>
      </c>
      <c r="J351" s="20" t="str">
        <f t="shared" si="38"/>
        <v/>
      </c>
      <c r="K351" s="20" t="str">
        <f t="shared" si="39"/>
        <v/>
      </c>
      <c r="L351" s="20" t="str">
        <f>IF(B351="","",70*'DDF Original'!$Q$4)</f>
        <v/>
      </c>
      <c r="M351" s="20" t="str">
        <f t="shared" si="40"/>
        <v/>
      </c>
      <c r="N351" s="20" t="str">
        <f>IF(AND(OR(B351="",J351&gt;G351,M351&gt;G351),'DDF Original'!L351&lt;&gt; "MI"),G351,IF(M351&gt;J351,M351,J351))</f>
        <v/>
      </c>
    </row>
    <row r="352" spans="2:14" x14ac:dyDescent="0.2">
      <c r="B352" s="19" t="str">
        <f>IF('DDF Original'!B352="","",'DDF Original'!B352)</f>
        <v/>
      </c>
      <c r="C352" s="19" t="e">
        <f t="shared" si="41"/>
        <v>#VALUE!</v>
      </c>
      <c r="D352" s="20" t="str">
        <f>IF('DDF Original'!C352="","",'DDF Original'!C352)</f>
        <v/>
      </c>
      <c r="E352" s="24" t="str">
        <f>IF('DDF Original'!B352="","",IF(TRIM('DDF Original'!I352)="",0,'DDF Original'!I352))</f>
        <v/>
      </c>
      <c r="F352" s="20" t="str">
        <f t="shared" si="35"/>
        <v/>
      </c>
      <c r="G352" s="37" t="str">
        <f>IF('DDF Original'!B352="","",IF(TRIM('DDF Original'!P352)="",0,'DDF Original'!P352))</f>
        <v/>
      </c>
      <c r="H352" s="20" t="str">
        <f t="shared" si="36"/>
        <v/>
      </c>
      <c r="I352" s="25" t="str">
        <f t="shared" si="37"/>
        <v/>
      </c>
      <c r="J352" s="20" t="str">
        <f t="shared" si="38"/>
        <v/>
      </c>
      <c r="K352" s="20" t="str">
        <f t="shared" si="39"/>
        <v/>
      </c>
      <c r="L352" s="20" t="str">
        <f>IF(B352="","",70*'DDF Original'!$Q$4)</f>
        <v/>
      </c>
      <c r="M352" s="20" t="str">
        <f t="shared" si="40"/>
        <v/>
      </c>
      <c r="N352" s="20" t="str">
        <f>IF(AND(OR(B352="",J352&gt;G352,M352&gt;G352),'DDF Original'!L352&lt;&gt; "MI"),G352,IF(M352&gt;J352,M352,J352))</f>
        <v/>
      </c>
    </row>
    <row r="353" spans="2:14" x14ac:dyDescent="0.2">
      <c r="B353" s="19" t="str">
        <f>IF('DDF Original'!B353="","",'DDF Original'!B353)</f>
        <v/>
      </c>
      <c r="C353" s="19" t="e">
        <f t="shared" si="41"/>
        <v>#VALUE!</v>
      </c>
      <c r="D353" s="20" t="str">
        <f>IF('DDF Original'!C353="","",'DDF Original'!C353)</f>
        <v/>
      </c>
      <c r="E353" s="24" t="str">
        <f>IF('DDF Original'!B353="","",IF(TRIM('DDF Original'!I353)="",0,'DDF Original'!I353))</f>
        <v/>
      </c>
      <c r="F353" s="20" t="str">
        <f t="shared" si="35"/>
        <v/>
      </c>
      <c r="G353" s="37" t="str">
        <f>IF('DDF Original'!B353="","",IF(TRIM('DDF Original'!P353)="",0,'DDF Original'!P353))</f>
        <v/>
      </c>
      <c r="H353" s="20" t="str">
        <f t="shared" si="36"/>
        <v/>
      </c>
      <c r="I353" s="25" t="str">
        <f t="shared" si="37"/>
        <v/>
      </c>
      <c r="J353" s="20" t="str">
        <f t="shared" si="38"/>
        <v/>
      </c>
      <c r="K353" s="20" t="str">
        <f t="shared" si="39"/>
        <v/>
      </c>
      <c r="L353" s="20" t="str">
        <f>IF(B353="","",70*'DDF Original'!$Q$4)</f>
        <v/>
      </c>
      <c r="M353" s="20" t="str">
        <f t="shared" si="40"/>
        <v/>
      </c>
      <c r="N353" s="20" t="str">
        <f>IF(AND(OR(B353="",J353&gt;G353,M353&gt;G353),'DDF Original'!L353&lt;&gt; "MI"),G353,IF(M353&gt;J353,M353,J353))</f>
        <v/>
      </c>
    </row>
    <row r="354" spans="2:14" x14ac:dyDescent="0.2">
      <c r="B354" s="19" t="str">
        <f>IF('DDF Original'!B354="","",'DDF Original'!B354)</f>
        <v/>
      </c>
      <c r="C354" s="19" t="e">
        <f t="shared" si="41"/>
        <v>#VALUE!</v>
      </c>
      <c r="D354" s="20" t="str">
        <f>IF('DDF Original'!C354="","",'DDF Original'!C354)</f>
        <v/>
      </c>
      <c r="E354" s="24" t="str">
        <f>IF('DDF Original'!B354="","",IF(TRIM('DDF Original'!I354)="",0,'DDF Original'!I354))</f>
        <v/>
      </c>
      <c r="F354" s="20" t="str">
        <f t="shared" si="35"/>
        <v/>
      </c>
      <c r="G354" s="37" t="str">
        <f>IF('DDF Original'!B354="","",IF(TRIM('DDF Original'!P354)="",0,'DDF Original'!P354))</f>
        <v/>
      </c>
      <c r="H354" s="20" t="str">
        <f t="shared" si="36"/>
        <v/>
      </c>
      <c r="I354" s="25" t="str">
        <f t="shared" si="37"/>
        <v/>
      </c>
      <c r="J354" s="20" t="str">
        <f t="shared" si="38"/>
        <v/>
      </c>
      <c r="K354" s="20" t="str">
        <f t="shared" si="39"/>
        <v/>
      </c>
      <c r="L354" s="20" t="str">
        <f>IF(B354="","",70*'DDF Original'!$Q$4)</f>
        <v/>
      </c>
      <c r="M354" s="20" t="str">
        <f t="shared" si="40"/>
        <v/>
      </c>
      <c r="N354" s="20" t="str">
        <f>IF(AND(OR(B354="",J354&gt;G354,M354&gt;G354),'DDF Original'!L354&lt;&gt; "MI"),G354,IF(M354&gt;J354,M354,J354))</f>
        <v/>
      </c>
    </row>
    <row r="355" spans="2:14" x14ac:dyDescent="0.2">
      <c r="B355" s="19" t="str">
        <f>IF('DDF Original'!B355="","",'DDF Original'!B355)</f>
        <v/>
      </c>
      <c r="C355" s="19" t="e">
        <f t="shared" si="41"/>
        <v>#VALUE!</v>
      </c>
      <c r="D355" s="20" t="str">
        <f>IF('DDF Original'!C355="","",'DDF Original'!C355)</f>
        <v/>
      </c>
      <c r="E355" s="24" t="str">
        <f>IF('DDF Original'!B355="","",IF(TRIM('DDF Original'!I355)="",0,'DDF Original'!I355))</f>
        <v/>
      </c>
      <c r="F355" s="20" t="str">
        <f t="shared" si="35"/>
        <v/>
      </c>
      <c r="G355" s="37" t="str">
        <f>IF('DDF Original'!B355="","",IF(TRIM('DDF Original'!P355)="",0,'DDF Original'!P355))</f>
        <v/>
      </c>
      <c r="H355" s="20" t="str">
        <f t="shared" si="36"/>
        <v/>
      </c>
      <c r="I355" s="25" t="str">
        <f t="shared" si="37"/>
        <v/>
      </c>
      <c r="J355" s="20" t="str">
        <f t="shared" si="38"/>
        <v/>
      </c>
      <c r="K355" s="20" t="str">
        <f t="shared" si="39"/>
        <v/>
      </c>
      <c r="L355" s="20" t="str">
        <f>IF(B355="","",70*'DDF Original'!$Q$4)</f>
        <v/>
      </c>
      <c r="M355" s="20" t="str">
        <f t="shared" si="40"/>
        <v/>
      </c>
      <c r="N355" s="20" t="str">
        <f>IF(AND(OR(B355="",J355&gt;G355,M355&gt;G355),'DDF Original'!L355&lt;&gt; "MI"),G355,IF(M355&gt;J355,M355,J355))</f>
        <v/>
      </c>
    </row>
    <row r="356" spans="2:14" x14ac:dyDescent="0.2">
      <c r="B356" s="19" t="str">
        <f>IF('DDF Original'!B356="","",'DDF Original'!B356)</f>
        <v/>
      </c>
      <c r="C356" s="19" t="e">
        <f t="shared" si="41"/>
        <v>#VALUE!</v>
      </c>
      <c r="D356" s="20" t="str">
        <f>IF('DDF Original'!C356="","",'DDF Original'!C356)</f>
        <v/>
      </c>
      <c r="E356" s="24" t="str">
        <f>IF('DDF Original'!B356="","",IF(TRIM('DDF Original'!I356)="",0,'DDF Original'!I356))</f>
        <v/>
      </c>
      <c r="F356" s="20" t="str">
        <f t="shared" si="35"/>
        <v/>
      </c>
      <c r="G356" s="37" t="str">
        <f>IF('DDF Original'!B356="","",IF(TRIM('DDF Original'!P356)="",0,'DDF Original'!P356))</f>
        <v/>
      </c>
      <c r="H356" s="20" t="str">
        <f t="shared" si="36"/>
        <v/>
      </c>
      <c r="I356" s="25" t="str">
        <f t="shared" si="37"/>
        <v/>
      </c>
      <c r="J356" s="20" t="str">
        <f t="shared" si="38"/>
        <v/>
      </c>
      <c r="K356" s="20" t="str">
        <f t="shared" si="39"/>
        <v/>
      </c>
      <c r="L356" s="20" t="str">
        <f>IF(B356="","",70*'DDF Original'!$Q$4)</f>
        <v/>
      </c>
      <c r="M356" s="20" t="str">
        <f t="shared" si="40"/>
        <v/>
      </c>
      <c r="N356" s="20" t="str">
        <f>IF(AND(OR(B356="",J356&gt;G356,M356&gt;G356),'DDF Original'!L356&lt;&gt; "MI"),G356,IF(M356&gt;J356,M356,J356))</f>
        <v/>
      </c>
    </row>
    <row r="357" spans="2:14" x14ac:dyDescent="0.2">
      <c r="B357" s="19" t="str">
        <f>IF('DDF Original'!B357="","",'DDF Original'!B357)</f>
        <v/>
      </c>
      <c r="C357" s="19" t="e">
        <f t="shared" si="41"/>
        <v>#VALUE!</v>
      </c>
      <c r="D357" s="20" t="str">
        <f>IF('DDF Original'!C357="","",'DDF Original'!C357)</f>
        <v/>
      </c>
      <c r="E357" s="24" t="str">
        <f>IF('DDF Original'!B357="","",IF(TRIM('DDF Original'!I357)="",0,'DDF Original'!I357))</f>
        <v/>
      </c>
      <c r="F357" s="20" t="str">
        <f t="shared" si="35"/>
        <v/>
      </c>
      <c r="G357" s="37" t="str">
        <f>IF('DDF Original'!B357="","",IF(TRIM('DDF Original'!P357)="",0,'DDF Original'!P357))</f>
        <v/>
      </c>
      <c r="H357" s="20" t="str">
        <f t="shared" si="36"/>
        <v/>
      </c>
      <c r="I357" s="25" t="str">
        <f t="shared" si="37"/>
        <v/>
      </c>
      <c r="J357" s="20" t="str">
        <f t="shared" si="38"/>
        <v/>
      </c>
      <c r="K357" s="20" t="str">
        <f t="shared" si="39"/>
        <v/>
      </c>
      <c r="L357" s="20" t="str">
        <f>IF(B357="","",70*'DDF Original'!$Q$4)</f>
        <v/>
      </c>
      <c r="M357" s="20" t="str">
        <f t="shared" si="40"/>
        <v/>
      </c>
      <c r="N357" s="20" t="str">
        <f>IF(AND(OR(B357="",J357&gt;G357,M357&gt;G357),'DDF Original'!L357&lt;&gt; "MI"),G357,IF(M357&gt;J357,M357,J357))</f>
        <v/>
      </c>
    </row>
    <row r="358" spans="2:14" x14ac:dyDescent="0.2">
      <c r="B358" s="19" t="str">
        <f>IF('DDF Original'!B358="","",'DDF Original'!B358)</f>
        <v/>
      </c>
      <c r="C358" s="19" t="e">
        <f t="shared" si="41"/>
        <v>#VALUE!</v>
      </c>
      <c r="D358" s="20" t="str">
        <f>IF('DDF Original'!C358="","",'DDF Original'!C358)</f>
        <v/>
      </c>
      <c r="E358" s="24" t="str">
        <f>IF('DDF Original'!B358="","",IF(TRIM('DDF Original'!I358)="",0,'DDF Original'!I358))</f>
        <v/>
      </c>
      <c r="F358" s="20" t="str">
        <f t="shared" si="35"/>
        <v/>
      </c>
      <c r="G358" s="37" t="str">
        <f>IF('DDF Original'!B358="","",IF(TRIM('DDF Original'!P358)="",0,'DDF Original'!P358))</f>
        <v/>
      </c>
      <c r="H358" s="20" t="str">
        <f t="shared" si="36"/>
        <v/>
      </c>
      <c r="I358" s="25" t="str">
        <f t="shared" si="37"/>
        <v/>
      </c>
      <c r="J358" s="20" t="str">
        <f t="shared" si="38"/>
        <v/>
      </c>
      <c r="K358" s="20" t="str">
        <f t="shared" si="39"/>
        <v/>
      </c>
      <c r="L358" s="20" t="str">
        <f>IF(B358="","",70*'DDF Original'!$Q$4)</f>
        <v/>
      </c>
      <c r="M358" s="20" t="str">
        <f t="shared" si="40"/>
        <v/>
      </c>
      <c r="N358" s="20" t="str">
        <f>IF(AND(OR(B358="",J358&gt;G358,M358&gt;G358),'DDF Original'!L358&lt;&gt; "MI"),G358,IF(M358&gt;J358,M358,J358))</f>
        <v/>
      </c>
    </row>
    <row r="359" spans="2:14" x14ac:dyDescent="0.2">
      <c r="B359" s="19" t="str">
        <f>IF('DDF Original'!B359="","",'DDF Original'!B359)</f>
        <v/>
      </c>
      <c r="C359" s="19" t="e">
        <f t="shared" si="41"/>
        <v>#VALUE!</v>
      </c>
      <c r="D359" s="20" t="str">
        <f>IF('DDF Original'!C359="","",'DDF Original'!C359)</f>
        <v/>
      </c>
      <c r="E359" s="24" t="str">
        <f>IF('DDF Original'!B359="","",IF(TRIM('DDF Original'!I359)="",0,'DDF Original'!I359))</f>
        <v/>
      </c>
      <c r="F359" s="20" t="str">
        <f t="shared" si="35"/>
        <v/>
      </c>
      <c r="G359" s="37" t="str">
        <f>IF('DDF Original'!B359="","",IF(TRIM('DDF Original'!P359)="",0,'DDF Original'!P359))</f>
        <v/>
      </c>
      <c r="H359" s="20" t="str">
        <f t="shared" si="36"/>
        <v/>
      </c>
      <c r="I359" s="25" t="str">
        <f t="shared" si="37"/>
        <v/>
      </c>
      <c r="J359" s="20" t="str">
        <f t="shared" si="38"/>
        <v/>
      </c>
      <c r="K359" s="20" t="str">
        <f t="shared" si="39"/>
        <v/>
      </c>
      <c r="L359" s="20" t="str">
        <f>IF(B359="","",70*'DDF Original'!$Q$4)</f>
        <v/>
      </c>
      <c r="M359" s="20" t="str">
        <f t="shared" si="40"/>
        <v/>
      </c>
      <c r="N359" s="20" t="str">
        <f>IF(AND(OR(B359="",J359&gt;G359,M359&gt;G359),'DDF Original'!L359&lt;&gt; "MI"),G359,IF(M359&gt;J359,M359,J359))</f>
        <v/>
      </c>
    </row>
    <row r="360" spans="2:14" x14ac:dyDescent="0.2">
      <c r="B360" s="19" t="str">
        <f>IF('DDF Original'!B360="","",'DDF Original'!B360)</f>
        <v/>
      </c>
      <c r="C360" s="19" t="e">
        <f t="shared" si="41"/>
        <v>#VALUE!</v>
      </c>
      <c r="D360" s="20" t="str">
        <f>IF('DDF Original'!C360="","",'DDF Original'!C360)</f>
        <v/>
      </c>
      <c r="E360" s="24" t="str">
        <f>IF('DDF Original'!B360="","",IF(TRIM('DDF Original'!I360)="",0,'DDF Original'!I360))</f>
        <v/>
      </c>
      <c r="F360" s="20" t="str">
        <f t="shared" si="35"/>
        <v/>
      </c>
      <c r="G360" s="37" t="str">
        <f>IF('DDF Original'!B360="","",IF(TRIM('DDF Original'!P360)="",0,'DDF Original'!P360))</f>
        <v/>
      </c>
      <c r="H360" s="20" t="str">
        <f t="shared" si="36"/>
        <v/>
      </c>
      <c r="I360" s="25" t="str">
        <f t="shared" si="37"/>
        <v/>
      </c>
      <c r="J360" s="20" t="str">
        <f t="shared" si="38"/>
        <v/>
      </c>
      <c r="K360" s="20" t="str">
        <f t="shared" si="39"/>
        <v/>
      </c>
      <c r="L360" s="20" t="str">
        <f>IF(B360="","",70*'DDF Original'!$Q$4)</f>
        <v/>
      </c>
      <c r="M360" s="20" t="str">
        <f t="shared" si="40"/>
        <v/>
      </c>
      <c r="N360" s="20" t="str">
        <f>IF(AND(OR(B360="",J360&gt;G360,M360&gt;G360),'DDF Original'!L360&lt;&gt; "MI"),G360,IF(M360&gt;J360,M360,J360))</f>
        <v/>
      </c>
    </row>
    <row r="361" spans="2:14" x14ac:dyDescent="0.2">
      <c r="B361" s="19" t="str">
        <f>IF('DDF Original'!B361="","",'DDF Original'!B361)</f>
        <v/>
      </c>
      <c r="C361" s="19" t="e">
        <f t="shared" si="41"/>
        <v>#VALUE!</v>
      </c>
      <c r="D361" s="20" t="str">
        <f>IF('DDF Original'!C361="","",'DDF Original'!C361)</f>
        <v/>
      </c>
      <c r="E361" s="24" t="str">
        <f>IF('DDF Original'!B361="","",IF(TRIM('DDF Original'!I361)="",0,'DDF Original'!I361))</f>
        <v/>
      </c>
      <c r="F361" s="20" t="str">
        <f t="shared" si="35"/>
        <v/>
      </c>
      <c r="G361" s="37" t="str">
        <f>IF('DDF Original'!B361="","",IF(TRIM('DDF Original'!P361)="",0,'DDF Original'!P361))</f>
        <v/>
      </c>
      <c r="H361" s="20" t="str">
        <f t="shared" si="36"/>
        <v/>
      </c>
      <c r="I361" s="25" t="str">
        <f t="shared" si="37"/>
        <v/>
      </c>
      <c r="J361" s="20" t="str">
        <f t="shared" si="38"/>
        <v/>
      </c>
      <c r="K361" s="20" t="str">
        <f t="shared" si="39"/>
        <v/>
      </c>
      <c r="L361" s="20" t="str">
        <f>IF(B361="","",70*'DDF Original'!$Q$4)</f>
        <v/>
      </c>
      <c r="M361" s="20" t="str">
        <f t="shared" si="40"/>
        <v/>
      </c>
      <c r="N361" s="20" t="str">
        <f>IF(AND(OR(B361="",J361&gt;G361,M361&gt;G361),'DDF Original'!L361&lt;&gt; "MI"),G361,IF(M361&gt;J361,M361,J361))</f>
        <v/>
      </c>
    </row>
    <row r="362" spans="2:14" x14ac:dyDescent="0.2">
      <c r="B362" s="19" t="str">
        <f>IF('DDF Original'!B362="","",'DDF Original'!B362)</f>
        <v/>
      </c>
      <c r="C362" s="19" t="e">
        <f t="shared" si="41"/>
        <v>#VALUE!</v>
      </c>
      <c r="D362" s="20" t="str">
        <f>IF('DDF Original'!C362="","",'DDF Original'!C362)</f>
        <v/>
      </c>
      <c r="E362" s="24" t="str">
        <f>IF('DDF Original'!B362="","",IF(TRIM('DDF Original'!I362)="",0,'DDF Original'!I362))</f>
        <v/>
      </c>
      <c r="F362" s="20" t="str">
        <f t="shared" si="35"/>
        <v/>
      </c>
      <c r="G362" s="37" t="str">
        <f>IF('DDF Original'!B362="","",IF(TRIM('DDF Original'!P362)="",0,'DDF Original'!P362))</f>
        <v/>
      </c>
      <c r="H362" s="20" t="str">
        <f t="shared" si="36"/>
        <v/>
      </c>
      <c r="I362" s="25" t="str">
        <f t="shared" si="37"/>
        <v/>
      </c>
      <c r="J362" s="20" t="str">
        <f t="shared" si="38"/>
        <v/>
      </c>
      <c r="K362" s="20" t="str">
        <f t="shared" si="39"/>
        <v/>
      </c>
      <c r="L362" s="20" t="str">
        <f>IF(B362="","",70*'DDF Original'!$Q$4)</f>
        <v/>
      </c>
      <c r="M362" s="20" t="str">
        <f t="shared" si="40"/>
        <v/>
      </c>
      <c r="N362" s="20" t="str">
        <f>IF(AND(OR(B362="",J362&gt;G362,M362&gt;G362),'DDF Original'!L362&lt;&gt; "MI"),G362,IF(M362&gt;J362,M362,J362))</f>
        <v/>
      </c>
    </row>
    <row r="363" spans="2:14" x14ac:dyDescent="0.2">
      <c r="B363" s="19" t="str">
        <f>IF('DDF Original'!B363="","",'DDF Original'!B363)</f>
        <v/>
      </c>
      <c r="C363" s="19" t="e">
        <f t="shared" si="41"/>
        <v>#VALUE!</v>
      </c>
      <c r="D363" s="20" t="str">
        <f>IF('DDF Original'!C363="","",'DDF Original'!C363)</f>
        <v/>
      </c>
      <c r="E363" s="24" t="str">
        <f>IF('DDF Original'!B363="","",IF(TRIM('DDF Original'!I363)="",0,'DDF Original'!I363))</f>
        <v/>
      </c>
      <c r="F363" s="20" t="str">
        <f t="shared" si="35"/>
        <v/>
      </c>
      <c r="G363" s="37" t="str">
        <f>IF('DDF Original'!B363="","",IF(TRIM('DDF Original'!P363)="",0,'DDF Original'!P363))</f>
        <v/>
      </c>
      <c r="H363" s="20" t="str">
        <f t="shared" si="36"/>
        <v/>
      </c>
      <c r="I363" s="25" t="str">
        <f t="shared" si="37"/>
        <v/>
      </c>
      <c r="J363" s="20" t="str">
        <f t="shared" si="38"/>
        <v/>
      </c>
      <c r="K363" s="20" t="str">
        <f t="shared" si="39"/>
        <v/>
      </c>
      <c r="L363" s="20" t="str">
        <f>IF(B363="","",70*'DDF Original'!$Q$4)</f>
        <v/>
      </c>
      <c r="M363" s="20" t="str">
        <f t="shared" si="40"/>
        <v/>
      </c>
      <c r="N363" s="20" t="str">
        <f>IF(AND(OR(B363="",J363&gt;G363,M363&gt;G363),'DDF Original'!L363&lt;&gt; "MI"),G363,IF(M363&gt;J363,M363,J363))</f>
        <v/>
      </c>
    </row>
    <row r="364" spans="2:14" x14ac:dyDescent="0.2">
      <c r="B364" s="19" t="str">
        <f>IF('DDF Original'!B364="","",'DDF Original'!B364)</f>
        <v/>
      </c>
      <c r="C364" s="19" t="e">
        <f t="shared" si="41"/>
        <v>#VALUE!</v>
      </c>
      <c r="D364" s="20" t="str">
        <f>IF('DDF Original'!C364="","",'DDF Original'!C364)</f>
        <v/>
      </c>
      <c r="E364" s="24" t="str">
        <f>IF('DDF Original'!B364="","",IF(TRIM('DDF Original'!I364)="",0,'DDF Original'!I364))</f>
        <v/>
      </c>
      <c r="F364" s="20" t="str">
        <f t="shared" si="35"/>
        <v/>
      </c>
      <c r="G364" s="37" t="str">
        <f>IF('DDF Original'!B364="","",IF(TRIM('DDF Original'!P364)="",0,'DDF Original'!P364))</f>
        <v/>
      </c>
      <c r="H364" s="20" t="str">
        <f t="shared" si="36"/>
        <v/>
      </c>
      <c r="I364" s="25" t="str">
        <f t="shared" si="37"/>
        <v/>
      </c>
      <c r="J364" s="20" t="str">
        <f t="shared" si="38"/>
        <v/>
      </c>
      <c r="K364" s="20" t="str">
        <f t="shared" si="39"/>
        <v/>
      </c>
      <c r="L364" s="20" t="str">
        <f>IF(B364="","",70*'DDF Original'!$Q$4)</f>
        <v/>
      </c>
      <c r="M364" s="20" t="str">
        <f t="shared" si="40"/>
        <v/>
      </c>
      <c r="N364" s="20" t="str">
        <f>IF(AND(OR(B364="",J364&gt;G364,M364&gt;G364),'DDF Original'!L364&lt;&gt; "MI"),G364,IF(M364&gt;J364,M364,J364))</f>
        <v/>
      </c>
    </row>
    <row r="365" spans="2:14" x14ac:dyDescent="0.2">
      <c r="B365" s="19" t="str">
        <f>IF('DDF Original'!B365="","",'DDF Original'!B365)</f>
        <v/>
      </c>
      <c r="C365" s="19" t="e">
        <f t="shared" si="41"/>
        <v>#VALUE!</v>
      </c>
      <c r="D365" s="20" t="str">
        <f>IF('DDF Original'!C365="","",'DDF Original'!C365)</f>
        <v/>
      </c>
      <c r="E365" s="24" t="str">
        <f>IF('DDF Original'!B365="","",IF(TRIM('DDF Original'!I365)="",0,'DDF Original'!I365))</f>
        <v/>
      </c>
      <c r="F365" s="20" t="str">
        <f t="shared" si="35"/>
        <v/>
      </c>
      <c r="G365" s="37" t="str">
        <f>IF('DDF Original'!B365="","",IF(TRIM('DDF Original'!P365)="",0,'DDF Original'!P365))</f>
        <v/>
      </c>
      <c r="H365" s="20" t="str">
        <f t="shared" si="36"/>
        <v/>
      </c>
      <c r="I365" s="25" t="str">
        <f t="shared" si="37"/>
        <v/>
      </c>
      <c r="J365" s="20" t="str">
        <f t="shared" si="38"/>
        <v/>
      </c>
      <c r="K365" s="20" t="str">
        <f t="shared" si="39"/>
        <v/>
      </c>
      <c r="L365" s="20" t="str">
        <f>IF(B365="","",70*'DDF Original'!$Q$4)</f>
        <v/>
      </c>
      <c r="M365" s="20" t="str">
        <f t="shared" si="40"/>
        <v/>
      </c>
      <c r="N365" s="20" t="str">
        <f>IF(AND(OR(B365="",J365&gt;G365,M365&gt;G365),'DDF Original'!L365&lt;&gt; "MI"),G365,IF(M365&gt;J365,M365,J365))</f>
        <v/>
      </c>
    </row>
    <row r="366" spans="2:14" x14ac:dyDescent="0.2">
      <c r="B366" s="19" t="str">
        <f>IF('DDF Original'!B366="","",'DDF Original'!B366)</f>
        <v/>
      </c>
      <c r="C366" s="19" t="e">
        <f t="shared" si="41"/>
        <v>#VALUE!</v>
      </c>
      <c r="D366" s="20" t="str">
        <f>IF('DDF Original'!C366="","",'DDF Original'!C366)</f>
        <v/>
      </c>
      <c r="E366" s="24" t="str">
        <f>IF('DDF Original'!B366="","",IF(TRIM('DDF Original'!I366)="",0,'DDF Original'!I366))</f>
        <v/>
      </c>
      <c r="F366" s="20" t="str">
        <f t="shared" si="35"/>
        <v/>
      </c>
      <c r="G366" s="37" t="str">
        <f>IF('DDF Original'!B366="","",IF(TRIM('DDF Original'!P366)="",0,'DDF Original'!P366))</f>
        <v/>
      </c>
      <c r="H366" s="20" t="str">
        <f t="shared" si="36"/>
        <v/>
      </c>
      <c r="I366" s="25" t="str">
        <f t="shared" si="37"/>
        <v/>
      </c>
      <c r="J366" s="20" t="str">
        <f t="shared" si="38"/>
        <v/>
      </c>
      <c r="K366" s="20" t="str">
        <f t="shared" si="39"/>
        <v/>
      </c>
      <c r="L366" s="20" t="str">
        <f>IF(B366="","",70*'DDF Original'!$Q$4)</f>
        <v/>
      </c>
      <c r="M366" s="20" t="str">
        <f t="shared" si="40"/>
        <v/>
      </c>
      <c r="N366" s="20" t="str">
        <f>IF(AND(OR(B366="",J366&gt;G366,M366&gt;G366),'DDF Original'!L366&lt;&gt; "MI"),G366,IF(M366&gt;J366,M366,J366))</f>
        <v/>
      </c>
    </row>
    <row r="367" spans="2:14" x14ac:dyDescent="0.2">
      <c r="B367" s="19" t="str">
        <f>IF('DDF Original'!B367="","",'DDF Original'!B367)</f>
        <v/>
      </c>
      <c r="C367" s="19" t="e">
        <f t="shared" si="41"/>
        <v>#VALUE!</v>
      </c>
      <c r="D367" s="20" t="str">
        <f>IF('DDF Original'!C367="","",'DDF Original'!C367)</f>
        <v/>
      </c>
      <c r="E367" s="24" t="str">
        <f>IF('DDF Original'!B367="","",IF(TRIM('DDF Original'!I367)="",0,'DDF Original'!I367))</f>
        <v/>
      </c>
      <c r="F367" s="20" t="str">
        <f t="shared" si="35"/>
        <v/>
      </c>
      <c r="G367" s="37" t="str">
        <f>IF('DDF Original'!B367="","",IF(TRIM('DDF Original'!P367)="",0,'DDF Original'!P367))</f>
        <v/>
      </c>
      <c r="H367" s="20" t="str">
        <f t="shared" si="36"/>
        <v/>
      </c>
      <c r="I367" s="25" t="str">
        <f t="shared" si="37"/>
        <v/>
      </c>
      <c r="J367" s="20" t="str">
        <f t="shared" si="38"/>
        <v/>
      </c>
      <c r="K367" s="20" t="str">
        <f t="shared" si="39"/>
        <v/>
      </c>
      <c r="L367" s="20" t="str">
        <f>IF(B367="","",70*'DDF Original'!$Q$4)</f>
        <v/>
      </c>
      <c r="M367" s="20" t="str">
        <f t="shared" si="40"/>
        <v/>
      </c>
      <c r="N367" s="20" t="str">
        <f>IF(AND(OR(B367="",J367&gt;G367,M367&gt;G367),'DDF Original'!L367&lt;&gt; "MI"),G367,IF(M367&gt;J367,M367,J367))</f>
        <v/>
      </c>
    </row>
    <row r="368" spans="2:14" x14ac:dyDescent="0.2">
      <c r="B368" s="19" t="str">
        <f>IF('DDF Original'!B368="","",'DDF Original'!B368)</f>
        <v/>
      </c>
      <c r="C368" s="19" t="e">
        <f t="shared" si="41"/>
        <v>#VALUE!</v>
      </c>
      <c r="D368" s="20" t="str">
        <f>IF('DDF Original'!C368="","",'DDF Original'!C368)</f>
        <v/>
      </c>
      <c r="E368" s="24" t="str">
        <f>IF('DDF Original'!B368="","",IF(TRIM('DDF Original'!I368)="",0,'DDF Original'!I368))</f>
        <v/>
      </c>
      <c r="F368" s="20" t="str">
        <f t="shared" si="35"/>
        <v/>
      </c>
      <c r="G368" s="37" t="str">
        <f>IF('DDF Original'!B368="","",IF(TRIM('DDF Original'!P368)="",0,'DDF Original'!P368))</f>
        <v/>
      </c>
      <c r="H368" s="20" t="str">
        <f t="shared" si="36"/>
        <v/>
      </c>
      <c r="I368" s="25" t="str">
        <f t="shared" si="37"/>
        <v/>
      </c>
      <c r="J368" s="20" t="str">
        <f t="shared" si="38"/>
        <v/>
      </c>
      <c r="K368" s="20" t="str">
        <f t="shared" si="39"/>
        <v/>
      </c>
      <c r="L368" s="20" t="str">
        <f>IF(B368="","",70*'DDF Original'!$Q$4)</f>
        <v/>
      </c>
      <c r="M368" s="20" t="str">
        <f t="shared" si="40"/>
        <v/>
      </c>
      <c r="N368" s="20" t="str">
        <f>IF(AND(OR(B368="",J368&gt;G368,M368&gt;G368),'DDF Original'!L368&lt;&gt; "MI"),G368,IF(M368&gt;J368,M368,J368))</f>
        <v/>
      </c>
    </row>
    <row r="369" spans="2:14" x14ac:dyDescent="0.2">
      <c r="B369" s="19" t="str">
        <f>IF('DDF Original'!B369="","",'DDF Original'!B369)</f>
        <v/>
      </c>
      <c r="C369" s="19" t="e">
        <f t="shared" si="41"/>
        <v>#VALUE!</v>
      </c>
      <c r="D369" s="20" t="str">
        <f>IF('DDF Original'!C369="","",'DDF Original'!C369)</f>
        <v/>
      </c>
      <c r="E369" s="24" t="str">
        <f>IF('DDF Original'!B369="","",IF(TRIM('DDF Original'!I369)="",0,'DDF Original'!I369))</f>
        <v/>
      </c>
      <c r="F369" s="20" t="str">
        <f t="shared" si="35"/>
        <v/>
      </c>
      <c r="G369" s="37" t="str">
        <f>IF('DDF Original'!B369="","",IF(TRIM('DDF Original'!P369)="",0,'DDF Original'!P369))</f>
        <v/>
      </c>
      <c r="H369" s="20" t="str">
        <f t="shared" si="36"/>
        <v/>
      </c>
      <c r="I369" s="25" t="str">
        <f t="shared" si="37"/>
        <v/>
      </c>
      <c r="J369" s="20" t="str">
        <f t="shared" si="38"/>
        <v/>
      </c>
      <c r="K369" s="20" t="str">
        <f t="shared" si="39"/>
        <v/>
      </c>
      <c r="L369" s="20" t="str">
        <f>IF(B369="","",70*'DDF Original'!$Q$4)</f>
        <v/>
      </c>
      <c r="M369" s="20" t="str">
        <f t="shared" si="40"/>
        <v/>
      </c>
      <c r="N369" s="20" t="str">
        <f>IF(AND(OR(B369="",J369&gt;G369,M369&gt;G369),'DDF Original'!L369&lt;&gt; "MI"),G369,IF(M369&gt;J369,M369,J369))</f>
        <v/>
      </c>
    </row>
    <row r="370" spans="2:14" x14ac:dyDescent="0.2">
      <c r="B370" s="19" t="str">
        <f>IF('DDF Original'!B370="","",'DDF Original'!B370)</f>
        <v/>
      </c>
      <c r="C370" s="19" t="e">
        <f t="shared" si="41"/>
        <v>#VALUE!</v>
      </c>
      <c r="D370" s="20" t="str">
        <f>IF('DDF Original'!C370="","",'DDF Original'!C370)</f>
        <v/>
      </c>
      <c r="E370" s="24" t="str">
        <f>IF('DDF Original'!B370="","",IF(TRIM('DDF Original'!I370)="",0,'DDF Original'!I370))</f>
        <v/>
      </c>
      <c r="F370" s="20" t="str">
        <f t="shared" si="35"/>
        <v/>
      </c>
      <c r="G370" s="37" t="str">
        <f>IF('DDF Original'!B370="","",IF(TRIM('DDF Original'!P370)="",0,'DDF Original'!P370))</f>
        <v/>
      </c>
      <c r="H370" s="20" t="str">
        <f t="shared" si="36"/>
        <v/>
      </c>
      <c r="I370" s="25" t="str">
        <f t="shared" si="37"/>
        <v/>
      </c>
      <c r="J370" s="20" t="str">
        <f t="shared" si="38"/>
        <v/>
      </c>
      <c r="K370" s="20" t="str">
        <f t="shared" si="39"/>
        <v/>
      </c>
      <c r="L370" s="20" t="str">
        <f>IF(B370="","",70*'DDF Original'!$Q$4)</f>
        <v/>
      </c>
      <c r="M370" s="20" t="str">
        <f t="shared" si="40"/>
        <v/>
      </c>
      <c r="N370" s="20" t="str">
        <f>IF(AND(OR(B370="",J370&gt;G370,M370&gt;G370),'DDF Original'!L370&lt;&gt; "MI"),G370,IF(M370&gt;J370,M370,J370))</f>
        <v/>
      </c>
    </row>
    <row r="371" spans="2:14" x14ac:dyDescent="0.2">
      <c r="B371" s="19" t="str">
        <f>IF('DDF Original'!B371="","",'DDF Original'!B371)</f>
        <v/>
      </c>
      <c r="C371" s="19" t="e">
        <f t="shared" si="41"/>
        <v>#VALUE!</v>
      </c>
      <c r="D371" s="20" t="str">
        <f>IF('DDF Original'!C371="","",'DDF Original'!C371)</f>
        <v/>
      </c>
      <c r="E371" s="24" t="str">
        <f>IF('DDF Original'!B371="","",IF(TRIM('DDF Original'!I371)="",0,'DDF Original'!I371))</f>
        <v/>
      </c>
      <c r="F371" s="20" t="str">
        <f t="shared" si="35"/>
        <v/>
      </c>
      <c r="G371" s="37" t="str">
        <f>IF('DDF Original'!B371="","",IF(TRIM('DDF Original'!P371)="",0,'DDF Original'!P371))</f>
        <v/>
      </c>
      <c r="H371" s="20" t="str">
        <f t="shared" si="36"/>
        <v/>
      </c>
      <c r="I371" s="25" t="str">
        <f t="shared" si="37"/>
        <v/>
      </c>
      <c r="J371" s="20" t="str">
        <f t="shared" si="38"/>
        <v/>
      </c>
      <c r="K371" s="20" t="str">
        <f t="shared" si="39"/>
        <v/>
      </c>
      <c r="L371" s="20" t="str">
        <f>IF(B371="","",70*'DDF Original'!$Q$4)</f>
        <v/>
      </c>
      <c r="M371" s="20" t="str">
        <f t="shared" si="40"/>
        <v/>
      </c>
      <c r="N371" s="20" t="str">
        <f>IF(AND(OR(B371="",J371&gt;G371,M371&gt;G371),'DDF Original'!L371&lt;&gt; "MI"),G371,IF(M371&gt;J371,M371,J371))</f>
        <v/>
      </c>
    </row>
    <row r="372" spans="2:14" x14ac:dyDescent="0.2">
      <c r="B372" s="19" t="str">
        <f>IF('DDF Original'!B372="","",'DDF Original'!B372)</f>
        <v/>
      </c>
      <c r="C372" s="19" t="e">
        <f t="shared" si="41"/>
        <v>#VALUE!</v>
      </c>
      <c r="D372" s="20" t="str">
        <f>IF('DDF Original'!C372="","",'DDF Original'!C372)</f>
        <v/>
      </c>
      <c r="E372" s="24" t="str">
        <f>IF('DDF Original'!B372="","",IF(TRIM('DDF Original'!I372)="",0,'DDF Original'!I372))</f>
        <v/>
      </c>
      <c r="F372" s="20" t="str">
        <f t="shared" si="35"/>
        <v/>
      </c>
      <c r="G372" s="37" t="str">
        <f>IF('DDF Original'!B372="","",IF(TRIM('DDF Original'!P372)="",0,'DDF Original'!P372))</f>
        <v/>
      </c>
      <c r="H372" s="20" t="str">
        <f t="shared" si="36"/>
        <v/>
      </c>
      <c r="I372" s="25" t="str">
        <f t="shared" si="37"/>
        <v/>
      </c>
      <c r="J372" s="20" t="str">
        <f t="shared" si="38"/>
        <v/>
      </c>
      <c r="K372" s="20" t="str">
        <f t="shared" si="39"/>
        <v/>
      </c>
      <c r="L372" s="20" t="str">
        <f>IF(B372="","",70*'DDF Original'!$Q$4)</f>
        <v/>
      </c>
      <c r="M372" s="20" t="str">
        <f t="shared" si="40"/>
        <v/>
      </c>
      <c r="N372" s="20" t="str">
        <f>IF(AND(OR(B372="",J372&gt;G372,M372&gt;G372),'DDF Original'!L372&lt;&gt; "MI"),G372,IF(M372&gt;J372,M372,J372))</f>
        <v/>
      </c>
    </row>
    <row r="373" spans="2:14" x14ac:dyDescent="0.2">
      <c r="B373" s="19" t="str">
        <f>IF('DDF Original'!B373="","",'DDF Original'!B373)</f>
        <v/>
      </c>
      <c r="C373" s="19" t="e">
        <f t="shared" si="41"/>
        <v>#VALUE!</v>
      </c>
      <c r="D373" s="20" t="str">
        <f>IF('DDF Original'!C373="","",'DDF Original'!C373)</f>
        <v/>
      </c>
      <c r="E373" s="24" t="str">
        <f>IF('DDF Original'!B373="","",IF(TRIM('DDF Original'!I373)="",0,'DDF Original'!I373))</f>
        <v/>
      </c>
      <c r="F373" s="20" t="str">
        <f t="shared" si="35"/>
        <v/>
      </c>
      <c r="G373" s="37" t="str">
        <f>IF('DDF Original'!B373="","",IF(TRIM('DDF Original'!P373)="",0,'DDF Original'!P373))</f>
        <v/>
      </c>
      <c r="H373" s="20" t="str">
        <f t="shared" si="36"/>
        <v/>
      </c>
      <c r="I373" s="25" t="str">
        <f t="shared" si="37"/>
        <v/>
      </c>
      <c r="J373" s="20" t="str">
        <f t="shared" si="38"/>
        <v/>
      </c>
      <c r="K373" s="20" t="str">
        <f t="shared" si="39"/>
        <v/>
      </c>
      <c r="L373" s="20" t="str">
        <f>IF(B373="","",70*'DDF Original'!$Q$4)</f>
        <v/>
      </c>
      <c r="M373" s="20" t="str">
        <f t="shared" si="40"/>
        <v/>
      </c>
      <c r="N373" s="20" t="str">
        <f>IF(AND(OR(B373="",J373&gt;G373,M373&gt;G373),'DDF Original'!L373&lt;&gt; "MI"),G373,IF(M373&gt;J373,M373,J373))</f>
        <v/>
      </c>
    </row>
    <row r="374" spans="2:14" x14ac:dyDescent="0.2">
      <c r="B374" s="19" t="str">
        <f>IF('DDF Original'!B374="","",'DDF Original'!B374)</f>
        <v/>
      </c>
      <c r="C374" s="19" t="e">
        <f t="shared" si="41"/>
        <v>#VALUE!</v>
      </c>
      <c r="D374" s="20" t="str">
        <f>IF('DDF Original'!C374="","",'DDF Original'!C374)</f>
        <v/>
      </c>
      <c r="E374" s="24" t="str">
        <f>IF('DDF Original'!B374="","",IF(TRIM('DDF Original'!I374)="",0,'DDF Original'!I374))</f>
        <v/>
      </c>
      <c r="F374" s="20" t="str">
        <f t="shared" si="35"/>
        <v/>
      </c>
      <c r="G374" s="37" t="str">
        <f>IF('DDF Original'!B374="","",IF(TRIM('DDF Original'!P374)="",0,'DDF Original'!P374))</f>
        <v/>
      </c>
      <c r="H374" s="20" t="str">
        <f t="shared" si="36"/>
        <v/>
      </c>
      <c r="I374" s="25" t="str">
        <f t="shared" si="37"/>
        <v/>
      </c>
      <c r="J374" s="20" t="str">
        <f t="shared" si="38"/>
        <v/>
      </c>
      <c r="K374" s="20" t="str">
        <f t="shared" si="39"/>
        <v/>
      </c>
      <c r="L374" s="20" t="str">
        <f>IF(B374="","",70*'DDF Original'!$Q$4)</f>
        <v/>
      </c>
      <c r="M374" s="20" t="str">
        <f t="shared" si="40"/>
        <v/>
      </c>
      <c r="N374" s="20" t="str">
        <f>IF(AND(OR(B374="",J374&gt;G374,M374&gt;G374),'DDF Original'!L374&lt;&gt; "MI"),G374,IF(M374&gt;J374,M374,J374))</f>
        <v/>
      </c>
    </row>
    <row r="375" spans="2:14" x14ac:dyDescent="0.2">
      <c r="B375" s="19" t="str">
        <f>IF('DDF Original'!B375="","",'DDF Original'!B375)</f>
        <v/>
      </c>
      <c r="C375" s="19" t="e">
        <f t="shared" si="41"/>
        <v>#VALUE!</v>
      </c>
      <c r="D375" s="20" t="str">
        <f>IF('DDF Original'!C375="","",'DDF Original'!C375)</f>
        <v/>
      </c>
      <c r="E375" s="24" t="str">
        <f>IF('DDF Original'!B375="","",IF(TRIM('DDF Original'!I375)="",0,'DDF Original'!I375))</f>
        <v/>
      </c>
      <c r="F375" s="20" t="str">
        <f t="shared" si="35"/>
        <v/>
      </c>
      <c r="G375" s="37" t="str">
        <f>IF('DDF Original'!B375="","",IF(TRIM('DDF Original'!P375)="",0,'DDF Original'!P375))</f>
        <v/>
      </c>
      <c r="H375" s="20" t="str">
        <f t="shared" si="36"/>
        <v/>
      </c>
      <c r="I375" s="25" t="str">
        <f t="shared" si="37"/>
        <v/>
      </c>
      <c r="J375" s="20" t="str">
        <f t="shared" si="38"/>
        <v/>
      </c>
      <c r="K375" s="20" t="str">
        <f t="shared" si="39"/>
        <v/>
      </c>
      <c r="L375" s="20" t="str">
        <f>IF(B375="","",70*'DDF Original'!$Q$4)</f>
        <v/>
      </c>
      <c r="M375" s="20" t="str">
        <f t="shared" si="40"/>
        <v/>
      </c>
      <c r="N375" s="20" t="str">
        <f>IF(AND(OR(B375="",J375&gt;G375,M375&gt;G375),'DDF Original'!L375&lt;&gt; "MI"),G375,IF(M375&gt;J375,M375,J375))</f>
        <v/>
      </c>
    </row>
    <row r="376" spans="2:14" x14ac:dyDescent="0.2">
      <c r="B376" s="19" t="str">
        <f>IF('DDF Original'!B376="","",'DDF Original'!B376)</f>
        <v/>
      </c>
      <c r="C376" s="19" t="e">
        <f t="shared" si="41"/>
        <v>#VALUE!</v>
      </c>
      <c r="D376" s="20" t="str">
        <f>IF('DDF Original'!C376="","",'DDF Original'!C376)</f>
        <v/>
      </c>
      <c r="E376" s="24" t="str">
        <f>IF('DDF Original'!B376="","",IF(TRIM('DDF Original'!I376)="",0,'DDF Original'!I376))</f>
        <v/>
      </c>
      <c r="F376" s="20" t="str">
        <f t="shared" si="35"/>
        <v/>
      </c>
      <c r="G376" s="37" t="str">
        <f>IF('DDF Original'!B376="","",IF(TRIM('DDF Original'!P376)="",0,'DDF Original'!P376))</f>
        <v/>
      </c>
      <c r="H376" s="20" t="str">
        <f t="shared" si="36"/>
        <v/>
      </c>
      <c r="I376" s="25" t="str">
        <f t="shared" si="37"/>
        <v/>
      </c>
      <c r="J376" s="20" t="str">
        <f t="shared" si="38"/>
        <v/>
      </c>
      <c r="K376" s="20" t="str">
        <f t="shared" si="39"/>
        <v/>
      </c>
      <c r="L376" s="20" t="str">
        <f>IF(B376="","",70*'DDF Original'!$Q$4)</f>
        <v/>
      </c>
      <c r="M376" s="20" t="str">
        <f t="shared" si="40"/>
        <v/>
      </c>
      <c r="N376" s="20" t="str">
        <f>IF(AND(OR(B376="",J376&gt;G376,M376&gt;G376),'DDF Original'!L376&lt;&gt; "MI"),G376,IF(M376&gt;J376,M376,J376))</f>
        <v/>
      </c>
    </row>
    <row r="377" spans="2:14" x14ac:dyDescent="0.2">
      <c r="B377" s="19" t="str">
        <f>IF('DDF Original'!B377="","",'DDF Original'!B377)</f>
        <v/>
      </c>
      <c r="C377" s="19" t="e">
        <f t="shared" si="41"/>
        <v>#VALUE!</v>
      </c>
      <c r="D377" s="20" t="str">
        <f>IF('DDF Original'!C377="","",'DDF Original'!C377)</f>
        <v/>
      </c>
      <c r="E377" s="24" t="str">
        <f>IF('DDF Original'!B377="","",IF(TRIM('DDF Original'!I377)="",0,'DDF Original'!I377))</f>
        <v/>
      </c>
      <c r="F377" s="20" t="str">
        <f t="shared" si="35"/>
        <v/>
      </c>
      <c r="G377" s="37" t="str">
        <f>IF('DDF Original'!B377="","",IF(TRIM('DDF Original'!P377)="",0,'DDF Original'!P377))</f>
        <v/>
      </c>
      <c r="H377" s="20" t="str">
        <f t="shared" si="36"/>
        <v/>
      </c>
      <c r="I377" s="25" t="str">
        <f t="shared" si="37"/>
        <v/>
      </c>
      <c r="J377" s="20" t="str">
        <f t="shared" si="38"/>
        <v/>
      </c>
      <c r="K377" s="20" t="str">
        <f t="shared" si="39"/>
        <v/>
      </c>
      <c r="L377" s="20" t="str">
        <f>IF(B377="","",70*'DDF Original'!$Q$4)</f>
        <v/>
      </c>
      <c r="M377" s="20" t="str">
        <f t="shared" si="40"/>
        <v/>
      </c>
      <c r="N377" s="20" t="str">
        <f>IF(AND(OR(B377="",J377&gt;G377,M377&gt;G377),'DDF Original'!L377&lt;&gt; "MI"),G377,IF(M377&gt;J377,M377,J377))</f>
        <v/>
      </c>
    </row>
    <row r="378" spans="2:14" x14ac:dyDescent="0.2">
      <c r="B378" s="19" t="str">
        <f>IF('DDF Original'!B378="","",'DDF Original'!B378)</f>
        <v/>
      </c>
      <c r="C378" s="19" t="e">
        <f t="shared" si="41"/>
        <v>#VALUE!</v>
      </c>
      <c r="D378" s="20" t="str">
        <f>IF('DDF Original'!C378="","",'DDF Original'!C378)</f>
        <v/>
      </c>
      <c r="E378" s="24" t="str">
        <f>IF('DDF Original'!B378="","",IF(TRIM('DDF Original'!I378)="",0,'DDF Original'!I378))</f>
        <v/>
      </c>
      <c r="F378" s="20" t="str">
        <f t="shared" si="35"/>
        <v/>
      </c>
      <c r="G378" s="37" t="str">
        <f>IF('DDF Original'!B378="","",IF(TRIM('DDF Original'!P378)="",0,'DDF Original'!P378))</f>
        <v/>
      </c>
      <c r="H378" s="20" t="str">
        <f t="shared" si="36"/>
        <v/>
      </c>
      <c r="I378" s="25" t="str">
        <f t="shared" si="37"/>
        <v/>
      </c>
      <c r="J378" s="20" t="str">
        <f t="shared" si="38"/>
        <v/>
      </c>
      <c r="K378" s="20" t="str">
        <f t="shared" si="39"/>
        <v/>
      </c>
      <c r="L378" s="20" t="str">
        <f>IF(B378="","",70*'DDF Original'!$Q$4)</f>
        <v/>
      </c>
      <c r="M378" s="20" t="str">
        <f t="shared" si="40"/>
        <v/>
      </c>
      <c r="N378" s="20" t="str">
        <f>IF(AND(OR(B378="",J378&gt;G378,M378&gt;G378),'DDF Original'!L378&lt;&gt; "MI"),G378,IF(M378&gt;J378,M378,J378))</f>
        <v/>
      </c>
    </row>
    <row r="379" spans="2:14" x14ac:dyDescent="0.2">
      <c r="B379" s="19" t="str">
        <f>IF('DDF Original'!B379="","",'DDF Original'!B379)</f>
        <v/>
      </c>
      <c r="C379" s="19" t="e">
        <f t="shared" si="41"/>
        <v>#VALUE!</v>
      </c>
      <c r="D379" s="20" t="str">
        <f>IF('DDF Original'!C379="","",'DDF Original'!C379)</f>
        <v/>
      </c>
      <c r="E379" s="24" t="str">
        <f>IF('DDF Original'!B379="","",IF(TRIM('DDF Original'!I379)="",0,'DDF Original'!I379))</f>
        <v/>
      </c>
      <c r="F379" s="20" t="str">
        <f t="shared" si="35"/>
        <v/>
      </c>
      <c r="G379" s="37" t="str">
        <f>IF('DDF Original'!B379="","",IF(TRIM('DDF Original'!P379)="",0,'DDF Original'!P379))</f>
        <v/>
      </c>
      <c r="H379" s="20" t="str">
        <f t="shared" si="36"/>
        <v/>
      </c>
      <c r="I379" s="25" t="str">
        <f t="shared" si="37"/>
        <v/>
      </c>
      <c r="J379" s="20" t="str">
        <f t="shared" si="38"/>
        <v/>
      </c>
      <c r="K379" s="20" t="str">
        <f t="shared" si="39"/>
        <v/>
      </c>
      <c r="L379" s="20" t="str">
        <f>IF(B379="","",70*'DDF Original'!$Q$4)</f>
        <v/>
      </c>
      <c r="M379" s="20" t="str">
        <f t="shared" si="40"/>
        <v/>
      </c>
      <c r="N379" s="20" t="str">
        <f>IF(AND(OR(B379="",J379&gt;G379,M379&gt;G379),'DDF Original'!L379&lt;&gt; "MI"),G379,IF(M379&gt;J379,M379,J379))</f>
        <v/>
      </c>
    </row>
    <row r="380" spans="2:14" x14ac:dyDescent="0.2">
      <c r="B380" s="19" t="str">
        <f>IF('DDF Original'!B380="","",'DDF Original'!B380)</f>
        <v/>
      </c>
      <c r="C380" s="19" t="e">
        <f t="shared" si="41"/>
        <v>#VALUE!</v>
      </c>
      <c r="D380" s="20" t="str">
        <f>IF('DDF Original'!C380="","",'DDF Original'!C380)</f>
        <v/>
      </c>
      <c r="E380" s="24" t="str">
        <f>IF('DDF Original'!B380="","",IF(TRIM('DDF Original'!I380)="",0,'DDF Original'!I380))</f>
        <v/>
      </c>
      <c r="F380" s="20" t="str">
        <f t="shared" si="35"/>
        <v/>
      </c>
      <c r="G380" s="37" t="str">
        <f>IF('DDF Original'!B380="","",IF(TRIM('DDF Original'!P380)="",0,'DDF Original'!P380))</f>
        <v/>
      </c>
      <c r="H380" s="20" t="str">
        <f t="shared" si="36"/>
        <v/>
      </c>
      <c r="I380" s="25" t="str">
        <f t="shared" si="37"/>
        <v/>
      </c>
      <c r="J380" s="20" t="str">
        <f t="shared" si="38"/>
        <v/>
      </c>
      <c r="K380" s="20" t="str">
        <f t="shared" si="39"/>
        <v/>
      </c>
      <c r="L380" s="20" t="str">
        <f>IF(B380="","",70*'DDF Original'!$Q$4)</f>
        <v/>
      </c>
      <c r="M380" s="20" t="str">
        <f t="shared" si="40"/>
        <v/>
      </c>
      <c r="N380" s="20" t="str">
        <f>IF(AND(OR(B380="",J380&gt;G380,M380&gt;G380),'DDF Original'!L380&lt;&gt; "MI"),G380,IF(M380&gt;J380,M380,J380))</f>
        <v/>
      </c>
    </row>
    <row r="381" spans="2:14" x14ac:dyDescent="0.2">
      <c r="B381" s="19" t="str">
        <f>IF('DDF Original'!B381="","",'DDF Original'!B381)</f>
        <v/>
      </c>
      <c r="C381" s="19" t="e">
        <f t="shared" si="41"/>
        <v>#VALUE!</v>
      </c>
      <c r="D381" s="20" t="str">
        <f>IF('DDF Original'!C381="","",'DDF Original'!C381)</f>
        <v/>
      </c>
      <c r="E381" s="24" t="str">
        <f>IF('DDF Original'!B381="","",IF(TRIM('DDF Original'!I381)="",0,'DDF Original'!I381))</f>
        <v/>
      </c>
      <c r="F381" s="20" t="str">
        <f t="shared" si="35"/>
        <v/>
      </c>
      <c r="G381" s="37" t="str">
        <f>IF('DDF Original'!B381="","",IF(TRIM('DDF Original'!P381)="",0,'DDF Original'!P381))</f>
        <v/>
      </c>
      <c r="H381" s="20" t="str">
        <f t="shared" si="36"/>
        <v/>
      </c>
      <c r="I381" s="25" t="str">
        <f t="shared" si="37"/>
        <v/>
      </c>
      <c r="J381" s="20" t="str">
        <f t="shared" si="38"/>
        <v/>
      </c>
      <c r="K381" s="20" t="str">
        <f t="shared" si="39"/>
        <v/>
      </c>
      <c r="L381" s="20" t="str">
        <f>IF(B381="","",70*'DDF Original'!$Q$4)</f>
        <v/>
      </c>
      <c r="M381" s="20" t="str">
        <f t="shared" si="40"/>
        <v/>
      </c>
      <c r="N381" s="20" t="str">
        <f>IF(AND(OR(B381="",J381&gt;G381,M381&gt;G381),'DDF Original'!L381&lt;&gt; "MI"),G381,IF(M381&gt;J381,M381,J381))</f>
        <v/>
      </c>
    </row>
    <row r="382" spans="2:14" x14ac:dyDescent="0.2">
      <c r="B382" s="19" t="str">
        <f>IF('DDF Original'!B382="","",'DDF Original'!B382)</f>
        <v/>
      </c>
      <c r="C382" s="19" t="e">
        <f t="shared" si="41"/>
        <v>#VALUE!</v>
      </c>
      <c r="D382" s="20" t="str">
        <f>IF('DDF Original'!C382="","",'DDF Original'!C382)</f>
        <v/>
      </c>
      <c r="E382" s="24" t="str">
        <f>IF('DDF Original'!B382="","",IF(TRIM('DDF Original'!I382)="",0,'DDF Original'!I382))</f>
        <v/>
      </c>
      <c r="F382" s="20" t="str">
        <f t="shared" si="35"/>
        <v/>
      </c>
      <c r="G382" s="37" t="str">
        <f>IF('DDF Original'!B382="","",IF(TRIM('DDF Original'!P382)="",0,'DDF Original'!P382))</f>
        <v/>
      </c>
      <c r="H382" s="20" t="str">
        <f t="shared" si="36"/>
        <v/>
      </c>
      <c r="I382" s="25" t="str">
        <f t="shared" si="37"/>
        <v/>
      </c>
      <c r="J382" s="20" t="str">
        <f t="shared" si="38"/>
        <v/>
      </c>
      <c r="K382" s="20" t="str">
        <f t="shared" si="39"/>
        <v/>
      </c>
      <c r="L382" s="20" t="str">
        <f>IF(B382="","",70*'DDF Original'!$Q$4)</f>
        <v/>
      </c>
      <c r="M382" s="20" t="str">
        <f t="shared" si="40"/>
        <v/>
      </c>
      <c r="N382" s="20" t="str">
        <f>IF(AND(OR(B382="",J382&gt;G382,M382&gt;G382),'DDF Original'!L382&lt;&gt; "MI"),G382,IF(M382&gt;J382,M382,J382))</f>
        <v/>
      </c>
    </row>
    <row r="383" spans="2:14" x14ac:dyDescent="0.2">
      <c r="B383" s="19" t="str">
        <f>IF('DDF Original'!B383="","",'DDF Original'!B383)</f>
        <v/>
      </c>
      <c r="C383" s="19" t="e">
        <f t="shared" si="41"/>
        <v>#VALUE!</v>
      </c>
      <c r="D383" s="20" t="str">
        <f>IF('DDF Original'!C383="","",'DDF Original'!C383)</f>
        <v/>
      </c>
      <c r="E383" s="24" t="str">
        <f>IF('DDF Original'!B383="","",IF(TRIM('DDF Original'!I383)="",0,'DDF Original'!I383))</f>
        <v/>
      </c>
      <c r="F383" s="20" t="str">
        <f t="shared" si="35"/>
        <v/>
      </c>
      <c r="G383" s="37" t="str">
        <f>IF('DDF Original'!B383="","",IF(TRIM('DDF Original'!P383)="",0,'DDF Original'!P383))</f>
        <v/>
      </c>
      <c r="H383" s="20" t="str">
        <f t="shared" si="36"/>
        <v/>
      </c>
      <c r="I383" s="25" t="str">
        <f t="shared" si="37"/>
        <v/>
      </c>
      <c r="J383" s="20" t="str">
        <f t="shared" si="38"/>
        <v/>
      </c>
      <c r="K383" s="20" t="str">
        <f t="shared" si="39"/>
        <v/>
      </c>
      <c r="L383" s="20" t="str">
        <f>IF(B383="","",70*'DDF Original'!$Q$4)</f>
        <v/>
      </c>
      <c r="M383" s="20" t="str">
        <f t="shared" si="40"/>
        <v/>
      </c>
      <c r="N383" s="20" t="str">
        <f>IF(AND(OR(B383="",J383&gt;G383,M383&gt;G383),'DDF Original'!L383&lt;&gt; "MI"),G383,IF(M383&gt;J383,M383,J383))</f>
        <v/>
      </c>
    </row>
    <row r="384" spans="2:14" x14ac:dyDescent="0.2">
      <c r="B384" s="19" t="str">
        <f>IF('DDF Original'!B384="","",'DDF Original'!B384)</f>
        <v/>
      </c>
      <c r="C384" s="19" t="e">
        <f t="shared" si="41"/>
        <v>#VALUE!</v>
      </c>
      <c r="D384" s="20" t="str">
        <f>IF('DDF Original'!C384="","",'DDF Original'!C384)</f>
        <v/>
      </c>
      <c r="E384" s="24" t="str">
        <f>IF('DDF Original'!B384="","",IF(TRIM('DDF Original'!I384)="",0,'DDF Original'!I384))</f>
        <v/>
      </c>
      <c r="F384" s="20" t="str">
        <f t="shared" si="35"/>
        <v/>
      </c>
      <c r="G384" s="37" t="str">
        <f>IF('DDF Original'!B384="","",IF(TRIM('DDF Original'!P384)="",0,'DDF Original'!P384))</f>
        <v/>
      </c>
      <c r="H384" s="20" t="str">
        <f t="shared" si="36"/>
        <v/>
      </c>
      <c r="I384" s="25" t="str">
        <f t="shared" si="37"/>
        <v/>
      </c>
      <c r="J384" s="20" t="str">
        <f t="shared" si="38"/>
        <v/>
      </c>
      <c r="K384" s="20" t="str">
        <f t="shared" si="39"/>
        <v/>
      </c>
      <c r="L384" s="20" t="str">
        <f>IF(B384="","",70*'DDF Original'!$Q$4)</f>
        <v/>
      </c>
      <c r="M384" s="20" t="str">
        <f t="shared" si="40"/>
        <v/>
      </c>
      <c r="N384" s="20" t="str">
        <f>IF(AND(OR(B384="",J384&gt;G384,M384&gt;G384),'DDF Original'!L384&lt;&gt; "MI"),G384,IF(M384&gt;J384,M384,J384))</f>
        <v/>
      </c>
    </row>
    <row r="385" spans="2:14" x14ac:dyDescent="0.2">
      <c r="B385" s="19" t="str">
        <f>IF('DDF Original'!B385="","",'DDF Original'!B385)</f>
        <v/>
      </c>
      <c r="C385" s="19" t="e">
        <f t="shared" si="41"/>
        <v>#VALUE!</v>
      </c>
      <c r="D385" s="20" t="str">
        <f>IF('DDF Original'!C385="","",'DDF Original'!C385)</f>
        <v/>
      </c>
      <c r="E385" s="24" t="str">
        <f>IF('DDF Original'!B385="","",IF(TRIM('DDF Original'!I385)="",0,'DDF Original'!I385))</f>
        <v/>
      </c>
      <c r="F385" s="20" t="str">
        <f t="shared" si="35"/>
        <v/>
      </c>
      <c r="G385" s="37" t="str">
        <f>IF('DDF Original'!B385="","",IF(TRIM('DDF Original'!P385)="",0,'DDF Original'!P385))</f>
        <v/>
      </c>
      <c r="H385" s="20" t="str">
        <f t="shared" si="36"/>
        <v/>
      </c>
      <c r="I385" s="25" t="str">
        <f t="shared" si="37"/>
        <v/>
      </c>
      <c r="J385" s="20" t="str">
        <f t="shared" si="38"/>
        <v/>
      </c>
      <c r="K385" s="20" t="str">
        <f t="shared" si="39"/>
        <v/>
      </c>
      <c r="L385" s="20" t="str">
        <f>IF(B385="","",70*'DDF Original'!$Q$4)</f>
        <v/>
      </c>
      <c r="M385" s="20" t="str">
        <f t="shared" si="40"/>
        <v/>
      </c>
      <c r="N385" s="20" t="str">
        <f>IF(AND(OR(B385="",J385&gt;G385,M385&gt;G385),'DDF Original'!L385&lt;&gt; "MI"),G385,IF(M385&gt;J385,M385,J385))</f>
        <v/>
      </c>
    </row>
    <row r="386" spans="2:14" x14ac:dyDescent="0.2">
      <c r="B386" s="19" t="str">
        <f>IF('DDF Original'!B386="","",'DDF Original'!B386)</f>
        <v/>
      </c>
      <c r="C386" s="19" t="e">
        <f t="shared" si="41"/>
        <v>#VALUE!</v>
      </c>
      <c r="D386" s="20" t="str">
        <f>IF('DDF Original'!C386="","",'DDF Original'!C386)</f>
        <v/>
      </c>
      <c r="E386" s="24" t="str">
        <f>IF('DDF Original'!B386="","",IF(TRIM('DDF Original'!I386)="",0,'DDF Original'!I386))</f>
        <v/>
      </c>
      <c r="F386" s="20" t="str">
        <f t="shared" si="35"/>
        <v/>
      </c>
      <c r="G386" s="37" t="str">
        <f>IF('DDF Original'!B386="","",IF(TRIM('DDF Original'!P386)="",0,'DDF Original'!P386))</f>
        <v/>
      </c>
      <c r="H386" s="20" t="str">
        <f t="shared" si="36"/>
        <v/>
      </c>
      <c r="I386" s="25" t="str">
        <f t="shared" si="37"/>
        <v/>
      </c>
      <c r="J386" s="20" t="str">
        <f t="shared" si="38"/>
        <v/>
      </c>
      <c r="K386" s="20" t="str">
        <f t="shared" si="39"/>
        <v/>
      </c>
      <c r="L386" s="20" t="str">
        <f>IF(B386="","",70*'DDF Original'!$Q$4)</f>
        <v/>
      </c>
      <c r="M386" s="20" t="str">
        <f t="shared" si="40"/>
        <v/>
      </c>
      <c r="N386" s="20" t="str">
        <f>IF(AND(OR(B386="",J386&gt;G386,M386&gt;G386),'DDF Original'!L386&lt;&gt; "MI"),G386,IF(M386&gt;J386,M386,J386))</f>
        <v/>
      </c>
    </row>
    <row r="387" spans="2:14" x14ac:dyDescent="0.2">
      <c r="B387" s="19" t="str">
        <f>IF('DDF Original'!B387="","",'DDF Original'!B387)</f>
        <v/>
      </c>
      <c r="C387" s="19" t="e">
        <f t="shared" si="41"/>
        <v>#VALUE!</v>
      </c>
      <c r="D387" s="20" t="str">
        <f>IF('DDF Original'!C387="","",'DDF Original'!C387)</f>
        <v/>
      </c>
      <c r="E387" s="24" t="str">
        <f>IF('DDF Original'!B387="","",IF(TRIM('DDF Original'!I387)="",0,'DDF Original'!I387))</f>
        <v/>
      </c>
      <c r="F387" s="20" t="str">
        <f t="shared" si="35"/>
        <v/>
      </c>
      <c r="G387" s="37" t="str">
        <f>IF('DDF Original'!B387="","",IF(TRIM('DDF Original'!P387)="",0,'DDF Original'!P387))</f>
        <v/>
      </c>
      <c r="H387" s="20" t="str">
        <f t="shared" si="36"/>
        <v/>
      </c>
      <c r="I387" s="25" t="str">
        <f t="shared" si="37"/>
        <v/>
      </c>
      <c r="J387" s="20" t="str">
        <f t="shared" si="38"/>
        <v/>
      </c>
      <c r="K387" s="20" t="str">
        <f t="shared" si="39"/>
        <v/>
      </c>
      <c r="L387" s="20" t="str">
        <f>IF(B387="","",70*'DDF Original'!$Q$4)</f>
        <v/>
      </c>
      <c r="M387" s="20" t="str">
        <f t="shared" si="40"/>
        <v/>
      </c>
      <c r="N387" s="20" t="str">
        <f>IF(AND(OR(B387="",J387&gt;G387,M387&gt;G387),'DDF Original'!L387&lt;&gt; "MI"),G387,IF(M387&gt;J387,M387,J387))</f>
        <v/>
      </c>
    </row>
    <row r="388" spans="2:14" x14ac:dyDescent="0.2">
      <c r="B388" s="19" t="str">
        <f>IF('DDF Original'!B388="","",'DDF Original'!B388)</f>
        <v/>
      </c>
      <c r="C388" s="19" t="e">
        <f t="shared" si="41"/>
        <v>#VALUE!</v>
      </c>
      <c r="D388" s="20" t="str">
        <f>IF('DDF Original'!C388="","",'DDF Original'!C388)</f>
        <v/>
      </c>
      <c r="E388" s="24" t="str">
        <f>IF('DDF Original'!B388="","",IF(TRIM('DDF Original'!I388)="",0,'DDF Original'!I388))</f>
        <v/>
      </c>
      <c r="F388" s="20" t="str">
        <f t="shared" si="35"/>
        <v/>
      </c>
      <c r="G388" s="37" t="str">
        <f>IF('DDF Original'!B388="","",IF(TRIM('DDF Original'!P388)="",0,'DDF Original'!P388))</f>
        <v/>
      </c>
      <c r="H388" s="20" t="str">
        <f t="shared" si="36"/>
        <v/>
      </c>
      <c r="I388" s="25" t="str">
        <f t="shared" si="37"/>
        <v/>
      </c>
      <c r="J388" s="20" t="str">
        <f t="shared" si="38"/>
        <v/>
      </c>
      <c r="K388" s="20" t="str">
        <f t="shared" si="39"/>
        <v/>
      </c>
      <c r="L388" s="20" t="str">
        <f>IF(B388="","",70*'DDF Original'!$Q$4)</f>
        <v/>
      </c>
      <c r="M388" s="20" t="str">
        <f t="shared" si="40"/>
        <v/>
      </c>
      <c r="N388" s="20" t="str">
        <f>IF(AND(OR(B388="",J388&gt;G388,M388&gt;G388),'DDF Original'!L388&lt;&gt; "MI"),G388,IF(M388&gt;J388,M388,J388))</f>
        <v/>
      </c>
    </row>
    <row r="389" spans="2:14" x14ac:dyDescent="0.2">
      <c r="B389" s="19" t="str">
        <f>IF('DDF Original'!B389="","",'DDF Original'!B389)</f>
        <v/>
      </c>
      <c r="C389" s="19" t="e">
        <f t="shared" si="41"/>
        <v>#VALUE!</v>
      </c>
      <c r="D389" s="20" t="str">
        <f>IF('DDF Original'!C389="","",'DDF Original'!C389)</f>
        <v/>
      </c>
      <c r="E389" s="24" t="str">
        <f>IF('DDF Original'!B389="","",IF(TRIM('DDF Original'!I389)="",0,'DDF Original'!I389))</f>
        <v/>
      </c>
      <c r="F389" s="20" t="str">
        <f t="shared" si="35"/>
        <v/>
      </c>
      <c r="G389" s="37" t="str">
        <f>IF('DDF Original'!B389="","",IF(TRIM('DDF Original'!P389)="",0,'DDF Original'!P389))</f>
        <v/>
      </c>
      <c r="H389" s="20" t="str">
        <f t="shared" si="36"/>
        <v/>
      </c>
      <c r="I389" s="25" t="str">
        <f t="shared" si="37"/>
        <v/>
      </c>
      <c r="J389" s="20" t="str">
        <f t="shared" si="38"/>
        <v/>
      </c>
      <c r="K389" s="20" t="str">
        <f t="shared" si="39"/>
        <v/>
      </c>
      <c r="L389" s="20" t="str">
        <f>IF(B389="","",70*'DDF Original'!$Q$4)</f>
        <v/>
      </c>
      <c r="M389" s="20" t="str">
        <f t="shared" si="40"/>
        <v/>
      </c>
      <c r="N389" s="20" t="str">
        <f>IF(AND(OR(B389="",J389&gt;G389,M389&gt;G389),'DDF Original'!L389&lt;&gt; "MI"),G389,IF(M389&gt;J389,M389,J389))</f>
        <v/>
      </c>
    </row>
    <row r="390" spans="2:14" x14ac:dyDescent="0.2">
      <c r="B390" s="19" t="str">
        <f>IF('DDF Original'!B390="","",'DDF Original'!B390)</f>
        <v/>
      </c>
      <c r="C390" s="19" t="e">
        <f t="shared" si="41"/>
        <v>#VALUE!</v>
      </c>
      <c r="D390" s="20" t="str">
        <f>IF('DDF Original'!C390="","",'DDF Original'!C390)</f>
        <v/>
      </c>
      <c r="E390" s="24" t="str">
        <f>IF('DDF Original'!B390="","",IF(TRIM('DDF Original'!I390)="",0,'DDF Original'!I390))</f>
        <v/>
      </c>
      <c r="F390" s="20" t="str">
        <f t="shared" si="35"/>
        <v/>
      </c>
      <c r="G390" s="37" t="str">
        <f>IF('DDF Original'!B390="","",IF(TRIM('DDF Original'!P390)="",0,'DDF Original'!P390))</f>
        <v/>
      </c>
      <c r="H390" s="20" t="str">
        <f t="shared" si="36"/>
        <v/>
      </c>
      <c r="I390" s="25" t="str">
        <f t="shared" si="37"/>
        <v/>
      </c>
      <c r="J390" s="20" t="str">
        <f t="shared" si="38"/>
        <v/>
      </c>
      <c r="K390" s="20" t="str">
        <f t="shared" si="39"/>
        <v/>
      </c>
      <c r="L390" s="20" t="str">
        <f>IF(B390="","",70*'DDF Original'!$Q$4)</f>
        <v/>
      </c>
      <c r="M390" s="20" t="str">
        <f t="shared" si="40"/>
        <v/>
      </c>
      <c r="N390" s="20" t="str">
        <f>IF(AND(OR(B390="",J390&gt;G390,M390&gt;G390),'DDF Original'!L390&lt;&gt; "MI"),G390,IF(M390&gt;J390,M390,J390))</f>
        <v/>
      </c>
    </row>
    <row r="391" spans="2:14" x14ac:dyDescent="0.2">
      <c r="B391" s="19" t="str">
        <f>IF('DDF Original'!B391="","",'DDF Original'!B391)</f>
        <v/>
      </c>
      <c r="C391" s="19" t="e">
        <f t="shared" si="41"/>
        <v>#VALUE!</v>
      </c>
      <c r="D391" s="20" t="str">
        <f>IF('DDF Original'!C391="","",'DDF Original'!C391)</f>
        <v/>
      </c>
      <c r="E391" s="24" t="str">
        <f>IF('DDF Original'!B391="","",IF(TRIM('DDF Original'!I391)="",0,'DDF Original'!I391))</f>
        <v/>
      </c>
      <c r="F391" s="20" t="str">
        <f t="shared" si="35"/>
        <v/>
      </c>
      <c r="G391" s="37" t="str">
        <f>IF('DDF Original'!B391="","",IF(TRIM('DDF Original'!P391)="",0,'DDF Original'!P391))</f>
        <v/>
      </c>
      <c r="H391" s="20" t="str">
        <f t="shared" si="36"/>
        <v/>
      </c>
      <c r="I391" s="25" t="str">
        <f t="shared" si="37"/>
        <v/>
      </c>
      <c r="J391" s="20" t="str">
        <f t="shared" si="38"/>
        <v/>
      </c>
      <c r="K391" s="20" t="str">
        <f t="shared" si="39"/>
        <v/>
      </c>
      <c r="L391" s="20" t="str">
        <f>IF(B391="","",70*'DDF Original'!$Q$4)</f>
        <v/>
      </c>
      <c r="M391" s="20" t="str">
        <f t="shared" si="40"/>
        <v/>
      </c>
      <c r="N391" s="20" t="str">
        <f>IF(AND(OR(B391="",J391&gt;G391,M391&gt;G391),'DDF Original'!L391&lt;&gt; "MI"),G391,IF(M391&gt;J391,M391,J391))</f>
        <v/>
      </c>
    </row>
    <row r="392" spans="2:14" x14ac:dyDescent="0.2">
      <c r="B392" s="19" t="str">
        <f>IF('DDF Original'!B392="","",'DDF Original'!B392)</f>
        <v/>
      </c>
      <c r="C392" s="19" t="e">
        <f t="shared" si="41"/>
        <v>#VALUE!</v>
      </c>
      <c r="D392" s="20" t="str">
        <f>IF('DDF Original'!C392="","",'DDF Original'!C392)</f>
        <v/>
      </c>
      <c r="E392" s="24" t="str">
        <f>IF('DDF Original'!B392="","",IF(TRIM('DDF Original'!I392)="",0,'DDF Original'!I392))</f>
        <v/>
      </c>
      <c r="F392" s="20" t="str">
        <f t="shared" si="35"/>
        <v/>
      </c>
      <c r="G392" s="37" t="str">
        <f>IF('DDF Original'!B392="","",IF(TRIM('DDF Original'!P392)="",0,'DDF Original'!P392))</f>
        <v/>
      </c>
      <c r="H392" s="20" t="str">
        <f t="shared" si="36"/>
        <v/>
      </c>
      <c r="I392" s="25" t="str">
        <f t="shared" si="37"/>
        <v/>
      </c>
      <c r="J392" s="20" t="str">
        <f t="shared" si="38"/>
        <v/>
      </c>
      <c r="K392" s="20" t="str">
        <f t="shared" si="39"/>
        <v/>
      </c>
      <c r="L392" s="20" t="str">
        <f>IF(B392="","",70*'DDF Original'!$Q$4)</f>
        <v/>
      </c>
      <c r="M392" s="20" t="str">
        <f t="shared" si="40"/>
        <v/>
      </c>
      <c r="N392" s="20" t="str">
        <f>IF(AND(OR(B392="",J392&gt;G392,M392&gt;G392),'DDF Original'!L392&lt;&gt; "MI"),G392,IF(M392&gt;J392,M392,J392))</f>
        <v/>
      </c>
    </row>
    <row r="393" spans="2:14" x14ac:dyDescent="0.2">
      <c r="B393" s="19" t="str">
        <f>IF('DDF Original'!B393="","",'DDF Original'!B393)</f>
        <v/>
      </c>
      <c r="C393" s="19" t="e">
        <f t="shared" si="41"/>
        <v>#VALUE!</v>
      </c>
      <c r="D393" s="20" t="str">
        <f>IF('DDF Original'!C393="","",'DDF Original'!C393)</f>
        <v/>
      </c>
      <c r="E393" s="24" t="str">
        <f>IF('DDF Original'!B393="","",IF(TRIM('DDF Original'!I393)="",0,'DDF Original'!I393))</f>
        <v/>
      </c>
      <c r="F393" s="20" t="str">
        <f t="shared" ref="F393:F456" si="42">IF(D393="",D393,ROUND(D393*(1+E393/100),2))</f>
        <v/>
      </c>
      <c r="G393" s="37" t="str">
        <f>IF('DDF Original'!B393="","",IF(TRIM('DDF Original'!P393)="",0,'DDF Original'!P393))</f>
        <v/>
      </c>
      <c r="H393" s="20" t="str">
        <f t="shared" ref="H393:H456" si="43">IF(OR(D393=0,D393=""),G393,F393)</f>
        <v/>
      </c>
      <c r="I393" s="25" t="str">
        <f t="shared" ref="I393:I456" si="44">IF(B393="","",IF(OR(D393=0,D393=""),50,35))</f>
        <v/>
      </c>
      <c r="J393" s="20" t="str">
        <f t="shared" ref="J393:J456" si="45">IF(B393="","",ROUND(H393*I393/100,2))</f>
        <v/>
      </c>
      <c r="K393" s="20" t="str">
        <f t="shared" ref="K393:K456" si="46">IF(B393="","",SUMIFS($J$9:$J$508,$C$9:$C$508,"="&amp;C393))</f>
        <v/>
      </c>
      <c r="L393" s="20" t="str">
        <f>IF(B393="","",70*'DDF Original'!$Q$4)</f>
        <v/>
      </c>
      <c r="M393" s="20" t="str">
        <f t="shared" ref="M393:M456" si="47">IF(B393="","",ROUND(J393/K393*L393,2))</f>
        <v/>
      </c>
      <c r="N393" s="20" t="str">
        <f>IF(AND(OR(B393="",J393&gt;G393,M393&gt;G393),'DDF Original'!L393&lt;&gt; "MI"),G393,IF(M393&gt;J393,M393,J393))</f>
        <v/>
      </c>
    </row>
    <row r="394" spans="2:14" x14ac:dyDescent="0.2">
      <c r="B394" s="19" t="str">
        <f>IF('DDF Original'!B394="","",'DDF Original'!B394)</f>
        <v/>
      </c>
      <c r="C394" s="19" t="e">
        <f t="shared" ref="C394:C457" si="48">LEFT(B394,FIND(".",B394)-1)</f>
        <v>#VALUE!</v>
      </c>
      <c r="D394" s="20" t="str">
        <f>IF('DDF Original'!C394="","",'DDF Original'!C394)</f>
        <v/>
      </c>
      <c r="E394" s="24" t="str">
        <f>IF('DDF Original'!B394="","",IF(TRIM('DDF Original'!I394)="",0,'DDF Original'!I394))</f>
        <v/>
      </c>
      <c r="F394" s="20" t="str">
        <f t="shared" si="42"/>
        <v/>
      </c>
      <c r="G394" s="37" t="str">
        <f>IF('DDF Original'!B394="","",IF(TRIM('DDF Original'!P394)="",0,'DDF Original'!P394))</f>
        <v/>
      </c>
      <c r="H394" s="20" t="str">
        <f t="shared" si="43"/>
        <v/>
      </c>
      <c r="I394" s="25" t="str">
        <f t="shared" si="44"/>
        <v/>
      </c>
      <c r="J394" s="20" t="str">
        <f t="shared" si="45"/>
        <v/>
      </c>
      <c r="K394" s="20" t="str">
        <f t="shared" si="46"/>
        <v/>
      </c>
      <c r="L394" s="20" t="str">
        <f>IF(B394="","",70*'DDF Original'!$Q$4)</f>
        <v/>
      </c>
      <c r="M394" s="20" t="str">
        <f t="shared" si="47"/>
        <v/>
      </c>
      <c r="N394" s="20" t="str">
        <f>IF(AND(OR(B394="",J394&gt;G394,M394&gt;G394),'DDF Original'!L394&lt;&gt; "MI"),G394,IF(M394&gt;J394,M394,J394))</f>
        <v/>
      </c>
    </row>
    <row r="395" spans="2:14" x14ac:dyDescent="0.2">
      <c r="B395" s="19" t="str">
        <f>IF('DDF Original'!B395="","",'DDF Original'!B395)</f>
        <v/>
      </c>
      <c r="C395" s="19" t="e">
        <f t="shared" si="48"/>
        <v>#VALUE!</v>
      </c>
      <c r="D395" s="20" t="str">
        <f>IF('DDF Original'!C395="","",'DDF Original'!C395)</f>
        <v/>
      </c>
      <c r="E395" s="24" t="str">
        <f>IF('DDF Original'!B395="","",IF(TRIM('DDF Original'!I395)="",0,'DDF Original'!I395))</f>
        <v/>
      </c>
      <c r="F395" s="20" t="str">
        <f t="shared" si="42"/>
        <v/>
      </c>
      <c r="G395" s="37" t="str">
        <f>IF('DDF Original'!B395="","",IF(TRIM('DDF Original'!P395)="",0,'DDF Original'!P395))</f>
        <v/>
      </c>
      <c r="H395" s="20" t="str">
        <f t="shared" si="43"/>
        <v/>
      </c>
      <c r="I395" s="25" t="str">
        <f t="shared" si="44"/>
        <v/>
      </c>
      <c r="J395" s="20" t="str">
        <f t="shared" si="45"/>
        <v/>
      </c>
      <c r="K395" s="20" t="str">
        <f t="shared" si="46"/>
        <v/>
      </c>
      <c r="L395" s="20" t="str">
        <f>IF(B395="","",70*'DDF Original'!$Q$4)</f>
        <v/>
      </c>
      <c r="M395" s="20" t="str">
        <f t="shared" si="47"/>
        <v/>
      </c>
      <c r="N395" s="20" t="str">
        <f>IF(AND(OR(B395="",J395&gt;G395,M395&gt;G395),'DDF Original'!L395&lt;&gt; "MI"),G395,IF(M395&gt;J395,M395,J395))</f>
        <v/>
      </c>
    </row>
    <row r="396" spans="2:14" x14ac:dyDescent="0.2">
      <c r="B396" s="19" t="str">
        <f>IF('DDF Original'!B396="","",'DDF Original'!B396)</f>
        <v/>
      </c>
      <c r="C396" s="19" t="e">
        <f t="shared" si="48"/>
        <v>#VALUE!</v>
      </c>
      <c r="D396" s="20" t="str">
        <f>IF('DDF Original'!C396="","",'DDF Original'!C396)</f>
        <v/>
      </c>
      <c r="E396" s="24" t="str">
        <f>IF('DDF Original'!B396="","",IF(TRIM('DDF Original'!I396)="",0,'DDF Original'!I396))</f>
        <v/>
      </c>
      <c r="F396" s="20" t="str">
        <f t="shared" si="42"/>
        <v/>
      </c>
      <c r="G396" s="37" t="str">
        <f>IF('DDF Original'!B396="","",IF(TRIM('DDF Original'!P396)="",0,'DDF Original'!P396))</f>
        <v/>
      </c>
      <c r="H396" s="20" t="str">
        <f t="shared" si="43"/>
        <v/>
      </c>
      <c r="I396" s="25" t="str">
        <f t="shared" si="44"/>
        <v/>
      </c>
      <c r="J396" s="20" t="str">
        <f t="shared" si="45"/>
        <v/>
      </c>
      <c r="K396" s="20" t="str">
        <f t="shared" si="46"/>
        <v/>
      </c>
      <c r="L396" s="20" t="str">
        <f>IF(B396="","",70*'DDF Original'!$Q$4)</f>
        <v/>
      </c>
      <c r="M396" s="20" t="str">
        <f t="shared" si="47"/>
        <v/>
      </c>
      <c r="N396" s="20" t="str">
        <f>IF(AND(OR(B396="",J396&gt;G396,M396&gt;G396),'DDF Original'!L396&lt;&gt; "MI"),G396,IF(M396&gt;J396,M396,J396))</f>
        <v/>
      </c>
    </row>
    <row r="397" spans="2:14" x14ac:dyDescent="0.2">
      <c r="B397" s="19" t="str">
        <f>IF('DDF Original'!B397="","",'DDF Original'!B397)</f>
        <v/>
      </c>
      <c r="C397" s="19" t="e">
        <f t="shared" si="48"/>
        <v>#VALUE!</v>
      </c>
      <c r="D397" s="20" t="str">
        <f>IF('DDF Original'!C397="","",'DDF Original'!C397)</f>
        <v/>
      </c>
      <c r="E397" s="24" t="str">
        <f>IF('DDF Original'!B397="","",IF(TRIM('DDF Original'!I397)="",0,'DDF Original'!I397))</f>
        <v/>
      </c>
      <c r="F397" s="20" t="str">
        <f t="shared" si="42"/>
        <v/>
      </c>
      <c r="G397" s="37" t="str">
        <f>IF('DDF Original'!B397="","",IF(TRIM('DDF Original'!P397)="",0,'DDF Original'!P397))</f>
        <v/>
      </c>
      <c r="H397" s="20" t="str">
        <f t="shared" si="43"/>
        <v/>
      </c>
      <c r="I397" s="25" t="str">
        <f t="shared" si="44"/>
        <v/>
      </c>
      <c r="J397" s="20" t="str">
        <f t="shared" si="45"/>
        <v/>
      </c>
      <c r="K397" s="20" t="str">
        <f t="shared" si="46"/>
        <v/>
      </c>
      <c r="L397" s="20" t="str">
        <f>IF(B397="","",70*'DDF Original'!$Q$4)</f>
        <v/>
      </c>
      <c r="M397" s="20" t="str">
        <f t="shared" si="47"/>
        <v/>
      </c>
      <c r="N397" s="20" t="str">
        <f>IF(AND(OR(B397="",J397&gt;G397,M397&gt;G397),'DDF Original'!L397&lt;&gt; "MI"),G397,IF(M397&gt;J397,M397,J397))</f>
        <v/>
      </c>
    </row>
    <row r="398" spans="2:14" x14ac:dyDescent="0.2">
      <c r="B398" s="19" t="str">
        <f>IF('DDF Original'!B398="","",'DDF Original'!B398)</f>
        <v/>
      </c>
      <c r="C398" s="19" t="e">
        <f t="shared" si="48"/>
        <v>#VALUE!</v>
      </c>
      <c r="D398" s="20" t="str">
        <f>IF('DDF Original'!C398="","",'DDF Original'!C398)</f>
        <v/>
      </c>
      <c r="E398" s="24" t="str">
        <f>IF('DDF Original'!B398="","",IF(TRIM('DDF Original'!I398)="",0,'DDF Original'!I398))</f>
        <v/>
      </c>
      <c r="F398" s="20" t="str">
        <f t="shared" si="42"/>
        <v/>
      </c>
      <c r="G398" s="37" t="str">
        <f>IF('DDF Original'!B398="","",IF(TRIM('DDF Original'!P398)="",0,'DDF Original'!P398))</f>
        <v/>
      </c>
      <c r="H398" s="20" t="str">
        <f t="shared" si="43"/>
        <v/>
      </c>
      <c r="I398" s="25" t="str">
        <f t="shared" si="44"/>
        <v/>
      </c>
      <c r="J398" s="20" t="str">
        <f t="shared" si="45"/>
        <v/>
      </c>
      <c r="K398" s="20" t="str">
        <f t="shared" si="46"/>
        <v/>
      </c>
      <c r="L398" s="20" t="str">
        <f>IF(B398="","",70*'DDF Original'!$Q$4)</f>
        <v/>
      </c>
      <c r="M398" s="20" t="str">
        <f t="shared" si="47"/>
        <v/>
      </c>
      <c r="N398" s="20" t="str">
        <f>IF(AND(OR(B398="",J398&gt;G398,M398&gt;G398),'DDF Original'!L398&lt;&gt; "MI"),G398,IF(M398&gt;J398,M398,J398))</f>
        <v/>
      </c>
    </row>
    <row r="399" spans="2:14" x14ac:dyDescent="0.2">
      <c r="B399" s="19" t="str">
        <f>IF('DDF Original'!B399="","",'DDF Original'!B399)</f>
        <v/>
      </c>
      <c r="C399" s="19" t="e">
        <f t="shared" si="48"/>
        <v>#VALUE!</v>
      </c>
      <c r="D399" s="20" t="str">
        <f>IF('DDF Original'!C399="","",'DDF Original'!C399)</f>
        <v/>
      </c>
      <c r="E399" s="24" t="str">
        <f>IF('DDF Original'!B399="","",IF(TRIM('DDF Original'!I399)="",0,'DDF Original'!I399))</f>
        <v/>
      </c>
      <c r="F399" s="20" t="str">
        <f t="shared" si="42"/>
        <v/>
      </c>
      <c r="G399" s="37" t="str">
        <f>IF('DDF Original'!B399="","",IF(TRIM('DDF Original'!P399)="",0,'DDF Original'!P399))</f>
        <v/>
      </c>
      <c r="H399" s="20" t="str">
        <f t="shared" si="43"/>
        <v/>
      </c>
      <c r="I399" s="25" t="str">
        <f t="shared" si="44"/>
        <v/>
      </c>
      <c r="J399" s="20" t="str">
        <f t="shared" si="45"/>
        <v/>
      </c>
      <c r="K399" s="20" t="str">
        <f t="shared" si="46"/>
        <v/>
      </c>
      <c r="L399" s="20" t="str">
        <f>IF(B399="","",70*'DDF Original'!$Q$4)</f>
        <v/>
      </c>
      <c r="M399" s="20" t="str">
        <f t="shared" si="47"/>
        <v/>
      </c>
      <c r="N399" s="20" t="str">
        <f>IF(AND(OR(B399="",J399&gt;G399,M399&gt;G399),'DDF Original'!L399&lt;&gt; "MI"),G399,IF(M399&gt;J399,M399,J399))</f>
        <v/>
      </c>
    </row>
    <row r="400" spans="2:14" x14ac:dyDescent="0.2">
      <c r="B400" s="19" t="str">
        <f>IF('DDF Original'!B400="","",'DDF Original'!B400)</f>
        <v/>
      </c>
      <c r="C400" s="19" t="e">
        <f t="shared" si="48"/>
        <v>#VALUE!</v>
      </c>
      <c r="D400" s="20" t="str">
        <f>IF('DDF Original'!C400="","",'DDF Original'!C400)</f>
        <v/>
      </c>
      <c r="E400" s="24" t="str">
        <f>IF('DDF Original'!B400="","",IF(TRIM('DDF Original'!I400)="",0,'DDF Original'!I400))</f>
        <v/>
      </c>
      <c r="F400" s="20" t="str">
        <f t="shared" si="42"/>
        <v/>
      </c>
      <c r="G400" s="37" t="str">
        <f>IF('DDF Original'!B400="","",IF(TRIM('DDF Original'!P400)="",0,'DDF Original'!P400))</f>
        <v/>
      </c>
      <c r="H400" s="20" t="str">
        <f t="shared" si="43"/>
        <v/>
      </c>
      <c r="I400" s="25" t="str">
        <f t="shared" si="44"/>
        <v/>
      </c>
      <c r="J400" s="20" t="str">
        <f t="shared" si="45"/>
        <v/>
      </c>
      <c r="K400" s="20" t="str">
        <f t="shared" si="46"/>
        <v/>
      </c>
      <c r="L400" s="20" t="str">
        <f>IF(B400="","",70*'DDF Original'!$Q$4)</f>
        <v/>
      </c>
      <c r="M400" s="20" t="str">
        <f t="shared" si="47"/>
        <v/>
      </c>
      <c r="N400" s="20" t="str">
        <f>IF(AND(OR(B400="",J400&gt;G400,M400&gt;G400),'DDF Original'!L400&lt;&gt; "MI"),G400,IF(M400&gt;J400,M400,J400))</f>
        <v/>
      </c>
    </row>
    <row r="401" spans="2:14" x14ac:dyDescent="0.2">
      <c r="B401" s="19" t="str">
        <f>IF('DDF Original'!B401="","",'DDF Original'!B401)</f>
        <v/>
      </c>
      <c r="C401" s="19" t="e">
        <f t="shared" si="48"/>
        <v>#VALUE!</v>
      </c>
      <c r="D401" s="20" t="str">
        <f>IF('DDF Original'!C401="","",'DDF Original'!C401)</f>
        <v/>
      </c>
      <c r="E401" s="24" t="str">
        <f>IF('DDF Original'!B401="","",IF(TRIM('DDF Original'!I401)="",0,'DDF Original'!I401))</f>
        <v/>
      </c>
      <c r="F401" s="20" t="str">
        <f t="shared" si="42"/>
        <v/>
      </c>
      <c r="G401" s="37" t="str">
        <f>IF('DDF Original'!B401="","",IF(TRIM('DDF Original'!P401)="",0,'DDF Original'!P401))</f>
        <v/>
      </c>
      <c r="H401" s="20" t="str">
        <f t="shared" si="43"/>
        <v/>
      </c>
      <c r="I401" s="25" t="str">
        <f t="shared" si="44"/>
        <v/>
      </c>
      <c r="J401" s="20" t="str">
        <f t="shared" si="45"/>
        <v/>
      </c>
      <c r="K401" s="20" t="str">
        <f t="shared" si="46"/>
        <v/>
      </c>
      <c r="L401" s="20" t="str">
        <f>IF(B401="","",70*'DDF Original'!$Q$4)</f>
        <v/>
      </c>
      <c r="M401" s="20" t="str">
        <f t="shared" si="47"/>
        <v/>
      </c>
      <c r="N401" s="20" t="str">
        <f>IF(AND(OR(B401="",J401&gt;G401,M401&gt;G401),'DDF Original'!L401&lt;&gt; "MI"),G401,IF(M401&gt;J401,M401,J401))</f>
        <v/>
      </c>
    </row>
    <row r="402" spans="2:14" x14ac:dyDescent="0.2">
      <c r="B402" s="19" t="str">
        <f>IF('DDF Original'!B402="","",'DDF Original'!B402)</f>
        <v/>
      </c>
      <c r="C402" s="19" t="e">
        <f t="shared" si="48"/>
        <v>#VALUE!</v>
      </c>
      <c r="D402" s="20" t="str">
        <f>IF('DDF Original'!C402="","",'DDF Original'!C402)</f>
        <v/>
      </c>
      <c r="E402" s="24" t="str">
        <f>IF('DDF Original'!B402="","",IF(TRIM('DDF Original'!I402)="",0,'DDF Original'!I402))</f>
        <v/>
      </c>
      <c r="F402" s="20" t="str">
        <f t="shared" si="42"/>
        <v/>
      </c>
      <c r="G402" s="37" t="str">
        <f>IF('DDF Original'!B402="","",IF(TRIM('DDF Original'!P402)="",0,'DDF Original'!P402))</f>
        <v/>
      </c>
      <c r="H402" s="20" t="str">
        <f t="shared" si="43"/>
        <v/>
      </c>
      <c r="I402" s="25" t="str">
        <f t="shared" si="44"/>
        <v/>
      </c>
      <c r="J402" s="20" t="str">
        <f t="shared" si="45"/>
        <v/>
      </c>
      <c r="K402" s="20" t="str">
        <f t="shared" si="46"/>
        <v/>
      </c>
      <c r="L402" s="20" t="str">
        <f>IF(B402="","",70*'DDF Original'!$Q$4)</f>
        <v/>
      </c>
      <c r="M402" s="20" t="str">
        <f t="shared" si="47"/>
        <v/>
      </c>
      <c r="N402" s="20" t="str">
        <f>IF(AND(OR(B402="",J402&gt;G402,M402&gt;G402),'DDF Original'!L402&lt;&gt; "MI"),G402,IF(M402&gt;J402,M402,J402))</f>
        <v/>
      </c>
    </row>
    <row r="403" spans="2:14" x14ac:dyDescent="0.2">
      <c r="B403" s="19" t="str">
        <f>IF('DDF Original'!B403="","",'DDF Original'!B403)</f>
        <v/>
      </c>
      <c r="C403" s="19" t="e">
        <f t="shared" si="48"/>
        <v>#VALUE!</v>
      </c>
      <c r="D403" s="20" t="str">
        <f>IF('DDF Original'!C403="","",'DDF Original'!C403)</f>
        <v/>
      </c>
      <c r="E403" s="24" t="str">
        <f>IF('DDF Original'!B403="","",IF(TRIM('DDF Original'!I403)="",0,'DDF Original'!I403))</f>
        <v/>
      </c>
      <c r="F403" s="20" t="str">
        <f t="shared" si="42"/>
        <v/>
      </c>
      <c r="G403" s="37" t="str">
        <f>IF('DDF Original'!B403="","",IF(TRIM('DDF Original'!P403)="",0,'DDF Original'!P403))</f>
        <v/>
      </c>
      <c r="H403" s="20" t="str">
        <f t="shared" si="43"/>
        <v/>
      </c>
      <c r="I403" s="25" t="str">
        <f t="shared" si="44"/>
        <v/>
      </c>
      <c r="J403" s="20" t="str">
        <f t="shared" si="45"/>
        <v/>
      </c>
      <c r="K403" s="20" t="str">
        <f t="shared" si="46"/>
        <v/>
      </c>
      <c r="L403" s="20" t="str">
        <f>IF(B403="","",70*'DDF Original'!$Q$4)</f>
        <v/>
      </c>
      <c r="M403" s="20" t="str">
        <f t="shared" si="47"/>
        <v/>
      </c>
      <c r="N403" s="20" t="str">
        <f>IF(AND(OR(B403="",J403&gt;G403,M403&gt;G403),'DDF Original'!L403&lt;&gt; "MI"),G403,IF(M403&gt;J403,M403,J403))</f>
        <v/>
      </c>
    </row>
    <row r="404" spans="2:14" x14ac:dyDescent="0.2">
      <c r="B404" s="19" t="str">
        <f>IF('DDF Original'!B404="","",'DDF Original'!B404)</f>
        <v/>
      </c>
      <c r="C404" s="19" t="e">
        <f t="shared" si="48"/>
        <v>#VALUE!</v>
      </c>
      <c r="D404" s="20" t="str">
        <f>IF('DDF Original'!C404="","",'DDF Original'!C404)</f>
        <v/>
      </c>
      <c r="E404" s="24" t="str">
        <f>IF('DDF Original'!B404="","",IF(TRIM('DDF Original'!I404)="",0,'DDF Original'!I404))</f>
        <v/>
      </c>
      <c r="F404" s="20" t="str">
        <f t="shared" si="42"/>
        <v/>
      </c>
      <c r="G404" s="37" t="str">
        <f>IF('DDF Original'!B404="","",IF(TRIM('DDF Original'!P404)="",0,'DDF Original'!P404))</f>
        <v/>
      </c>
      <c r="H404" s="20" t="str">
        <f t="shared" si="43"/>
        <v/>
      </c>
      <c r="I404" s="25" t="str">
        <f t="shared" si="44"/>
        <v/>
      </c>
      <c r="J404" s="20" t="str">
        <f t="shared" si="45"/>
        <v/>
      </c>
      <c r="K404" s="20" t="str">
        <f t="shared" si="46"/>
        <v/>
      </c>
      <c r="L404" s="20" t="str">
        <f>IF(B404="","",70*'DDF Original'!$Q$4)</f>
        <v/>
      </c>
      <c r="M404" s="20" t="str">
        <f t="shared" si="47"/>
        <v/>
      </c>
      <c r="N404" s="20" t="str">
        <f>IF(AND(OR(B404="",J404&gt;G404,M404&gt;G404),'DDF Original'!L404&lt;&gt; "MI"),G404,IF(M404&gt;J404,M404,J404))</f>
        <v/>
      </c>
    </row>
    <row r="405" spans="2:14" x14ac:dyDescent="0.2">
      <c r="B405" s="19" t="str">
        <f>IF('DDF Original'!B405="","",'DDF Original'!B405)</f>
        <v/>
      </c>
      <c r="C405" s="19" t="e">
        <f t="shared" si="48"/>
        <v>#VALUE!</v>
      </c>
      <c r="D405" s="20" t="str">
        <f>IF('DDF Original'!C405="","",'DDF Original'!C405)</f>
        <v/>
      </c>
      <c r="E405" s="24" t="str">
        <f>IF('DDF Original'!B405="","",IF(TRIM('DDF Original'!I405)="",0,'DDF Original'!I405))</f>
        <v/>
      </c>
      <c r="F405" s="20" t="str">
        <f t="shared" si="42"/>
        <v/>
      </c>
      <c r="G405" s="37" t="str">
        <f>IF('DDF Original'!B405="","",IF(TRIM('DDF Original'!P405)="",0,'DDF Original'!P405))</f>
        <v/>
      </c>
      <c r="H405" s="20" t="str">
        <f t="shared" si="43"/>
        <v/>
      </c>
      <c r="I405" s="25" t="str">
        <f t="shared" si="44"/>
        <v/>
      </c>
      <c r="J405" s="20" t="str">
        <f t="shared" si="45"/>
        <v/>
      </c>
      <c r="K405" s="20" t="str">
        <f t="shared" si="46"/>
        <v/>
      </c>
      <c r="L405" s="20" t="str">
        <f>IF(B405="","",70*'DDF Original'!$Q$4)</f>
        <v/>
      </c>
      <c r="M405" s="20" t="str">
        <f t="shared" si="47"/>
        <v/>
      </c>
      <c r="N405" s="20" t="str">
        <f>IF(AND(OR(B405="",J405&gt;G405,M405&gt;G405),'DDF Original'!L405&lt;&gt; "MI"),G405,IF(M405&gt;J405,M405,J405))</f>
        <v/>
      </c>
    </row>
    <row r="406" spans="2:14" x14ac:dyDescent="0.2">
      <c r="B406" s="19" t="str">
        <f>IF('DDF Original'!B406="","",'DDF Original'!B406)</f>
        <v/>
      </c>
      <c r="C406" s="19" t="e">
        <f t="shared" si="48"/>
        <v>#VALUE!</v>
      </c>
      <c r="D406" s="20" t="str">
        <f>IF('DDF Original'!C406="","",'DDF Original'!C406)</f>
        <v/>
      </c>
      <c r="E406" s="24" t="str">
        <f>IF('DDF Original'!B406="","",IF(TRIM('DDF Original'!I406)="",0,'DDF Original'!I406))</f>
        <v/>
      </c>
      <c r="F406" s="20" t="str">
        <f t="shared" si="42"/>
        <v/>
      </c>
      <c r="G406" s="37" t="str">
        <f>IF('DDF Original'!B406="","",IF(TRIM('DDF Original'!P406)="",0,'DDF Original'!P406))</f>
        <v/>
      </c>
      <c r="H406" s="20" t="str">
        <f t="shared" si="43"/>
        <v/>
      </c>
      <c r="I406" s="25" t="str">
        <f t="shared" si="44"/>
        <v/>
      </c>
      <c r="J406" s="20" t="str">
        <f t="shared" si="45"/>
        <v/>
      </c>
      <c r="K406" s="20" t="str">
        <f t="shared" si="46"/>
        <v/>
      </c>
      <c r="L406" s="20" t="str">
        <f>IF(B406="","",70*'DDF Original'!$Q$4)</f>
        <v/>
      </c>
      <c r="M406" s="20" t="str">
        <f t="shared" si="47"/>
        <v/>
      </c>
      <c r="N406" s="20" t="str">
        <f>IF(AND(OR(B406="",J406&gt;G406,M406&gt;G406),'DDF Original'!L406&lt;&gt; "MI"),G406,IF(M406&gt;J406,M406,J406))</f>
        <v/>
      </c>
    </row>
    <row r="407" spans="2:14" x14ac:dyDescent="0.2">
      <c r="B407" s="19" t="str">
        <f>IF('DDF Original'!B407="","",'DDF Original'!B407)</f>
        <v/>
      </c>
      <c r="C407" s="19" t="e">
        <f t="shared" si="48"/>
        <v>#VALUE!</v>
      </c>
      <c r="D407" s="20" t="str">
        <f>IF('DDF Original'!C407="","",'DDF Original'!C407)</f>
        <v/>
      </c>
      <c r="E407" s="24" t="str">
        <f>IF('DDF Original'!B407="","",IF(TRIM('DDF Original'!I407)="",0,'DDF Original'!I407))</f>
        <v/>
      </c>
      <c r="F407" s="20" t="str">
        <f t="shared" si="42"/>
        <v/>
      </c>
      <c r="G407" s="37" t="str">
        <f>IF('DDF Original'!B407="","",IF(TRIM('DDF Original'!P407)="",0,'DDF Original'!P407))</f>
        <v/>
      </c>
      <c r="H407" s="20" t="str">
        <f t="shared" si="43"/>
        <v/>
      </c>
      <c r="I407" s="25" t="str">
        <f t="shared" si="44"/>
        <v/>
      </c>
      <c r="J407" s="20" t="str">
        <f t="shared" si="45"/>
        <v/>
      </c>
      <c r="K407" s="20" t="str">
        <f t="shared" si="46"/>
        <v/>
      </c>
      <c r="L407" s="20" t="str">
        <f>IF(B407="","",70*'DDF Original'!$Q$4)</f>
        <v/>
      </c>
      <c r="M407" s="20" t="str">
        <f t="shared" si="47"/>
        <v/>
      </c>
      <c r="N407" s="20" t="str">
        <f>IF(AND(OR(B407="",J407&gt;G407,M407&gt;G407),'DDF Original'!L407&lt;&gt; "MI"),G407,IF(M407&gt;J407,M407,J407))</f>
        <v/>
      </c>
    </row>
    <row r="408" spans="2:14" x14ac:dyDescent="0.2">
      <c r="B408" s="19" t="str">
        <f>IF('DDF Original'!B408="","",'DDF Original'!B408)</f>
        <v/>
      </c>
      <c r="C408" s="19" t="e">
        <f t="shared" si="48"/>
        <v>#VALUE!</v>
      </c>
      <c r="D408" s="20" t="str">
        <f>IF('DDF Original'!C408="","",'DDF Original'!C408)</f>
        <v/>
      </c>
      <c r="E408" s="24" t="str">
        <f>IF('DDF Original'!B408="","",IF(TRIM('DDF Original'!I408)="",0,'DDF Original'!I408))</f>
        <v/>
      </c>
      <c r="F408" s="20" t="str">
        <f t="shared" si="42"/>
        <v/>
      </c>
      <c r="G408" s="37" t="str">
        <f>IF('DDF Original'!B408="","",IF(TRIM('DDF Original'!P408)="",0,'DDF Original'!P408))</f>
        <v/>
      </c>
      <c r="H408" s="20" t="str">
        <f t="shared" si="43"/>
        <v/>
      </c>
      <c r="I408" s="25" t="str">
        <f t="shared" si="44"/>
        <v/>
      </c>
      <c r="J408" s="20" t="str">
        <f t="shared" si="45"/>
        <v/>
      </c>
      <c r="K408" s="20" t="str">
        <f t="shared" si="46"/>
        <v/>
      </c>
      <c r="L408" s="20" t="str">
        <f>IF(B408="","",70*'DDF Original'!$Q$4)</f>
        <v/>
      </c>
      <c r="M408" s="20" t="str">
        <f t="shared" si="47"/>
        <v/>
      </c>
      <c r="N408" s="20" t="str">
        <f>IF(AND(OR(B408="",J408&gt;G408,M408&gt;G408),'DDF Original'!L408&lt;&gt; "MI"),G408,IF(M408&gt;J408,M408,J408))</f>
        <v/>
      </c>
    </row>
    <row r="409" spans="2:14" x14ac:dyDescent="0.2">
      <c r="B409" s="19" t="str">
        <f>IF('DDF Original'!B409="","",'DDF Original'!B409)</f>
        <v/>
      </c>
      <c r="C409" s="19" t="e">
        <f t="shared" si="48"/>
        <v>#VALUE!</v>
      </c>
      <c r="D409" s="20" t="str">
        <f>IF('DDF Original'!C409="","",'DDF Original'!C409)</f>
        <v/>
      </c>
      <c r="E409" s="24" t="str">
        <f>IF('DDF Original'!B409="","",IF(TRIM('DDF Original'!I409)="",0,'DDF Original'!I409))</f>
        <v/>
      </c>
      <c r="F409" s="20" t="str">
        <f t="shared" si="42"/>
        <v/>
      </c>
      <c r="G409" s="37" t="str">
        <f>IF('DDF Original'!B409="","",IF(TRIM('DDF Original'!P409)="",0,'DDF Original'!P409))</f>
        <v/>
      </c>
      <c r="H409" s="20" t="str">
        <f t="shared" si="43"/>
        <v/>
      </c>
      <c r="I409" s="25" t="str">
        <f t="shared" si="44"/>
        <v/>
      </c>
      <c r="J409" s="20" t="str">
        <f t="shared" si="45"/>
        <v/>
      </c>
      <c r="K409" s="20" t="str">
        <f t="shared" si="46"/>
        <v/>
      </c>
      <c r="L409" s="20" t="str">
        <f>IF(B409="","",70*'DDF Original'!$Q$4)</f>
        <v/>
      </c>
      <c r="M409" s="20" t="str">
        <f t="shared" si="47"/>
        <v/>
      </c>
      <c r="N409" s="20" t="str">
        <f>IF(AND(OR(B409="",J409&gt;G409,M409&gt;G409),'DDF Original'!L409&lt;&gt; "MI"),G409,IF(M409&gt;J409,M409,J409))</f>
        <v/>
      </c>
    </row>
    <row r="410" spans="2:14" x14ac:dyDescent="0.2">
      <c r="B410" s="19" t="str">
        <f>IF('DDF Original'!B410="","",'DDF Original'!B410)</f>
        <v/>
      </c>
      <c r="C410" s="19" t="e">
        <f t="shared" si="48"/>
        <v>#VALUE!</v>
      </c>
      <c r="D410" s="20" t="str">
        <f>IF('DDF Original'!C410="","",'DDF Original'!C410)</f>
        <v/>
      </c>
      <c r="E410" s="24" t="str">
        <f>IF('DDF Original'!B410="","",IF(TRIM('DDF Original'!I410)="",0,'DDF Original'!I410))</f>
        <v/>
      </c>
      <c r="F410" s="20" t="str">
        <f t="shared" si="42"/>
        <v/>
      </c>
      <c r="G410" s="37" t="str">
        <f>IF('DDF Original'!B410="","",IF(TRIM('DDF Original'!P410)="",0,'DDF Original'!P410))</f>
        <v/>
      </c>
      <c r="H410" s="20" t="str">
        <f t="shared" si="43"/>
        <v/>
      </c>
      <c r="I410" s="25" t="str">
        <f t="shared" si="44"/>
        <v/>
      </c>
      <c r="J410" s="20" t="str">
        <f t="shared" si="45"/>
        <v/>
      </c>
      <c r="K410" s="20" t="str">
        <f t="shared" si="46"/>
        <v/>
      </c>
      <c r="L410" s="20" t="str">
        <f>IF(B410="","",70*'DDF Original'!$Q$4)</f>
        <v/>
      </c>
      <c r="M410" s="20" t="str">
        <f t="shared" si="47"/>
        <v/>
      </c>
      <c r="N410" s="20" t="str">
        <f>IF(AND(OR(B410="",J410&gt;G410,M410&gt;G410),'DDF Original'!L410&lt;&gt; "MI"),G410,IF(M410&gt;J410,M410,J410))</f>
        <v/>
      </c>
    </row>
    <row r="411" spans="2:14" x14ac:dyDescent="0.2">
      <c r="B411" s="19" t="str">
        <f>IF('DDF Original'!B411="","",'DDF Original'!B411)</f>
        <v/>
      </c>
      <c r="C411" s="19" t="e">
        <f t="shared" si="48"/>
        <v>#VALUE!</v>
      </c>
      <c r="D411" s="20" t="str">
        <f>IF('DDF Original'!C411="","",'DDF Original'!C411)</f>
        <v/>
      </c>
      <c r="E411" s="24" t="str">
        <f>IF('DDF Original'!B411="","",IF(TRIM('DDF Original'!I411)="",0,'DDF Original'!I411))</f>
        <v/>
      </c>
      <c r="F411" s="20" t="str">
        <f t="shared" si="42"/>
        <v/>
      </c>
      <c r="G411" s="37" t="str">
        <f>IF('DDF Original'!B411="","",IF(TRIM('DDF Original'!P411)="",0,'DDF Original'!P411))</f>
        <v/>
      </c>
      <c r="H411" s="20" t="str">
        <f t="shared" si="43"/>
        <v/>
      </c>
      <c r="I411" s="25" t="str">
        <f t="shared" si="44"/>
        <v/>
      </c>
      <c r="J411" s="20" t="str">
        <f t="shared" si="45"/>
        <v/>
      </c>
      <c r="K411" s="20" t="str">
        <f t="shared" si="46"/>
        <v/>
      </c>
      <c r="L411" s="20" t="str">
        <f>IF(B411="","",70*'DDF Original'!$Q$4)</f>
        <v/>
      </c>
      <c r="M411" s="20" t="str">
        <f t="shared" si="47"/>
        <v/>
      </c>
      <c r="N411" s="20" t="str">
        <f>IF(AND(OR(B411="",J411&gt;G411,M411&gt;G411),'DDF Original'!L411&lt;&gt; "MI"),G411,IF(M411&gt;J411,M411,J411))</f>
        <v/>
      </c>
    </row>
    <row r="412" spans="2:14" x14ac:dyDescent="0.2">
      <c r="B412" s="19" t="str">
        <f>IF('DDF Original'!B412="","",'DDF Original'!B412)</f>
        <v/>
      </c>
      <c r="C412" s="19" t="e">
        <f t="shared" si="48"/>
        <v>#VALUE!</v>
      </c>
      <c r="D412" s="20" t="str">
        <f>IF('DDF Original'!C412="","",'DDF Original'!C412)</f>
        <v/>
      </c>
      <c r="E412" s="24" t="str">
        <f>IF('DDF Original'!B412="","",IF(TRIM('DDF Original'!I412)="",0,'DDF Original'!I412))</f>
        <v/>
      </c>
      <c r="F412" s="20" t="str">
        <f t="shared" si="42"/>
        <v/>
      </c>
      <c r="G412" s="37" t="str">
        <f>IF('DDF Original'!B412="","",IF(TRIM('DDF Original'!P412)="",0,'DDF Original'!P412))</f>
        <v/>
      </c>
      <c r="H412" s="20" t="str">
        <f t="shared" si="43"/>
        <v/>
      </c>
      <c r="I412" s="25" t="str">
        <f t="shared" si="44"/>
        <v/>
      </c>
      <c r="J412" s="20" t="str">
        <f t="shared" si="45"/>
        <v/>
      </c>
      <c r="K412" s="20" t="str">
        <f t="shared" si="46"/>
        <v/>
      </c>
      <c r="L412" s="20" t="str">
        <f>IF(B412="","",70*'DDF Original'!$Q$4)</f>
        <v/>
      </c>
      <c r="M412" s="20" t="str">
        <f t="shared" si="47"/>
        <v/>
      </c>
      <c r="N412" s="20" t="str">
        <f>IF(AND(OR(B412="",J412&gt;G412,M412&gt;G412),'DDF Original'!L412&lt;&gt; "MI"),G412,IF(M412&gt;J412,M412,J412))</f>
        <v/>
      </c>
    </row>
    <row r="413" spans="2:14" x14ac:dyDescent="0.2">
      <c r="B413" s="19" t="str">
        <f>IF('DDF Original'!B413="","",'DDF Original'!B413)</f>
        <v/>
      </c>
      <c r="C413" s="19" t="e">
        <f t="shared" si="48"/>
        <v>#VALUE!</v>
      </c>
      <c r="D413" s="20" t="str">
        <f>IF('DDF Original'!C413="","",'DDF Original'!C413)</f>
        <v/>
      </c>
      <c r="E413" s="24" t="str">
        <f>IF('DDF Original'!B413="","",IF(TRIM('DDF Original'!I413)="",0,'DDF Original'!I413))</f>
        <v/>
      </c>
      <c r="F413" s="20" t="str">
        <f t="shared" si="42"/>
        <v/>
      </c>
      <c r="G413" s="37" t="str">
        <f>IF('DDF Original'!B413="","",IF(TRIM('DDF Original'!P413)="",0,'DDF Original'!P413))</f>
        <v/>
      </c>
      <c r="H413" s="20" t="str">
        <f t="shared" si="43"/>
        <v/>
      </c>
      <c r="I413" s="25" t="str">
        <f t="shared" si="44"/>
        <v/>
      </c>
      <c r="J413" s="20" t="str">
        <f t="shared" si="45"/>
        <v/>
      </c>
      <c r="K413" s="20" t="str">
        <f t="shared" si="46"/>
        <v/>
      </c>
      <c r="L413" s="20" t="str">
        <f>IF(B413="","",70*'DDF Original'!$Q$4)</f>
        <v/>
      </c>
      <c r="M413" s="20" t="str">
        <f t="shared" si="47"/>
        <v/>
      </c>
      <c r="N413" s="20" t="str">
        <f>IF(AND(OR(B413="",J413&gt;G413,M413&gt;G413),'DDF Original'!L413&lt;&gt; "MI"),G413,IF(M413&gt;J413,M413,J413))</f>
        <v/>
      </c>
    </row>
    <row r="414" spans="2:14" x14ac:dyDescent="0.2">
      <c r="B414" s="19" t="str">
        <f>IF('DDF Original'!B414="","",'DDF Original'!B414)</f>
        <v/>
      </c>
      <c r="C414" s="19" t="e">
        <f t="shared" si="48"/>
        <v>#VALUE!</v>
      </c>
      <c r="D414" s="20" t="str">
        <f>IF('DDF Original'!C414="","",'DDF Original'!C414)</f>
        <v/>
      </c>
      <c r="E414" s="24" t="str">
        <f>IF('DDF Original'!B414="","",IF(TRIM('DDF Original'!I414)="",0,'DDF Original'!I414))</f>
        <v/>
      </c>
      <c r="F414" s="20" t="str">
        <f t="shared" si="42"/>
        <v/>
      </c>
      <c r="G414" s="37" t="str">
        <f>IF('DDF Original'!B414="","",IF(TRIM('DDF Original'!P414)="",0,'DDF Original'!P414))</f>
        <v/>
      </c>
      <c r="H414" s="20" t="str">
        <f t="shared" si="43"/>
        <v/>
      </c>
      <c r="I414" s="25" t="str">
        <f t="shared" si="44"/>
        <v/>
      </c>
      <c r="J414" s="20" t="str">
        <f t="shared" si="45"/>
        <v/>
      </c>
      <c r="K414" s="20" t="str">
        <f t="shared" si="46"/>
        <v/>
      </c>
      <c r="L414" s="20" t="str">
        <f>IF(B414="","",70*'DDF Original'!$Q$4)</f>
        <v/>
      </c>
      <c r="M414" s="20" t="str">
        <f t="shared" si="47"/>
        <v/>
      </c>
      <c r="N414" s="20" t="str">
        <f>IF(AND(OR(B414="",J414&gt;G414,M414&gt;G414),'DDF Original'!L414&lt;&gt; "MI"),G414,IF(M414&gt;J414,M414,J414))</f>
        <v/>
      </c>
    </row>
    <row r="415" spans="2:14" x14ac:dyDescent="0.2">
      <c r="B415" s="19" t="str">
        <f>IF('DDF Original'!B415="","",'DDF Original'!B415)</f>
        <v/>
      </c>
      <c r="C415" s="19" t="e">
        <f t="shared" si="48"/>
        <v>#VALUE!</v>
      </c>
      <c r="D415" s="20" t="str">
        <f>IF('DDF Original'!C415="","",'DDF Original'!C415)</f>
        <v/>
      </c>
      <c r="E415" s="24" t="str">
        <f>IF('DDF Original'!B415="","",IF(TRIM('DDF Original'!I415)="",0,'DDF Original'!I415))</f>
        <v/>
      </c>
      <c r="F415" s="20" t="str">
        <f t="shared" si="42"/>
        <v/>
      </c>
      <c r="G415" s="37" t="str">
        <f>IF('DDF Original'!B415="","",IF(TRIM('DDF Original'!P415)="",0,'DDF Original'!P415))</f>
        <v/>
      </c>
      <c r="H415" s="20" t="str">
        <f t="shared" si="43"/>
        <v/>
      </c>
      <c r="I415" s="25" t="str">
        <f t="shared" si="44"/>
        <v/>
      </c>
      <c r="J415" s="20" t="str">
        <f t="shared" si="45"/>
        <v/>
      </c>
      <c r="K415" s="20" t="str">
        <f t="shared" si="46"/>
        <v/>
      </c>
      <c r="L415" s="20" t="str">
        <f>IF(B415="","",70*'DDF Original'!$Q$4)</f>
        <v/>
      </c>
      <c r="M415" s="20" t="str">
        <f t="shared" si="47"/>
        <v/>
      </c>
      <c r="N415" s="20" t="str">
        <f>IF(AND(OR(B415="",J415&gt;G415,M415&gt;G415),'DDF Original'!L415&lt;&gt; "MI"),G415,IF(M415&gt;J415,M415,J415))</f>
        <v/>
      </c>
    </row>
    <row r="416" spans="2:14" x14ac:dyDescent="0.2">
      <c r="B416" s="19" t="str">
        <f>IF('DDF Original'!B416="","",'DDF Original'!B416)</f>
        <v/>
      </c>
      <c r="C416" s="19" t="e">
        <f t="shared" si="48"/>
        <v>#VALUE!</v>
      </c>
      <c r="D416" s="20" t="str">
        <f>IF('DDF Original'!C416="","",'DDF Original'!C416)</f>
        <v/>
      </c>
      <c r="E416" s="24" t="str">
        <f>IF('DDF Original'!B416="","",IF(TRIM('DDF Original'!I416)="",0,'DDF Original'!I416))</f>
        <v/>
      </c>
      <c r="F416" s="20" t="str">
        <f t="shared" si="42"/>
        <v/>
      </c>
      <c r="G416" s="37" t="str">
        <f>IF('DDF Original'!B416="","",IF(TRIM('DDF Original'!P416)="",0,'DDF Original'!P416))</f>
        <v/>
      </c>
      <c r="H416" s="20" t="str">
        <f t="shared" si="43"/>
        <v/>
      </c>
      <c r="I416" s="25" t="str">
        <f t="shared" si="44"/>
        <v/>
      </c>
      <c r="J416" s="20" t="str">
        <f t="shared" si="45"/>
        <v/>
      </c>
      <c r="K416" s="20" t="str">
        <f t="shared" si="46"/>
        <v/>
      </c>
      <c r="L416" s="20" t="str">
        <f>IF(B416="","",70*'DDF Original'!$Q$4)</f>
        <v/>
      </c>
      <c r="M416" s="20" t="str">
        <f t="shared" si="47"/>
        <v/>
      </c>
      <c r="N416" s="20" t="str">
        <f>IF(AND(OR(B416="",J416&gt;G416,M416&gt;G416),'DDF Original'!L416&lt;&gt; "MI"),G416,IF(M416&gt;J416,M416,J416))</f>
        <v/>
      </c>
    </row>
    <row r="417" spans="2:14" x14ac:dyDescent="0.2">
      <c r="B417" s="19" t="str">
        <f>IF('DDF Original'!B417="","",'DDF Original'!B417)</f>
        <v/>
      </c>
      <c r="C417" s="19" t="e">
        <f t="shared" si="48"/>
        <v>#VALUE!</v>
      </c>
      <c r="D417" s="20" t="str">
        <f>IF('DDF Original'!C417="","",'DDF Original'!C417)</f>
        <v/>
      </c>
      <c r="E417" s="24" t="str">
        <f>IF('DDF Original'!B417="","",IF(TRIM('DDF Original'!I417)="",0,'DDF Original'!I417))</f>
        <v/>
      </c>
      <c r="F417" s="20" t="str">
        <f t="shared" si="42"/>
        <v/>
      </c>
      <c r="G417" s="37" t="str">
        <f>IF('DDF Original'!B417="","",IF(TRIM('DDF Original'!P417)="",0,'DDF Original'!P417))</f>
        <v/>
      </c>
      <c r="H417" s="20" t="str">
        <f t="shared" si="43"/>
        <v/>
      </c>
      <c r="I417" s="25" t="str">
        <f t="shared" si="44"/>
        <v/>
      </c>
      <c r="J417" s="20" t="str">
        <f t="shared" si="45"/>
        <v/>
      </c>
      <c r="K417" s="20" t="str">
        <f t="shared" si="46"/>
        <v/>
      </c>
      <c r="L417" s="20" t="str">
        <f>IF(B417="","",70*'DDF Original'!$Q$4)</f>
        <v/>
      </c>
      <c r="M417" s="20" t="str">
        <f t="shared" si="47"/>
        <v/>
      </c>
      <c r="N417" s="20" t="str">
        <f>IF(AND(OR(B417="",J417&gt;G417,M417&gt;G417),'DDF Original'!L417&lt;&gt; "MI"),G417,IF(M417&gt;J417,M417,J417))</f>
        <v/>
      </c>
    </row>
    <row r="418" spans="2:14" x14ac:dyDescent="0.2">
      <c r="B418" s="19" t="str">
        <f>IF('DDF Original'!B418="","",'DDF Original'!B418)</f>
        <v/>
      </c>
      <c r="C418" s="19" t="e">
        <f t="shared" si="48"/>
        <v>#VALUE!</v>
      </c>
      <c r="D418" s="20" t="str">
        <f>IF('DDF Original'!C418="","",'DDF Original'!C418)</f>
        <v/>
      </c>
      <c r="E418" s="24" t="str">
        <f>IF('DDF Original'!B418="","",IF(TRIM('DDF Original'!I418)="",0,'DDF Original'!I418))</f>
        <v/>
      </c>
      <c r="F418" s="20" t="str">
        <f t="shared" si="42"/>
        <v/>
      </c>
      <c r="G418" s="37" t="str">
        <f>IF('DDF Original'!B418="","",IF(TRIM('DDF Original'!P418)="",0,'DDF Original'!P418))</f>
        <v/>
      </c>
      <c r="H418" s="20" t="str">
        <f t="shared" si="43"/>
        <v/>
      </c>
      <c r="I418" s="25" t="str">
        <f t="shared" si="44"/>
        <v/>
      </c>
      <c r="J418" s="20" t="str">
        <f t="shared" si="45"/>
        <v/>
      </c>
      <c r="K418" s="20" t="str">
        <f t="shared" si="46"/>
        <v/>
      </c>
      <c r="L418" s="20" t="str">
        <f>IF(B418="","",70*'DDF Original'!$Q$4)</f>
        <v/>
      </c>
      <c r="M418" s="20" t="str">
        <f t="shared" si="47"/>
        <v/>
      </c>
      <c r="N418" s="20" t="str">
        <f>IF(AND(OR(B418="",J418&gt;G418,M418&gt;G418),'DDF Original'!L418&lt;&gt; "MI"),G418,IF(M418&gt;J418,M418,J418))</f>
        <v/>
      </c>
    </row>
    <row r="419" spans="2:14" x14ac:dyDescent="0.2">
      <c r="B419" s="19" t="str">
        <f>IF('DDF Original'!B419="","",'DDF Original'!B419)</f>
        <v/>
      </c>
      <c r="C419" s="19" t="e">
        <f t="shared" si="48"/>
        <v>#VALUE!</v>
      </c>
      <c r="D419" s="20" t="str">
        <f>IF('DDF Original'!C419="","",'DDF Original'!C419)</f>
        <v/>
      </c>
      <c r="E419" s="24" t="str">
        <f>IF('DDF Original'!B419="","",IF(TRIM('DDF Original'!I419)="",0,'DDF Original'!I419))</f>
        <v/>
      </c>
      <c r="F419" s="20" t="str">
        <f t="shared" si="42"/>
        <v/>
      </c>
      <c r="G419" s="37" t="str">
        <f>IF('DDF Original'!B419="","",IF(TRIM('DDF Original'!P419)="",0,'DDF Original'!P419))</f>
        <v/>
      </c>
      <c r="H419" s="20" t="str">
        <f t="shared" si="43"/>
        <v/>
      </c>
      <c r="I419" s="25" t="str">
        <f t="shared" si="44"/>
        <v/>
      </c>
      <c r="J419" s="20" t="str">
        <f t="shared" si="45"/>
        <v/>
      </c>
      <c r="K419" s="20" t="str">
        <f t="shared" si="46"/>
        <v/>
      </c>
      <c r="L419" s="20" t="str">
        <f>IF(B419="","",70*'DDF Original'!$Q$4)</f>
        <v/>
      </c>
      <c r="M419" s="20" t="str">
        <f t="shared" si="47"/>
        <v/>
      </c>
      <c r="N419" s="20" t="str">
        <f>IF(AND(OR(B419="",J419&gt;G419,M419&gt;G419),'DDF Original'!L419&lt;&gt; "MI"),G419,IF(M419&gt;J419,M419,J419))</f>
        <v/>
      </c>
    </row>
    <row r="420" spans="2:14" x14ac:dyDescent="0.2">
      <c r="B420" s="19" t="str">
        <f>IF('DDF Original'!B420="","",'DDF Original'!B420)</f>
        <v/>
      </c>
      <c r="C420" s="19" t="e">
        <f t="shared" si="48"/>
        <v>#VALUE!</v>
      </c>
      <c r="D420" s="20" t="str">
        <f>IF('DDF Original'!C420="","",'DDF Original'!C420)</f>
        <v/>
      </c>
      <c r="E420" s="24" t="str">
        <f>IF('DDF Original'!B420="","",IF(TRIM('DDF Original'!I420)="",0,'DDF Original'!I420))</f>
        <v/>
      </c>
      <c r="F420" s="20" t="str">
        <f t="shared" si="42"/>
        <v/>
      </c>
      <c r="G420" s="37" t="str">
        <f>IF('DDF Original'!B420="","",IF(TRIM('DDF Original'!P420)="",0,'DDF Original'!P420))</f>
        <v/>
      </c>
      <c r="H420" s="20" t="str">
        <f t="shared" si="43"/>
        <v/>
      </c>
      <c r="I420" s="25" t="str">
        <f t="shared" si="44"/>
        <v/>
      </c>
      <c r="J420" s="20" t="str">
        <f t="shared" si="45"/>
        <v/>
      </c>
      <c r="K420" s="20" t="str">
        <f t="shared" si="46"/>
        <v/>
      </c>
      <c r="L420" s="20" t="str">
        <f>IF(B420="","",70*'DDF Original'!$Q$4)</f>
        <v/>
      </c>
      <c r="M420" s="20" t="str">
        <f t="shared" si="47"/>
        <v/>
      </c>
      <c r="N420" s="20" t="str">
        <f>IF(AND(OR(B420="",J420&gt;G420,M420&gt;G420),'DDF Original'!L420&lt;&gt; "MI"),G420,IF(M420&gt;J420,M420,J420))</f>
        <v/>
      </c>
    </row>
    <row r="421" spans="2:14" x14ac:dyDescent="0.2">
      <c r="B421" s="19" t="str">
        <f>IF('DDF Original'!B421="","",'DDF Original'!B421)</f>
        <v/>
      </c>
      <c r="C421" s="19" t="e">
        <f t="shared" si="48"/>
        <v>#VALUE!</v>
      </c>
      <c r="D421" s="20" t="str">
        <f>IF('DDF Original'!C421="","",'DDF Original'!C421)</f>
        <v/>
      </c>
      <c r="E421" s="24" t="str">
        <f>IF('DDF Original'!B421="","",IF(TRIM('DDF Original'!I421)="",0,'DDF Original'!I421))</f>
        <v/>
      </c>
      <c r="F421" s="20" t="str">
        <f t="shared" si="42"/>
        <v/>
      </c>
      <c r="G421" s="37" t="str">
        <f>IF('DDF Original'!B421="","",IF(TRIM('DDF Original'!P421)="",0,'DDF Original'!P421))</f>
        <v/>
      </c>
      <c r="H421" s="20" t="str">
        <f t="shared" si="43"/>
        <v/>
      </c>
      <c r="I421" s="25" t="str">
        <f t="shared" si="44"/>
        <v/>
      </c>
      <c r="J421" s="20" t="str">
        <f t="shared" si="45"/>
        <v/>
      </c>
      <c r="K421" s="20" t="str">
        <f t="shared" si="46"/>
        <v/>
      </c>
      <c r="L421" s="20" t="str">
        <f>IF(B421="","",70*'DDF Original'!$Q$4)</f>
        <v/>
      </c>
      <c r="M421" s="20" t="str">
        <f t="shared" si="47"/>
        <v/>
      </c>
      <c r="N421" s="20" t="str">
        <f>IF(AND(OR(B421="",J421&gt;G421,M421&gt;G421),'DDF Original'!L421&lt;&gt; "MI"),G421,IF(M421&gt;J421,M421,J421))</f>
        <v/>
      </c>
    </row>
    <row r="422" spans="2:14" x14ac:dyDescent="0.2">
      <c r="B422" s="19" t="str">
        <f>IF('DDF Original'!B422="","",'DDF Original'!B422)</f>
        <v/>
      </c>
      <c r="C422" s="19" t="e">
        <f t="shared" si="48"/>
        <v>#VALUE!</v>
      </c>
      <c r="D422" s="20" t="str">
        <f>IF('DDF Original'!C422="","",'DDF Original'!C422)</f>
        <v/>
      </c>
      <c r="E422" s="24" t="str">
        <f>IF('DDF Original'!B422="","",IF(TRIM('DDF Original'!I422)="",0,'DDF Original'!I422))</f>
        <v/>
      </c>
      <c r="F422" s="20" t="str">
        <f t="shared" si="42"/>
        <v/>
      </c>
      <c r="G422" s="37" t="str">
        <f>IF('DDF Original'!B422="","",IF(TRIM('DDF Original'!P422)="",0,'DDF Original'!P422))</f>
        <v/>
      </c>
      <c r="H422" s="20" t="str">
        <f t="shared" si="43"/>
        <v/>
      </c>
      <c r="I422" s="25" t="str">
        <f t="shared" si="44"/>
        <v/>
      </c>
      <c r="J422" s="20" t="str">
        <f t="shared" si="45"/>
        <v/>
      </c>
      <c r="K422" s="20" t="str">
        <f t="shared" si="46"/>
        <v/>
      </c>
      <c r="L422" s="20" t="str">
        <f>IF(B422="","",70*'DDF Original'!$Q$4)</f>
        <v/>
      </c>
      <c r="M422" s="20" t="str">
        <f t="shared" si="47"/>
        <v/>
      </c>
      <c r="N422" s="20" t="str">
        <f>IF(AND(OR(B422="",J422&gt;G422,M422&gt;G422),'DDF Original'!L422&lt;&gt; "MI"),G422,IF(M422&gt;J422,M422,J422))</f>
        <v/>
      </c>
    </row>
    <row r="423" spans="2:14" x14ac:dyDescent="0.2">
      <c r="B423" s="19" t="str">
        <f>IF('DDF Original'!B423="","",'DDF Original'!B423)</f>
        <v/>
      </c>
      <c r="C423" s="19" t="e">
        <f t="shared" si="48"/>
        <v>#VALUE!</v>
      </c>
      <c r="D423" s="20" t="str">
        <f>IF('DDF Original'!C423="","",'DDF Original'!C423)</f>
        <v/>
      </c>
      <c r="E423" s="24" t="str">
        <f>IF('DDF Original'!B423="","",IF(TRIM('DDF Original'!I423)="",0,'DDF Original'!I423))</f>
        <v/>
      </c>
      <c r="F423" s="20" t="str">
        <f t="shared" si="42"/>
        <v/>
      </c>
      <c r="G423" s="37" t="str">
        <f>IF('DDF Original'!B423="","",IF(TRIM('DDF Original'!P423)="",0,'DDF Original'!P423))</f>
        <v/>
      </c>
      <c r="H423" s="20" t="str">
        <f t="shared" si="43"/>
        <v/>
      </c>
      <c r="I423" s="25" t="str">
        <f t="shared" si="44"/>
        <v/>
      </c>
      <c r="J423" s="20" t="str">
        <f t="shared" si="45"/>
        <v/>
      </c>
      <c r="K423" s="20" t="str">
        <f t="shared" si="46"/>
        <v/>
      </c>
      <c r="L423" s="20" t="str">
        <f>IF(B423="","",70*'DDF Original'!$Q$4)</f>
        <v/>
      </c>
      <c r="M423" s="20" t="str">
        <f t="shared" si="47"/>
        <v/>
      </c>
      <c r="N423" s="20" t="str">
        <f>IF(AND(OR(B423="",J423&gt;G423,M423&gt;G423),'DDF Original'!L423&lt;&gt; "MI"),G423,IF(M423&gt;J423,M423,J423))</f>
        <v/>
      </c>
    </row>
    <row r="424" spans="2:14" x14ac:dyDescent="0.2">
      <c r="B424" s="19" t="str">
        <f>IF('DDF Original'!B424="","",'DDF Original'!B424)</f>
        <v/>
      </c>
      <c r="C424" s="19" t="e">
        <f t="shared" si="48"/>
        <v>#VALUE!</v>
      </c>
      <c r="D424" s="20" t="str">
        <f>IF('DDF Original'!C424="","",'DDF Original'!C424)</f>
        <v/>
      </c>
      <c r="E424" s="24" t="str">
        <f>IF('DDF Original'!B424="","",IF(TRIM('DDF Original'!I424)="",0,'DDF Original'!I424))</f>
        <v/>
      </c>
      <c r="F424" s="20" t="str">
        <f t="shared" si="42"/>
        <v/>
      </c>
      <c r="G424" s="37" t="str">
        <f>IF('DDF Original'!B424="","",IF(TRIM('DDF Original'!P424)="",0,'DDF Original'!P424))</f>
        <v/>
      </c>
      <c r="H424" s="20" t="str">
        <f t="shared" si="43"/>
        <v/>
      </c>
      <c r="I424" s="25" t="str">
        <f t="shared" si="44"/>
        <v/>
      </c>
      <c r="J424" s="20" t="str">
        <f t="shared" si="45"/>
        <v/>
      </c>
      <c r="K424" s="20" t="str">
        <f t="shared" si="46"/>
        <v/>
      </c>
      <c r="L424" s="20" t="str">
        <f>IF(B424="","",70*'DDF Original'!$Q$4)</f>
        <v/>
      </c>
      <c r="M424" s="20" t="str">
        <f t="shared" si="47"/>
        <v/>
      </c>
      <c r="N424" s="20" t="str">
        <f>IF(AND(OR(B424="",J424&gt;G424,M424&gt;G424),'DDF Original'!L424&lt;&gt; "MI"),G424,IF(M424&gt;J424,M424,J424))</f>
        <v/>
      </c>
    </row>
    <row r="425" spans="2:14" x14ac:dyDescent="0.2">
      <c r="B425" s="19" t="str">
        <f>IF('DDF Original'!B425="","",'DDF Original'!B425)</f>
        <v/>
      </c>
      <c r="C425" s="19" t="e">
        <f t="shared" si="48"/>
        <v>#VALUE!</v>
      </c>
      <c r="D425" s="20" t="str">
        <f>IF('DDF Original'!C425="","",'DDF Original'!C425)</f>
        <v/>
      </c>
      <c r="E425" s="24" t="str">
        <f>IF('DDF Original'!B425="","",IF(TRIM('DDF Original'!I425)="",0,'DDF Original'!I425))</f>
        <v/>
      </c>
      <c r="F425" s="20" t="str">
        <f t="shared" si="42"/>
        <v/>
      </c>
      <c r="G425" s="37" t="str">
        <f>IF('DDF Original'!B425="","",IF(TRIM('DDF Original'!P425)="",0,'DDF Original'!P425))</f>
        <v/>
      </c>
      <c r="H425" s="20" t="str">
        <f t="shared" si="43"/>
        <v/>
      </c>
      <c r="I425" s="25" t="str">
        <f t="shared" si="44"/>
        <v/>
      </c>
      <c r="J425" s="20" t="str">
        <f t="shared" si="45"/>
        <v/>
      </c>
      <c r="K425" s="20" t="str">
        <f t="shared" si="46"/>
        <v/>
      </c>
      <c r="L425" s="20" t="str">
        <f>IF(B425="","",70*'DDF Original'!$Q$4)</f>
        <v/>
      </c>
      <c r="M425" s="20" t="str">
        <f t="shared" si="47"/>
        <v/>
      </c>
      <c r="N425" s="20" t="str">
        <f>IF(AND(OR(B425="",J425&gt;G425,M425&gt;G425),'DDF Original'!L425&lt;&gt; "MI"),G425,IF(M425&gt;J425,M425,J425))</f>
        <v/>
      </c>
    </row>
    <row r="426" spans="2:14" x14ac:dyDescent="0.2">
      <c r="B426" s="19" t="str">
        <f>IF('DDF Original'!B426="","",'DDF Original'!B426)</f>
        <v/>
      </c>
      <c r="C426" s="19" t="e">
        <f t="shared" si="48"/>
        <v>#VALUE!</v>
      </c>
      <c r="D426" s="20" t="str">
        <f>IF('DDF Original'!C426="","",'DDF Original'!C426)</f>
        <v/>
      </c>
      <c r="E426" s="24" t="str">
        <f>IF('DDF Original'!B426="","",IF(TRIM('DDF Original'!I426)="",0,'DDF Original'!I426))</f>
        <v/>
      </c>
      <c r="F426" s="20" t="str">
        <f t="shared" si="42"/>
        <v/>
      </c>
      <c r="G426" s="37" t="str">
        <f>IF('DDF Original'!B426="","",IF(TRIM('DDF Original'!P426)="",0,'DDF Original'!P426))</f>
        <v/>
      </c>
      <c r="H426" s="20" t="str">
        <f t="shared" si="43"/>
        <v/>
      </c>
      <c r="I426" s="25" t="str">
        <f t="shared" si="44"/>
        <v/>
      </c>
      <c r="J426" s="20" t="str">
        <f t="shared" si="45"/>
        <v/>
      </c>
      <c r="K426" s="20" t="str">
        <f t="shared" si="46"/>
        <v/>
      </c>
      <c r="L426" s="20" t="str">
        <f>IF(B426="","",70*'DDF Original'!$Q$4)</f>
        <v/>
      </c>
      <c r="M426" s="20" t="str">
        <f t="shared" si="47"/>
        <v/>
      </c>
      <c r="N426" s="20" t="str">
        <f>IF(AND(OR(B426="",J426&gt;G426,M426&gt;G426),'DDF Original'!L426&lt;&gt; "MI"),G426,IF(M426&gt;J426,M426,J426))</f>
        <v/>
      </c>
    </row>
    <row r="427" spans="2:14" x14ac:dyDescent="0.2">
      <c r="B427" s="19" t="str">
        <f>IF('DDF Original'!B427="","",'DDF Original'!B427)</f>
        <v/>
      </c>
      <c r="C427" s="19" t="e">
        <f t="shared" si="48"/>
        <v>#VALUE!</v>
      </c>
      <c r="D427" s="20" t="str">
        <f>IF('DDF Original'!C427="","",'DDF Original'!C427)</f>
        <v/>
      </c>
      <c r="E427" s="24" t="str">
        <f>IF('DDF Original'!B427="","",IF(TRIM('DDF Original'!I427)="",0,'DDF Original'!I427))</f>
        <v/>
      </c>
      <c r="F427" s="20" t="str">
        <f t="shared" si="42"/>
        <v/>
      </c>
      <c r="G427" s="37" t="str">
        <f>IF('DDF Original'!B427="","",IF(TRIM('DDF Original'!P427)="",0,'DDF Original'!P427))</f>
        <v/>
      </c>
      <c r="H427" s="20" t="str">
        <f t="shared" si="43"/>
        <v/>
      </c>
      <c r="I427" s="25" t="str">
        <f t="shared" si="44"/>
        <v/>
      </c>
      <c r="J427" s="20" t="str">
        <f t="shared" si="45"/>
        <v/>
      </c>
      <c r="K427" s="20" t="str">
        <f t="shared" si="46"/>
        <v/>
      </c>
      <c r="L427" s="20" t="str">
        <f>IF(B427="","",70*'DDF Original'!$Q$4)</f>
        <v/>
      </c>
      <c r="M427" s="20" t="str">
        <f t="shared" si="47"/>
        <v/>
      </c>
      <c r="N427" s="20" t="str">
        <f>IF(AND(OR(B427="",J427&gt;G427,M427&gt;G427),'DDF Original'!L427&lt;&gt; "MI"),G427,IF(M427&gt;J427,M427,J427))</f>
        <v/>
      </c>
    </row>
    <row r="428" spans="2:14" x14ac:dyDescent="0.2">
      <c r="B428" s="19" t="str">
        <f>IF('DDF Original'!B428="","",'DDF Original'!B428)</f>
        <v/>
      </c>
      <c r="C428" s="19" t="e">
        <f t="shared" si="48"/>
        <v>#VALUE!</v>
      </c>
      <c r="D428" s="20" t="str">
        <f>IF('DDF Original'!C428="","",'DDF Original'!C428)</f>
        <v/>
      </c>
      <c r="E428" s="24" t="str">
        <f>IF('DDF Original'!B428="","",IF(TRIM('DDF Original'!I428)="",0,'DDF Original'!I428))</f>
        <v/>
      </c>
      <c r="F428" s="20" t="str">
        <f t="shared" si="42"/>
        <v/>
      </c>
      <c r="G428" s="37" t="str">
        <f>IF('DDF Original'!B428="","",IF(TRIM('DDF Original'!P428)="",0,'DDF Original'!P428))</f>
        <v/>
      </c>
      <c r="H428" s="20" t="str">
        <f t="shared" si="43"/>
        <v/>
      </c>
      <c r="I428" s="25" t="str">
        <f t="shared" si="44"/>
        <v/>
      </c>
      <c r="J428" s="20" t="str">
        <f t="shared" si="45"/>
        <v/>
      </c>
      <c r="K428" s="20" t="str">
        <f t="shared" si="46"/>
        <v/>
      </c>
      <c r="L428" s="20" t="str">
        <f>IF(B428="","",70*'DDF Original'!$Q$4)</f>
        <v/>
      </c>
      <c r="M428" s="20" t="str">
        <f t="shared" si="47"/>
        <v/>
      </c>
      <c r="N428" s="20" t="str">
        <f>IF(AND(OR(B428="",J428&gt;G428,M428&gt;G428),'DDF Original'!L428&lt;&gt; "MI"),G428,IF(M428&gt;J428,M428,J428))</f>
        <v/>
      </c>
    </row>
    <row r="429" spans="2:14" x14ac:dyDescent="0.2">
      <c r="B429" s="19" t="str">
        <f>IF('DDF Original'!B429="","",'DDF Original'!B429)</f>
        <v/>
      </c>
      <c r="C429" s="19" t="e">
        <f t="shared" si="48"/>
        <v>#VALUE!</v>
      </c>
      <c r="D429" s="20" t="str">
        <f>IF('DDF Original'!C429="","",'DDF Original'!C429)</f>
        <v/>
      </c>
      <c r="E429" s="24" t="str">
        <f>IF('DDF Original'!B429="","",IF(TRIM('DDF Original'!I429)="",0,'DDF Original'!I429))</f>
        <v/>
      </c>
      <c r="F429" s="20" t="str">
        <f t="shared" si="42"/>
        <v/>
      </c>
      <c r="G429" s="37" t="str">
        <f>IF('DDF Original'!B429="","",IF(TRIM('DDF Original'!P429)="",0,'DDF Original'!P429))</f>
        <v/>
      </c>
      <c r="H429" s="20" t="str">
        <f t="shared" si="43"/>
        <v/>
      </c>
      <c r="I429" s="25" t="str">
        <f t="shared" si="44"/>
        <v/>
      </c>
      <c r="J429" s="20" t="str">
        <f t="shared" si="45"/>
        <v/>
      </c>
      <c r="K429" s="20" t="str">
        <f t="shared" si="46"/>
        <v/>
      </c>
      <c r="L429" s="20" t="str">
        <f>IF(B429="","",70*'DDF Original'!$Q$4)</f>
        <v/>
      </c>
      <c r="M429" s="20" t="str">
        <f t="shared" si="47"/>
        <v/>
      </c>
      <c r="N429" s="20" t="str">
        <f>IF(AND(OR(B429="",J429&gt;G429,M429&gt;G429),'DDF Original'!L429&lt;&gt; "MI"),G429,IF(M429&gt;J429,M429,J429))</f>
        <v/>
      </c>
    </row>
    <row r="430" spans="2:14" x14ac:dyDescent="0.2">
      <c r="B430" s="19" t="str">
        <f>IF('DDF Original'!B430="","",'DDF Original'!B430)</f>
        <v/>
      </c>
      <c r="C430" s="19" t="e">
        <f t="shared" si="48"/>
        <v>#VALUE!</v>
      </c>
      <c r="D430" s="20" t="str">
        <f>IF('DDF Original'!C430="","",'DDF Original'!C430)</f>
        <v/>
      </c>
      <c r="E430" s="24" t="str">
        <f>IF('DDF Original'!B430="","",IF(TRIM('DDF Original'!I430)="",0,'DDF Original'!I430))</f>
        <v/>
      </c>
      <c r="F430" s="20" t="str">
        <f t="shared" si="42"/>
        <v/>
      </c>
      <c r="G430" s="37" t="str">
        <f>IF('DDF Original'!B430="","",IF(TRIM('DDF Original'!P430)="",0,'DDF Original'!P430))</f>
        <v/>
      </c>
      <c r="H430" s="20" t="str">
        <f t="shared" si="43"/>
        <v/>
      </c>
      <c r="I430" s="25" t="str">
        <f t="shared" si="44"/>
        <v/>
      </c>
      <c r="J430" s="20" t="str">
        <f t="shared" si="45"/>
        <v/>
      </c>
      <c r="K430" s="20" t="str">
        <f t="shared" si="46"/>
        <v/>
      </c>
      <c r="L430" s="20" t="str">
        <f>IF(B430="","",70*'DDF Original'!$Q$4)</f>
        <v/>
      </c>
      <c r="M430" s="20" t="str">
        <f t="shared" si="47"/>
        <v/>
      </c>
      <c r="N430" s="20" t="str">
        <f>IF(AND(OR(B430="",J430&gt;G430,M430&gt;G430),'DDF Original'!L430&lt;&gt; "MI"),G430,IF(M430&gt;J430,M430,J430))</f>
        <v/>
      </c>
    </row>
    <row r="431" spans="2:14" x14ac:dyDescent="0.2">
      <c r="B431" s="19" t="str">
        <f>IF('DDF Original'!B431="","",'DDF Original'!B431)</f>
        <v/>
      </c>
      <c r="C431" s="19" t="e">
        <f t="shared" si="48"/>
        <v>#VALUE!</v>
      </c>
      <c r="D431" s="20" t="str">
        <f>IF('DDF Original'!C431="","",'DDF Original'!C431)</f>
        <v/>
      </c>
      <c r="E431" s="24" t="str">
        <f>IF('DDF Original'!B431="","",IF(TRIM('DDF Original'!I431)="",0,'DDF Original'!I431))</f>
        <v/>
      </c>
      <c r="F431" s="20" t="str">
        <f t="shared" si="42"/>
        <v/>
      </c>
      <c r="G431" s="37" t="str">
        <f>IF('DDF Original'!B431="","",IF(TRIM('DDF Original'!P431)="",0,'DDF Original'!P431))</f>
        <v/>
      </c>
      <c r="H431" s="20" t="str">
        <f t="shared" si="43"/>
        <v/>
      </c>
      <c r="I431" s="25" t="str">
        <f t="shared" si="44"/>
        <v/>
      </c>
      <c r="J431" s="20" t="str">
        <f t="shared" si="45"/>
        <v/>
      </c>
      <c r="K431" s="20" t="str">
        <f t="shared" si="46"/>
        <v/>
      </c>
      <c r="L431" s="20" t="str">
        <f>IF(B431="","",70*'DDF Original'!$Q$4)</f>
        <v/>
      </c>
      <c r="M431" s="20" t="str">
        <f t="shared" si="47"/>
        <v/>
      </c>
      <c r="N431" s="20" t="str">
        <f>IF(AND(OR(B431="",J431&gt;G431,M431&gt;G431),'DDF Original'!L431&lt;&gt; "MI"),G431,IF(M431&gt;J431,M431,J431))</f>
        <v/>
      </c>
    </row>
    <row r="432" spans="2:14" x14ac:dyDescent="0.2">
      <c r="B432" s="19" t="str">
        <f>IF('DDF Original'!B432="","",'DDF Original'!B432)</f>
        <v/>
      </c>
      <c r="C432" s="19" t="e">
        <f t="shared" si="48"/>
        <v>#VALUE!</v>
      </c>
      <c r="D432" s="20" t="str">
        <f>IF('DDF Original'!C432="","",'DDF Original'!C432)</f>
        <v/>
      </c>
      <c r="E432" s="24" t="str">
        <f>IF('DDF Original'!B432="","",IF(TRIM('DDF Original'!I432)="",0,'DDF Original'!I432))</f>
        <v/>
      </c>
      <c r="F432" s="20" t="str">
        <f t="shared" si="42"/>
        <v/>
      </c>
      <c r="G432" s="37" t="str">
        <f>IF('DDF Original'!B432="","",IF(TRIM('DDF Original'!P432)="",0,'DDF Original'!P432))</f>
        <v/>
      </c>
      <c r="H432" s="20" t="str">
        <f t="shared" si="43"/>
        <v/>
      </c>
      <c r="I432" s="25" t="str">
        <f t="shared" si="44"/>
        <v/>
      </c>
      <c r="J432" s="20" t="str">
        <f t="shared" si="45"/>
        <v/>
      </c>
      <c r="K432" s="20" t="str">
        <f t="shared" si="46"/>
        <v/>
      </c>
      <c r="L432" s="20" t="str">
        <f>IF(B432="","",70*'DDF Original'!$Q$4)</f>
        <v/>
      </c>
      <c r="M432" s="20" t="str">
        <f t="shared" si="47"/>
        <v/>
      </c>
      <c r="N432" s="20" t="str">
        <f>IF(AND(OR(B432="",J432&gt;G432,M432&gt;G432),'DDF Original'!L432&lt;&gt; "MI"),G432,IF(M432&gt;J432,M432,J432))</f>
        <v/>
      </c>
    </row>
    <row r="433" spans="2:14" x14ac:dyDescent="0.2">
      <c r="B433" s="19" t="str">
        <f>IF('DDF Original'!B433="","",'DDF Original'!B433)</f>
        <v/>
      </c>
      <c r="C433" s="19" t="e">
        <f t="shared" si="48"/>
        <v>#VALUE!</v>
      </c>
      <c r="D433" s="20" t="str">
        <f>IF('DDF Original'!C433="","",'DDF Original'!C433)</f>
        <v/>
      </c>
      <c r="E433" s="24" t="str">
        <f>IF('DDF Original'!B433="","",IF(TRIM('DDF Original'!I433)="",0,'DDF Original'!I433))</f>
        <v/>
      </c>
      <c r="F433" s="20" t="str">
        <f t="shared" si="42"/>
        <v/>
      </c>
      <c r="G433" s="37" t="str">
        <f>IF('DDF Original'!B433="","",IF(TRIM('DDF Original'!P433)="",0,'DDF Original'!P433))</f>
        <v/>
      </c>
      <c r="H433" s="20" t="str">
        <f t="shared" si="43"/>
        <v/>
      </c>
      <c r="I433" s="25" t="str">
        <f t="shared" si="44"/>
        <v/>
      </c>
      <c r="J433" s="20" t="str">
        <f t="shared" si="45"/>
        <v/>
      </c>
      <c r="K433" s="20" t="str">
        <f t="shared" si="46"/>
        <v/>
      </c>
      <c r="L433" s="20" t="str">
        <f>IF(B433="","",70*'DDF Original'!$Q$4)</f>
        <v/>
      </c>
      <c r="M433" s="20" t="str">
        <f t="shared" si="47"/>
        <v/>
      </c>
      <c r="N433" s="20" t="str">
        <f>IF(AND(OR(B433="",J433&gt;G433,M433&gt;G433),'DDF Original'!L433&lt;&gt; "MI"),G433,IF(M433&gt;J433,M433,J433))</f>
        <v/>
      </c>
    </row>
    <row r="434" spans="2:14" x14ac:dyDescent="0.2">
      <c r="B434" s="19" t="str">
        <f>IF('DDF Original'!B434="","",'DDF Original'!B434)</f>
        <v/>
      </c>
      <c r="C434" s="19" t="e">
        <f t="shared" si="48"/>
        <v>#VALUE!</v>
      </c>
      <c r="D434" s="20" t="str">
        <f>IF('DDF Original'!C434="","",'DDF Original'!C434)</f>
        <v/>
      </c>
      <c r="E434" s="24" t="str">
        <f>IF('DDF Original'!B434="","",IF(TRIM('DDF Original'!I434)="",0,'DDF Original'!I434))</f>
        <v/>
      </c>
      <c r="F434" s="20" t="str">
        <f t="shared" si="42"/>
        <v/>
      </c>
      <c r="G434" s="37" t="str">
        <f>IF('DDF Original'!B434="","",IF(TRIM('DDF Original'!P434)="",0,'DDF Original'!P434))</f>
        <v/>
      </c>
      <c r="H434" s="20" t="str">
        <f t="shared" si="43"/>
        <v/>
      </c>
      <c r="I434" s="25" t="str">
        <f t="shared" si="44"/>
        <v/>
      </c>
      <c r="J434" s="20" t="str">
        <f t="shared" si="45"/>
        <v/>
      </c>
      <c r="K434" s="20" t="str">
        <f t="shared" si="46"/>
        <v/>
      </c>
      <c r="L434" s="20" t="str">
        <f>IF(B434="","",70*'DDF Original'!$Q$4)</f>
        <v/>
      </c>
      <c r="M434" s="20" t="str">
        <f t="shared" si="47"/>
        <v/>
      </c>
      <c r="N434" s="20" t="str">
        <f>IF(AND(OR(B434="",J434&gt;G434,M434&gt;G434),'DDF Original'!L434&lt;&gt; "MI"),G434,IF(M434&gt;J434,M434,J434))</f>
        <v/>
      </c>
    </row>
    <row r="435" spans="2:14" x14ac:dyDescent="0.2">
      <c r="B435" s="19" t="str">
        <f>IF('DDF Original'!B435="","",'DDF Original'!B435)</f>
        <v/>
      </c>
      <c r="C435" s="19" t="e">
        <f t="shared" si="48"/>
        <v>#VALUE!</v>
      </c>
      <c r="D435" s="20" t="str">
        <f>IF('DDF Original'!C435="","",'DDF Original'!C435)</f>
        <v/>
      </c>
      <c r="E435" s="24" t="str">
        <f>IF('DDF Original'!B435="","",IF(TRIM('DDF Original'!I435)="",0,'DDF Original'!I435))</f>
        <v/>
      </c>
      <c r="F435" s="20" t="str">
        <f t="shared" si="42"/>
        <v/>
      </c>
      <c r="G435" s="37" t="str">
        <f>IF('DDF Original'!B435="","",IF(TRIM('DDF Original'!P435)="",0,'DDF Original'!P435))</f>
        <v/>
      </c>
      <c r="H435" s="20" t="str">
        <f t="shared" si="43"/>
        <v/>
      </c>
      <c r="I435" s="25" t="str">
        <f t="shared" si="44"/>
        <v/>
      </c>
      <c r="J435" s="20" t="str">
        <f t="shared" si="45"/>
        <v/>
      </c>
      <c r="K435" s="20" t="str">
        <f t="shared" si="46"/>
        <v/>
      </c>
      <c r="L435" s="20" t="str">
        <f>IF(B435="","",70*'DDF Original'!$Q$4)</f>
        <v/>
      </c>
      <c r="M435" s="20" t="str">
        <f t="shared" si="47"/>
        <v/>
      </c>
      <c r="N435" s="20" t="str">
        <f>IF(AND(OR(B435="",J435&gt;G435,M435&gt;G435),'DDF Original'!L435&lt;&gt; "MI"),G435,IF(M435&gt;J435,M435,J435))</f>
        <v/>
      </c>
    </row>
    <row r="436" spans="2:14" x14ac:dyDescent="0.2">
      <c r="B436" s="19" t="str">
        <f>IF('DDF Original'!B436="","",'DDF Original'!B436)</f>
        <v/>
      </c>
      <c r="C436" s="19" t="e">
        <f t="shared" si="48"/>
        <v>#VALUE!</v>
      </c>
      <c r="D436" s="20" t="str">
        <f>IF('DDF Original'!C436="","",'DDF Original'!C436)</f>
        <v/>
      </c>
      <c r="E436" s="24" t="str">
        <f>IF('DDF Original'!B436="","",IF(TRIM('DDF Original'!I436)="",0,'DDF Original'!I436))</f>
        <v/>
      </c>
      <c r="F436" s="20" t="str">
        <f t="shared" si="42"/>
        <v/>
      </c>
      <c r="G436" s="37" t="str">
        <f>IF('DDF Original'!B436="","",IF(TRIM('DDF Original'!P436)="",0,'DDF Original'!P436))</f>
        <v/>
      </c>
      <c r="H436" s="20" t="str">
        <f t="shared" si="43"/>
        <v/>
      </c>
      <c r="I436" s="25" t="str">
        <f t="shared" si="44"/>
        <v/>
      </c>
      <c r="J436" s="20" t="str">
        <f t="shared" si="45"/>
        <v/>
      </c>
      <c r="K436" s="20" t="str">
        <f t="shared" si="46"/>
        <v/>
      </c>
      <c r="L436" s="20" t="str">
        <f>IF(B436="","",70*'DDF Original'!$Q$4)</f>
        <v/>
      </c>
      <c r="M436" s="20" t="str">
        <f t="shared" si="47"/>
        <v/>
      </c>
      <c r="N436" s="20" t="str">
        <f>IF(AND(OR(B436="",J436&gt;G436,M436&gt;G436),'DDF Original'!L436&lt;&gt; "MI"),G436,IF(M436&gt;J436,M436,J436))</f>
        <v/>
      </c>
    </row>
    <row r="437" spans="2:14" x14ac:dyDescent="0.2">
      <c r="B437" s="19" t="str">
        <f>IF('DDF Original'!B437="","",'DDF Original'!B437)</f>
        <v/>
      </c>
      <c r="C437" s="19" t="e">
        <f t="shared" si="48"/>
        <v>#VALUE!</v>
      </c>
      <c r="D437" s="20" t="str">
        <f>IF('DDF Original'!C437="","",'DDF Original'!C437)</f>
        <v/>
      </c>
      <c r="E437" s="24" t="str">
        <f>IF('DDF Original'!B437="","",IF(TRIM('DDF Original'!I437)="",0,'DDF Original'!I437))</f>
        <v/>
      </c>
      <c r="F437" s="20" t="str">
        <f t="shared" si="42"/>
        <v/>
      </c>
      <c r="G437" s="37" t="str">
        <f>IF('DDF Original'!B437="","",IF(TRIM('DDF Original'!P437)="",0,'DDF Original'!P437))</f>
        <v/>
      </c>
      <c r="H437" s="20" t="str">
        <f t="shared" si="43"/>
        <v/>
      </c>
      <c r="I437" s="25" t="str">
        <f t="shared" si="44"/>
        <v/>
      </c>
      <c r="J437" s="20" t="str">
        <f t="shared" si="45"/>
        <v/>
      </c>
      <c r="K437" s="20" t="str">
        <f t="shared" si="46"/>
        <v/>
      </c>
      <c r="L437" s="20" t="str">
        <f>IF(B437="","",70*'DDF Original'!$Q$4)</f>
        <v/>
      </c>
      <c r="M437" s="20" t="str">
        <f t="shared" si="47"/>
        <v/>
      </c>
      <c r="N437" s="20" t="str">
        <f>IF(AND(OR(B437="",J437&gt;G437,M437&gt;G437),'DDF Original'!L437&lt;&gt; "MI"),G437,IF(M437&gt;J437,M437,J437))</f>
        <v/>
      </c>
    </row>
    <row r="438" spans="2:14" x14ac:dyDescent="0.2">
      <c r="B438" s="19" t="str">
        <f>IF('DDF Original'!B438="","",'DDF Original'!B438)</f>
        <v/>
      </c>
      <c r="C438" s="19" t="e">
        <f t="shared" si="48"/>
        <v>#VALUE!</v>
      </c>
      <c r="D438" s="20" t="str">
        <f>IF('DDF Original'!C438="","",'DDF Original'!C438)</f>
        <v/>
      </c>
      <c r="E438" s="24" t="str">
        <f>IF('DDF Original'!B438="","",IF(TRIM('DDF Original'!I438)="",0,'DDF Original'!I438))</f>
        <v/>
      </c>
      <c r="F438" s="20" t="str">
        <f t="shared" si="42"/>
        <v/>
      </c>
      <c r="G438" s="37" t="str">
        <f>IF('DDF Original'!B438="","",IF(TRIM('DDF Original'!P438)="",0,'DDF Original'!P438))</f>
        <v/>
      </c>
      <c r="H438" s="20" t="str">
        <f t="shared" si="43"/>
        <v/>
      </c>
      <c r="I438" s="25" t="str">
        <f t="shared" si="44"/>
        <v/>
      </c>
      <c r="J438" s="20" t="str">
        <f t="shared" si="45"/>
        <v/>
      </c>
      <c r="K438" s="20" t="str">
        <f t="shared" si="46"/>
        <v/>
      </c>
      <c r="L438" s="20" t="str">
        <f>IF(B438="","",70*'DDF Original'!$Q$4)</f>
        <v/>
      </c>
      <c r="M438" s="20" t="str">
        <f t="shared" si="47"/>
        <v/>
      </c>
      <c r="N438" s="20" t="str">
        <f>IF(AND(OR(B438="",J438&gt;G438,M438&gt;G438),'DDF Original'!L438&lt;&gt; "MI"),G438,IF(M438&gt;J438,M438,J438))</f>
        <v/>
      </c>
    </row>
    <row r="439" spans="2:14" x14ac:dyDescent="0.2">
      <c r="B439" s="19" t="str">
        <f>IF('DDF Original'!B439="","",'DDF Original'!B439)</f>
        <v/>
      </c>
      <c r="C439" s="19" t="e">
        <f t="shared" si="48"/>
        <v>#VALUE!</v>
      </c>
      <c r="D439" s="20" t="str">
        <f>IF('DDF Original'!C439="","",'DDF Original'!C439)</f>
        <v/>
      </c>
      <c r="E439" s="24" t="str">
        <f>IF('DDF Original'!B439="","",IF(TRIM('DDF Original'!I439)="",0,'DDF Original'!I439))</f>
        <v/>
      </c>
      <c r="F439" s="20" t="str">
        <f t="shared" si="42"/>
        <v/>
      </c>
      <c r="G439" s="37" t="str">
        <f>IF('DDF Original'!B439="","",IF(TRIM('DDF Original'!P439)="",0,'DDF Original'!P439))</f>
        <v/>
      </c>
      <c r="H439" s="20" t="str">
        <f t="shared" si="43"/>
        <v/>
      </c>
      <c r="I439" s="25" t="str">
        <f t="shared" si="44"/>
        <v/>
      </c>
      <c r="J439" s="20" t="str">
        <f t="shared" si="45"/>
        <v/>
      </c>
      <c r="K439" s="20" t="str">
        <f t="shared" si="46"/>
        <v/>
      </c>
      <c r="L439" s="20" t="str">
        <f>IF(B439="","",70*'DDF Original'!$Q$4)</f>
        <v/>
      </c>
      <c r="M439" s="20" t="str">
        <f t="shared" si="47"/>
        <v/>
      </c>
      <c r="N439" s="20" t="str">
        <f>IF(AND(OR(B439="",J439&gt;G439,M439&gt;G439),'DDF Original'!L439&lt;&gt; "MI"),G439,IF(M439&gt;J439,M439,J439))</f>
        <v/>
      </c>
    </row>
    <row r="440" spans="2:14" x14ac:dyDescent="0.2">
      <c r="B440" s="19" t="str">
        <f>IF('DDF Original'!B440="","",'DDF Original'!B440)</f>
        <v/>
      </c>
      <c r="C440" s="19" t="e">
        <f t="shared" si="48"/>
        <v>#VALUE!</v>
      </c>
      <c r="D440" s="20" t="str">
        <f>IF('DDF Original'!C440="","",'DDF Original'!C440)</f>
        <v/>
      </c>
      <c r="E440" s="24" t="str">
        <f>IF('DDF Original'!B440="","",IF(TRIM('DDF Original'!I440)="",0,'DDF Original'!I440))</f>
        <v/>
      </c>
      <c r="F440" s="20" t="str">
        <f t="shared" si="42"/>
        <v/>
      </c>
      <c r="G440" s="37" t="str">
        <f>IF('DDF Original'!B440="","",IF(TRIM('DDF Original'!P440)="",0,'DDF Original'!P440))</f>
        <v/>
      </c>
      <c r="H440" s="20" t="str">
        <f t="shared" si="43"/>
        <v/>
      </c>
      <c r="I440" s="25" t="str">
        <f t="shared" si="44"/>
        <v/>
      </c>
      <c r="J440" s="20" t="str">
        <f t="shared" si="45"/>
        <v/>
      </c>
      <c r="K440" s="20" t="str">
        <f t="shared" si="46"/>
        <v/>
      </c>
      <c r="L440" s="20" t="str">
        <f>IF(B440="","",70*'DDF Original'!$Q$4)</f>
        <v/>
      </c>
      <c r="M440" s="20" t="str">
        <f t="shared" si="47"/>
        <v/>
      </c>
      <c r="N440" s="20" t="str">
        <f>IF(AND(OR(B440="",J440&gt;G440,M440&gt;G440),'DDF Original'!L440&lt;&gt; "MI"),G440,IF(M440&gt;J440,M440,J440))</f>
        <v/>
      </c>
    </row>
    <row r="441" spans="2:14" x14ac:dyDescent="0.2">
      <c r="B441" s="19" t="str">
        <f>IF('DDF Original'!B441="","",'DDF Original'!B441)</f>
        <v/>
      </c>
      <c r="C441" s="19" t="e">
        <f t="shared" si="48"/>
        <v>#VALUE!</v>
      </c>
      <c r="D441" s="20" t="str">
        <f>IF('DDF Original'!C441="","",'DDF Original'!C441)</f>
        <v/>
      </c>
      <c r="E441" s="24" t="str">
        <f>IF('DDF Original'!B441="","",IF(TRIM('DDF Original'!I441)="",0,'DDF Original'!I441))</f>
        <v/>
      </c>
      <c r="F441" s="20" t="str">
        <f t="shared" si="42"/>
        <v/>
      </c>
      <c r="G441" s="37" t="str">
        <f>IF('DDF Original'!B441="","",IF(TRIM('DDF Original'!P441)="",0,'DDF Original'!P441))</f>
        <v/>
      </c>
      <c r="H441" s="20" t="str">
        <f t="shared" si="43"/>
        <v/>
      </c>
      <c r="I441" s="25" t="str">
        <f t="shared" si="44"/>
        <v/>
      </c>
      <c r="J441" s="20" t="str">
        <f t="shared" si="45"/>
        <v/>
      </c>
      <c r="K441" s="20" t="str">
        <f t="shared" si="46"/>
        <v/>
      </c>
      <c r="L441" s="20" t="str">
        <f>IF(B441="","",70*'DDF Original'!$Q$4)</f>
        <v/>
      </c>
      <c r="M441" s="20" t="str">
        <f t="shared" si="47"/>
        <v/>
      </c>
      <c r="N441" s="20" t="str">
        <f>IF(AND(OR(B441="",J441&gt;G441,M441&gt;G441),'DDF Original'!L441&lt;&gt; "MI"),G441,IF(M441&gt;J441,M441,J441))</f>
        <v/>
      </c>
    </row>
    <row r="442" spans="2:14" x14ac:dyDescent="0.2">
      <c r="B442" s="19" t="str">
        <f>IF('DDF Original'!B442="","",'DDF Original'!B442)</f>
        <v/>
      </c>
      <c r="C442" s="19" t="e">
        <f t="shared" si="48"/>
        <v>#VALUE!</v>
      </c>
      <c r="D442" s="20" t="str">
        <f>IF('DDF Original'!C442="","",'DDF Original'!C442)</f>
        <v/>
      </c>
      <c r="E442" s="24" t="str">
        <f>IF('DDF Original'!B442="","",IF(TRIM('DDF Original'!I442)="",0,'DDF Original'!I442))</f>
        <v/>
      </c>
      <c r="F442" s="20" t="str">
        <f t="shared" si="42"/>
        <v/>
      </c>
      <c r="G442" s="37" t="str">
        <f>IF('DDF Original'!B442="","",IF(TRIM('DDF Original'!P442)="",0,'DDF Original'!P442))</f>
        <v/>
      </c>
      <c r="H442" s="20" t="str">
        <f t="shared" si="43"/>
        <v/>
      </c>
      <c r="I442" s="25" t="str">
        <f t="shared" si="44"/>
        <v/>
      </c>
      <c r="J442" s="20" t="str">
        <f t="shared" si="45"/>
        <v/>
      </c>
      <c r="K442" s="20" t="str">
        <f t="shared" si="46"/>
        <v/>
      </c>
      <c r="L442" s="20" t="str">
        <f>IF(B442="","",70*'DDF Original'!$Q$4)</f>
        <v/>
      </c>
      <c r="M442" s="20" t="str">
        <f t="shared" si="47"/>
        <v/>
      </c>
      <c r="N442" s="20" t="str">
        <f>IF(AND(OR(B442="",J442&gt;G442,M442&gt;G442),'DDF Original'!L442&lt;&gt; "MI"),G442,IF(M442&gt;J442,M442,J442))</f>
        <v/>
      </c>
    </row>
    <row r="443" spans="2:14" x14ac:dyDescent="0.2">
      <c r="B443" s="19" t="str">
        <f>IF('DDF Original'!B443="","",'DDF Original'!B443)</f>
        <v/>
      </c>
      <c r="C443" s="19" t="e">
        <f t="shared" si="48"/>
        <v>#VALUE!</v>
      </c>
      <c r="D443" s="20" t="str">
        <f>IF('DDF Original'!C443="","",'DDF Original'!C443)</f>
        <v/>
      </c>
      <c r="E443" s="24" t="str">
        <f>IF('DDF Original'!B443="","",IF(TRIM('DDF Original'!I443)="",0,'DDF Original'!I443))</f>
        <v/>
      </c>
      <c r="F443" s="20" t="str">
        <f t="shared" si="42"/>
        <v/>
      </c>
      <c r="G443" s="37" t="str">
        <f>IF('DDF Original'!B443="","",IF(TRIM('DDF Original'!P443)="",0,'DDF Original'!P443))</f>
        <v/>
      </c>
      <c r="H443" s="20" t="str">
        <f t="shared" si="43"/>
        <v/>
      </c>
      <c r="I443" s="25" t="str">
        <f t="shared" si="44"/>
        <v/>
      </c>
      <c r="J443" s="20" t="str">
        <f t="shared" si="45"/>
        <v/>
      </c>
      <c r="K443" s="20" t="str">
        <f t="shared" si="46"/>
        <v/>
      </c>
      <c r="L443" s="20" t="str">
        <f>IF(B443="","",70*'DDF Original'!$Q$4)</f>
        <v/>
      </c>
      <c r="M443" s="20" t="str">
        <f t="shared" si="47"/>
        <v/>
      </c>
      <c r="N443" s="20" t="str">
        <f>IF(AND(OR(B443="",J443&gt;G443,M443&gt;G443),'DDF Original'!L443&lt;&gt; "MI"),G443,IF(M443&gt;J443,M443,J443))</f>
        <v/>
      </c>
    </row>
    <row r="444" spans="2:14" x14ac:dyDescent="0.2">
      <c r="B444" s="19" t="str">
        <f>IF('DDF Original'!B444="","",'DDF Original'!B444)</f>
        <v/>
      </c>
      <c r="C444" s="19" t="e">
        <f t="shared" si="48"/>
        <v>#VALUE!</v>
      </c>
      <c r="D444" s="20" t="str">
        <f>IF('DDF Original'!C444="","",'DDF Original'!C444)</f>
        <v/>
      </c>
      <c r="E444" s="24" t="str">
        <f>IF('DDF Original'!B444="","",IF(TRIM('DDF Original'!I444)="",0,'DDF Original'!I444))</f>
        <v/>
      </c>
      <c r="F444" s="20" t="str">
        <f t="shared" si="42"/>
        <v/>
      </c>
      <c r="G444" s="37" t="str">
        <f>IF('DDF Original'!B444="","",IF(TRIM('DDF Original'!P444)="",0,'DDF Original'!P444))</f>
        <v/>
      </c>
      <c r="H444" s="20" t="str">
        <f t="shared" si="43"/>
        <v/>
      </c>
      <c r="I444" s="25" t="str">
        <f t="shared" si="44"/>
        <v/>
      </c>
      <c r="J444" s="20" t="str">
        <f t="shared" si="45"/>
        <v/>
      </c>
      <c r="K444" s="20" t="str">
        <f t="shared" si="46"/>
        <v/>
      </c>
      <c r="L444" s="20" t="str">
        <f>IF(B444="","",70*'DDF Original'!$Q$4)</f>
        <v/>
      </c>
      <c r="M444" s="20" t="str">
        <f t="shared" si="47"/>
        <v/>
      </c>
      <c r="N444" s="20" t="str">
        <f>IF(AND(OR(B444="",J444&gt;G444,M444&gt;G444),'DDF Original'!L444&lt;&gt; "MI"),G444,IF(M444&gt;J444,M444,J444))</f>
        <v/>
      </c>
    </row>
    <row r="445" spans="2:14" x14ac:dyDescent="0.2">
      <c r="B445" s="19" t="str">
        <f>IF('DDF Original'!B445="","",'DDF Original'!B445)</f>
        <v/>
      </c>
      <c r="C445" s="19" t="e">
        <f t="shared" si="48"/>
        <v>#VALUE!</v>
      </c>
      <c r="D445" s="20" t="str">
        <f>IF('DDF Original'!C445="","",'DDF Original'!C445)</f>
        <v/>
      </c>
      <c r="E445" s="24" t="str">
        <f>IF('DDF Original'!B445="","",IF(TRIM('DDF Original'!I445)="",0,'DDF Original'!I445))</f>
        <v/>
      </c>
      <c r="F445" s="20" t="str">
        <f t="shared" si="42"/>
        <v/>
      </c>
      <c r="G445" s="37" t="str">
        <f>IF('DDF Original'!B445="","",IF(TRIM('DDF Original'!P445)="",0,'DDF Original'!P445))</f>
        <v/>
      </c>
      <c r="H445" s="20" t="str">
        <f t="shared" si="43"/>
        <v/>
      </c>
      <c r="I445" s="25" t="str">
        <f t="shared" si="44"/>
        <v/>
      </c>
      <c r="J445" s="20" t="str">
        <f t="shared" si="45"/>
        <v/>
      </c>
      <c r="K445" s="20" t="str">
        <f t="shared" si="46"/>
        <v/>
      </c>
      <c r="L445" s="20" t="str">
        <f>IF(B445="","",70*'DDF Original'!$Q$4)</f>
        <v/>
      </c>
      <c r="M445" s="20" t="str">
        <f t="shared" si="47"/>
        <v/>
      </c>
      <c r="N445" s="20" t="str">
        <f>IF(AND(OR(B445="",J445&gt;G445,M445&gt;G445),'DDF Original'!L445&lt;&gt; "MI"),G445,IF(M445&gt;J445,M445,J445))</f>
        <v/>
      </c>
    </row>
    <row r="446" spans="2:14" x14ac:dyDescent="0.2">
      <c r="B446" s="19" t="str">
        <f>IF('DDF Original'!B446="","",'DDF Original'!B446)</f>
        <v/>
      </c>
      <c r="C446" s="19" t="e">
        <f t="shared" si="48"/>
        <v>#VALUE!</v>
      </c>
      <c r="D446" s="20" t="str">
        <f>IF('DDF Original'!C446="","",'DDF Original'!C446)</f>
        <v/>
      </c>
      <c r="E446" s="24" t="str">
        <f>IF('DDF Original'!B446="","",IF(TRIM('DDF Original'!I446)="",0,'DDF Original'!I446))</f>
        <v/>
      </c>
      <c r="F446" s="20" t="str">
        <f t="shared" si="42"/>
        <v/>
      </c>
      <c r="G446" s="37" t="str">
        <f>IF('DDF Original'!B446="","",IF(TRIM('DDF Original'!P446)="",0,'DDF Original'!P446))</f>
        <v/>
      </c>
      <c r="H446" s="20" t="str">
        <f t="shared" si="43"/>
        <v/>
      </c>
      <c r="I446" s="25" t="str">
        <f t="shared" si="44"/>
        <v/>
      </c>
      <c r="J446" s="20" t="str">
        <f t="shared" si="45"/>
        <v/>
      </c>
      <c r="K446" s="20" t="str">
        <f t="shared" si="46"/>
        <v/>
      </c>
      <c r="L446" s="20" t="str">
        <f>IF(B446="","",70*'DDF Original'!$Q$4)</f>
        <v/>
      </c>
      <c r="M446" s="20" t="str">
        <f t="shared" si="47"/>
        <v/>
      </c>
      <c r="N446" s="20" t="str">
        <f>IF(AND(OR(B446="",J446&gt;G446,M446&gt;G446),'DDF Original'!L446&lt;&gt; "MI"),G446,IF(M446&gt;J446,M446,J446))</f>
        <v/>
      </c>
    </row>
    <row r="447" spans="2:14" x14ac:dyDescent="0.2">
      <c r="B447" s="19" t="str">
        <f>IF('DDF Original'!B447="","",'DDF Original'!B447)</f>
        <v/>
      </c>
      <c r="C447" s="19" t="e">
        <f t="shared" si="48"/>
        <v>#VALUE!</v>
      </c>
      <c r="D447" s="20" t="str">
        <f>IF('DDF Original'!C447="","",'DDF Original'!C447)</f>
        <v/>
      </c>
      <c r="E447" s="24" t="str">
        <f>IF('DDF Original'!B447="","",IF(TRIM('DDF Original'!I447)="",0,'DDF Original'!I447))</f>
        <v/>
      </c>
      <c r="F447" s="20" t="str">
        <f t="shared" si="42"/>
        <v/>
      </c>
      <c r="G447" s="37" t="str">
        <f>IF('DDF Original'!B447="","",IF(TRIM('DDF Original'!P447)="",0,'DDF Original'!P447))</f>
        <v/>
      </c>
      <c r="H447" s="20" t="str">
        <f t="shared" si="43"/>
        <v/>
      </c>
      <c r="I447" s="25" t="str">
        <f t="shared" si="44"/>
        <v/>
      </c>
      <c r="J447" s="20" t="str">
        <f t="shared" si="45"/>
        <v/>
      </c>
      <c r="K447" s="20" t="str">
        <f t="shared" si="46"/>
        <v/>
      </c>
      <c r="L447" s="20" t="str">
        <f>IF(B447="","",70*'DDF Original'!$Q$4)</f>
        <v/>
      </c>
      <c r="M447" s="20" t="str">
        <f t="shared" si="47"/>
        <v/>
      </c>
      <c r="N447" s="20" t="str">
        <f>IF(AND(OR(B447="",J447&gt;G447,M447&gt;G447),'DDF Original'!L447&lt;&gt; "MI"),G447,IF(M447&gt;J447,M447,J447))</f>
        <v/>
      </c>
    </row>
    <row r="448" spans="2:14" x14ac:dyDescent="0.2">
      <c r="B448" s="19" t="str">
        <f>IF('DDF Original'!B448="","",'DDF Original'!B448)</f>
        <v/>
      </c>
      <c r="C448" s="19" t="e">
        <f t="shared" si="48"/>
        <v>#VALUE!</v>
      </c>
      <c r="D448" s="20" t="str">
        <f>IF('DDF Original'!C448="","",'DDF Original'!C448)</f>
        <v/>
      </c>
      <c r="E448" s="24" t="str">
        <f>IF('DDF Original'!B448="","",IF(TRIM('DDF Original'!I448)="",0,'DDF Original'!I448))</f>
        <v/>
      </c>
      <c r="F448" s="20" t="str">
        <f t="shared" si="42"/>
        <v/>
      </c>
      <c r="G448" s="37" t="str">
        <f>IF('DDF Original'!B448="","",IF(TRIM('DDF Original'!P448)="",0,'DDF Original'!P448))</f>
        <v/>
      </c>
      <c r="H448" s="20" t="str">
        <f t="shared" si="43"/>
        <v/>
      </c>
      <c r="I448" s="25" t="str">
        <f t="shared" si="44"/>
        <v/>
      </c>
      <c r="J448" s="20" t="str">
        <f t="shared" si="45"/>
        <v/>
      </c>
      <c r="K448" s="20" t="str">
        <f t="shared" si="46"/>
        <v/>
      </c>
      <c r="L448" s="20" t="str">
        <f>IF(B448="","",70*'DDF Original'!$Q$4)</f>
        <v/>
      </c>
      <c r="M448" s="20" t="str">
        <f t="shared" si="47"/>
        <v/>
      </c>
      <c r="N448" s="20" t="str">
        <f>IF(AND(OR(B448="",J448&gt;G448,M448&gt;G448),'DDF Original'!L448&lt;&gt; "MI"),G448,IF(M448&gt;J448,M448,J448))</f>
        <v/>
      </c>
    </row>
    <row r="449" spans="2:14" x14ac:dyDescent="0.2">
      <c r="B449" s="19" t="str">
        <f>IF('DDF Original'!B449="","",'DDF Original'!B449)</f>
        <v/>
      </c>
      <c r="C449" s="19" t="e">
        <f t="shared" si="48"/>
        <v>#VALUE!</v>
      </c>
      <c r="D449" s="20" t="str">
        <f>IF('DDF Original'!C449="","",'DDF Original'!C449)</f>
        <v/>
      </c>
      <c r="E449" s="24" t="str">
        <f>IF('DDF Original'!B449="","",IF(TRIM('DDF Original'!I449)="",0,'DDF Original'!I449))</f>
        <v/>
      </c>
      <c r="F449" s="20" t="str">
        <f t="shared" si="42"/>
        <v/>
      </c>
      <c r="G449" s="37" t="str">
        <f>IF('DDF Original'!B449="","",IF(TRIM('DDF Original'!P449)="",0,'DDF Original'!P449))</f>
        <v/>
      </c>
      <c r="H449" s="20" t="str">
        <f t="shared" si="43"/>
        <v/>
      </c>
      <c r="I449" s="25" t="str">
        <f t="shared" si="44"/>
        <v/>
      </c>
      <c r="J449" s="20" t="str">
        <f t="shared" si="45"/>
        <v/>
      </c>
      <c r="K449" s="20" t="str">
        <f t="shared" si="46"/>
        <v/>
      </c>
      <c r="L449" s="20" t="str">
        <f>IF(B449="","",70*'DDF Original'!$Q$4)</f>
        <v/>
      </c>
      <c r="M449" s="20" t="str">
        <f t="shared" si="47"/>
        <v/>
      </c>
      <c r="N449" s="20" t="str">
        <f>IF(AND(OR(B449="",J449&gt;G449,M449&gt;G449),'DDF Original'!L449&lt;&gt; "MI"),G449,IF(M449&gt;J449,M449,J449))</f>
        <v/>
      </c>
    </row>
    <row r="450" spans="2:14" x14ac:dyDescent="0.2">
      <c r="B450" s="19" t="str">
        <f>IF('DDF Original'!B450="","",'DDF Original'!B450)</f>
        <v/>
      </c>
      <c r="C450" s="19" t="e">
        <f t="shared" si="48"/>
        <v>#VALUE!</v>
      </c>
      <c r="D450" s="20" t="str">
        <f>IF('DDF Original'!C450="","",'DDF Original'!C450)</f>
        <v/>
      </c>
      <c r="E450" s="24" t="str">
        <f>IF('DDF Original'!B450="","",IF(TRIM('DDF Original'!I450)="",0,'DDF Original'!I450))</f>
        <v/>
      </c>
      <c r="F450" s="20" t="str">
        <f t="shared" si="42"/>
        <v/>
      </c>
      <c r="G450" s="37" t="str">
        <f>IF('DDF Original'!B450="","",IF(TRIM('DDF Original'!P450)="",0,'DDF Original'!P450))</f>
        <v/>
      </c>
      <c r="H450" s="20" t="str">
        <f t="shared" si="43"/>
        <v/>
      </c>
      <c r="I450" s="25" t="str">
        <f t="shared" si="44"/>
        <v/>
      </c>
      <c r="J450" s="20" t="str">
        <f t="shared" si="45"/>
        <v/>
      </c>
      <c r="K450" s="20" t="str">
        <f t="shared" si="46"/>
        <v/>
      </c>
      <c r="L450" s="20" t="str">
        <f>IF(B450="","",70*'DDF Original'!$Q$4)</f>
        <v/>
      </c>
      <c r="M450" s="20" t="str">
        <f t="shared" si="47"/>
        <v/>
      </c>
      <c r="N450" s="20" t="str">
        <f>IF(AND(OR(B450="",J450&gt;G450,M450&gt;G450),'DDF Original'!L450&lt;&gt; "MI"),G450,IF(M450&gt;J450,M450,J450))</f>
        <v/>
      </c>
    </row>
    <row r="451" spans="2:14" x14ac:dyDescent="0.2">
      <c r="B451" s="19" t="str">
        <f>IF('DDF Original'!B451="","",'DDF Original'!B451)</f>
        <v/>
      </c>
      <c r="C451" s="19" t="e">
        <f t="shared" si="48"/>
        <v>#VALUE!</v>
      </c>
      <c r="D451" s="20" t="str">
        <f>IF('DDF Original'!C451="","",'DDF Original'!C451)</f>
        <v/>
      </c>
      <c r="E451" s="24" t="str">
        <f>IF('DDF Original'!B451="","",IF(TRIM('DDF Original'!I451)="",0,'DDF Original'!I451))</f>
        <v/>
      </c>
      <c r="F451" s="20" t="str">
        <f t="shared" si="42"/>
        <v/>
      </c>
      <c r="G451" s="37" t="str">
        <f>IF('DDF Original'!B451="","",IF(TRIM('DDF Original'!P451)="",0,'DDF Original'!P451))</f>
        <v/>
      </c>
      <c r="H451" s="20" t="str">
        <f t="shared" si="43"/>
        <v/>
      </c>
      <c r="I451" s="25" t="str">
        <f t="shared" si="44"/>
        <v/>
      </c>
      <c r="J451" s="20" t="str">
        <f t="shared" si="45"/>
        <v/>
      </c>
      <c r="K451" s="20" t="str">
        <f t="shared" si="46"/>
        <v/>
      </c>
      <c r="L451" s="20" t="str">
        <f>IF(B451="","",70*'DDF Original'!$Q$4)</f>
        <v/>
      </c>
      <c r="M451" s="20" t="str">
        <f t="shared" si="47"/>
        <v/>
      </c>
      <c r="N451" s="20" t="str">
        <f>IF(AND(OR(B451="",J451&gt;G451,M451&gt;G451),'DDF Original'!L451&lt;&gt; "MI"),G451,IF(M451&gt;J451,M451,J451))</f>
        <v/>
      </c>
    </row>
    <row r="452" spans="2:14" x14ac:dyDescent="0.2">
      <c r="B452" s="19" t="str">
        <f>IF('DDF Original'!B452="","",'DDF Original'!B452)</f>
        <v/>
      </c>
      <c r="C452" s="19" t="e">
        <f t="shared" si="48"/>
        <v>#VALUE!</v>
      </c>
      <c r="D452" s="20" t="str">
        <f>IF('DDF Original'!C452="","",'DDF Original'!C452)</f>
        <v/>
      </c>
      <c r="E452" s="24" t="str">
        <f>IF('DDF Original'!B452="","",IF(TRIM('DDF Original'!I452)="",0,'DDF Original'!I452))</f>
        <v/>
      </c>
      <c r="F452" s="20" t="str">
        <f t="shared" si="42"/>
        <v/>
      </c>
      <c r="G452" s="37" t="str">
        <f>IF('DDF Original'!B452="","",IF(TRIM('DDF Original'!P452)="",0,'DDF Original'!P452))</f>
        <v/>
      </c>
      <c r="H452" s="20" t="str">
        <f t="shared" si="43"/>
        <v/>
      </c>
      <c r="I452" s="25" t="str">
        <f t="shared" si="44"/>
        <v/>
      </c>
      <c r="J452" s="20" t="str">
        <f t="shared" si="45"/>
        <v/>
      </c>
      <c r="K452" s="20" t="str">
        <f t="shared" si="46"/>
        <v/>
      </c>
      <c r="L452" s="20" t="str">
        <f>IF(B452="","",70*'DDF Original'!$Q$4)</f>
        <v/>
      </c>
      <c r="M452" s="20" t="str">
        <f t="shared" si="47"/>
        <v/>
      </c>
      <c r="N452" s="20" t="str">
        <f>IF(AND(OR(B452="",J452&gt;G452,M452&gt;G452),'DDF Original'!L452&lt;&gt; "MI"),G452,IF(M452&gt;J452,M452,J452))</f>
        <v/>
      </c>
    </row>
    <row r="453" spans="2:14" x14ac:dyDescent="0.2">
      <c r="B453" s="19" t="str">
        <f>IF('DDF Original'!B453="","",'DDF Original'!B453)</f>
        <v/>
      </c>
      <c r="C453" s="19" t="e">
        <f t="shared" si="48"/>
        <v>#VALUE!</v>
      </c>
      <c r="D453" s="20" t="str">
        <f>IF('DDF Original'!C453="","",'DDF Original'!C453)</f>
        <v/>
      </c>
      <c r="E453" s="24" t="str">
        <f>IF('DDF Original'!B453="","",IF(TRIM('DDF Original'!I453)="",0,'DDF Original'!I453))</f>
        <v/>
      </c>
      <c r="F453" s="20" t="str">
        <f t="shared" si="42"/>
        <v/>
      </c>
      <c r="G453" s="37" t="str">
        <f>IF('DDF Original'!B453="","",IF(TRIM('DDF Original'!P453)="",0,'DDF Original'!P453))</f>
        <v/>
      </c>
      <c r="H453" s="20" t="str">
        <f t="shared" si="43"/>
        <v/>
      </c>
      <c r="I453" s="25" t="str">
        <f t="shared" si="44"/>
        <v/>
      </c>
      <c r="J453" s="20" t="str">
        <f t="shared" si="45"/>
        <v/>
      </c>
      <c r="K453" s="20" t="str">
        <f t="shared" si="46"/>
        <v/>
      </c>
      <c r="L453" s="20" t="str">
        <f>IF(B453="","",70*'DDF Original'!$Q$4)</f>
        <v/>
      </c>
      <c r="M453" s="20" t="str">
        <f t="shared" si="47"/>
        <v/>
      </c>
      <c r="N453" s="20" t="str">
        <f>IF(AND(OR(B453="",J453&gt;G453,M453&gt;G453),'DDF Original'!L453&lt;&gt; "MI"),G453,IF(M453&gt;J453,M453,J453))</f>
        <v/>
      </c>
    </row>
    <row r="454" spans="2:14" x14ac:dyDescent="0.2">
      <c r="B454" s="19" t="str">
        <f>IF('DDF Original'!B454="","",'DDF Original'!B454)</f>
        <v/>
      </c>
      <c r="C454" s="19" t="e">
        <f t="shared" si="48"/>
        <v>#VALUE!</v>
      </c>
      <c r="D454" s="20" t="str">
        <f>IF('DDF Original'!C454="","",'DDF Original'!C454)</f>
        <v/>
      </c>
      <c r="E454" s="24" t="str">
        <f>IF('DDF Original'!B454="","",IF(TRIM('DDF Original'!I454)="",0,'DDF Original'!I454))</f>
        <v/>
      </c>
      <c r="F454" s="20" t="str">
        <f t="shared" si="42"/>
        <v/>
      </c>
      <c r="G454" s="37" t="str">
        <f>IF('DDF Original'!B454="","",IF(TRIM('DDF Original'!P454)="",0,'DDF Original'!P454))</f>
        <v/>
      </c>
      <c r="H454" s="20" t="str">
        <f t="shared" si="43"/>
        <v/>
      </c>
      <c r="I454" s="25" t="str">
        <f t="shared" si="44"/>
        <v/>
      </c>
      <c r="J454" s="20" t="str">
        <f t="shared" si="45"/>
        <v/>
      </c>
      <c r="K454" s="20" t="str">
        <f t="shared" si="46"/>
        <v/>
      </c>
      <c r="L454" s="20" t="str">
        <f>IF(B454="","",70*'DDF Original'!$Q$4)</f>
        <v/>
      </c>
      <c r="M454" s="20" t="str">
        <f t="shared" si="47"/>
        <v/>
      </c>
      <c r="N454" s="20" t="str">
        <f>IF(AND(OR(B454="",J454&gt;G454,M454&gt;G454),'DDF Original'!L454&lt;&gt; "MI"),G454,IF(M454&gt;J454,M454,J454))</f>
        <v/>
      </c>
    </row>
    <row r="455" spans="2:14" x14ac:dyDescent="0.2">
      <c r="B455" s="19" t="str">
        <f>IF('DDF Original'!B455="","",'DDF Original'!B455)</f>
        <v/>
      </c>
      <c r="C455" s="19" t="e">
        <f t="shared" si="48"/>
        <v>#VALUE!</v>
      </c>
      <c r="D455" s="20" t="str">
        <f>IF('DDF Original'!C455="","",'DDF Original'!C455)</f>
        <v/>
      </c>
      <c r="E455" s="24" t="str">
        <f>IF('DDF Original'!B455="","",IF(TRIM('DDF Original'!I455)="",0,'DDF Original'!I455))</f>
        <v/>
      </c>
      <c r="F455" s="20" t="str">
        <f t="shared" si="42"/>
        <v/>
      </c>
      <c r="G455" s="37" t="str">
        <f>IF('DDF Original'!B455="","",IF(TRIM('DDF Original'!P455)="",0,'DDF Original'!P455))</f>
        <v/>
      </c>
      <c r="H455" s="20" t="str">
        <f t="shared" si="43"/>
        <v/>
      </c>
      <c r="I455" s="25" t="str">
        <f t="shared" si="44"/>
        <v/>
      </c>
      <c r="J455" s="20" t="str">
        <f t="shared" si="45"/>
        <v/>
      </c>
      <c r="K455" s="20" t="str">
        <f t="shared" si="46"/>
        <v/>
      </c>
      <c r="L455" s="20" t="str">
        <f>IF(B455="","",70*'DDF Original'!$Q$4)</f>
        <v/>
      </c>
      <c r="M455" s="20" t="str">
        <f t="shared" si="47"/>
        <v/>
      </c>
      <c r="N455" s="20" t="str">
        <f>IF(AND(OR(B455="",J455&gt;G455,M455&gt;G455),'DDF Original'!L455&lt;&gt; "MI"),G455,IF(M455&gt;J455,M455,J455))</f>
        <v/>
      </c>
    </row>
    <row r="456" spans="2:14" x14ac:dyDescent="0.2">
      <c r="B456" s="19" t="str">
        <f>IF('DDF Original'!B456="","",'DDF Original'!B456)</f>
        <v/>
      </c>
      <c r="C456" s="19" t="e">
        <f t="shared" si="48"/>
        <v>#VALUE!</v>
      </c>
      <c r="D456" s="20" t="str">
        <f>IF('DDF Original'!C456="","",'DDF Original'!C456)</f>
        <v/>
      </c>
      <c r="E456" s="24" t="str">
        <f>IF('DDF Original'!B456="","",IF(TRIM('DDF Original'!I456)="",0,'DDF Original'!I456))</f>
        <v/>
      </c>
      <c r="F456" s="20" t="str">
        <f t="shared" si="42"/>
        <v/>
      </c>
      <c r="G456" s="37" t="str">
        <f>IF('DDF Original'!B456="","",IF(TRIM('DDF Original'!P456)="",0,'DDF Original'!P456))</f>
        <v/>
      </c>
      <c r="H456" s="20" t="str">
        <f t="shared" si="43"/>
        <v/>
      </c>
      <c r="I456" s="25" t="str">
        <f t="shared" si="44"/>
        <v/>
      </c>
      <c r="J456" s="20" t="str">
        <f t="shared" si="45"/>
        <v/>
      </c>
      <c r="K456" s="20" t="str">
        <f t="shared" si="46"/>
        <v/>
      </c>
      <c r="L456" s="20" t="str">
        <f>IF(B456="","",70*'DDF Original'!$Q$4)</f>
        <v/>
      </c>
      <c r="M456" s="20" t="str">
        <f t="shared" si="47"/>
        <v/>
      </c>
      <c r="N456" s="20" t="str">
        <f>IF(AND(OR(B456="",J456&gt;G456,M456&gt;G456),'DDF Original'!L456&lt;&gt; "MI"),G456,IF(M456&gt;J456,M456,J456))</f>
        <v/>
      </c>
    </row>
    <row r="457" spans="2:14" x14ac:dyDescent="0.2">
      <c r="B457" s="19" t="str">
        <f>IF('DDF Original'!B457="","",'DDF Original'!B457)</f>
        <v/>
      </c>
      <c r="C457" s="19" t="e">
        <f t="shared" si="48"/>
        <v>#VALUE!</v>
      </c>
      <c r="D457" s="20" t="str">
        <f>IF('DDF Original'!C457="","",'DDF Original'!C457)</f>
        <v/>
      </c>
      <c r="E457" s="24" t="str">
        <f>IF('DDF Original'!B457="","",IF(TRIM('DDF Original'!I457)="",0,'DDF Original'!I457))</f>
        <v/>
      </c>
      <c r="F457" s="20" t="str">
        <f t="shared" ref="F457:F508" si="49">IF(D457="",D457,ROUND(D457*(1+E457/100),2))</f>
        <v/>
      </c>
      <c r="G457" s="37" t="str">
        <f>IF('DDF Original'!B457="","",IF(TRIM('DDF Original'!P457)="",0,'DDF Original'!P457))</f>
        <v/>
      </c>
      <c r="H457" s="20" t="str">
        <f t="shared" ref="H457:H508" si="50">IF(OR(D457=0,D457=""),G457,F457)</f>
        <v/>
      </c>
      <c r="I457" s="25" t="str">
        <f t="shared" ref="I457:I508" si="51">IF(B457="","",IF(OR(D457=0,D457=""),50,35))</f>
        <v/>
      </c>
      <c r="J457" s="20" t="str">
        <f t="shared" ref="J457:J508" si="52">IF(B457="","",ROUND(H457*I457/100,2))</f>
        <v/>
      </c>
      <c r="K457" s="20" t="str">
        <f t="shared" ref="K457:K508" si="53">IF(B457="","",SUMIFS($J$9:$J$508,$C$9:$C$508,"="&amp;C457))</f>
        <v/>
      </c>
      <c r="L457" s="20" t="str">
        <f>IF(B457="","",70*'DDF Original'!$Q$4)</f>
        <v/>
      </c>
      <c r="M457" s="20" t="str">
        <f t="shared" ref="M457:M508" si="54">IF(B457="","",ROUND(J457/K457*L457,2))</f>
        <v/>
      </c>
      <c r="N457" s="20" t="str">
        <f>IF(AND(OR(B457="",J457&gt;G457,M457&gt;G457),'DDF Original'!L457&lt;&gt; "MI"),G457,IF(M457&gt;J457,M457,J457))</f>
        <v/>
      </c>
    </row>
    <row r="458" spans="2:14" x14ac:dyDescent="0.2">
      <c r="B458" s="19" t="str">
        <f>IF('DDF Original'!B458="","",'DDF Original'!B458)</f>
        <v/>
      </c>
      <c r="C458" s="19" t="e">
        <f t="shared" ref="C458:C508" si="55">LEFT(B458,FIND(".",B458)-1)</f>
        <v>#VALUE!</v>
      </c>
      <c r="D458" s="20" t="str">
        <f>IF('DDF Original'!C458="","",'DDF Original'!C458)</f>
        <v/>
      </c>
      <c r="E458" s="24" t="str">
        <f>IF('DDF Original'!B458="","",IF(TRIM('DDF Original'!I458)="",0,'DDF Original'!I458))</f>
        <v/>
      </c>
      <c r="F458" s="20" t="str">
        <f t="shared" si="49"/>
        <v/>
      </c>
      <c r="G458" s="37" t="str">
        <f>IF('DDF Original'!B458="","",IF(TRIM('DDF Original'!P458)="",0,'DDF Original'!P458))</f>
        <v/>
      </c>
      <c r="H458" s="20" t="str">
        <f t="shared" si="50"/>
        <v/>
      </c>
      <c r="I458" s="25" t="str">
        <f t="shared" si="51"/>
        <v/>
      </c>
      <c r="J458" s="20" t="str">
        <f t="shared" si="52"/>
        <v/>
      </c>
      <c r="K458" s="20" t="str">
        <f t="shared" si="53"/>
        <v/>
      </c>
      <c r="L458" s="20" t="str">
        <f>IF(B458="","",70*'DDF Original'!$Q$4)</f>
        <v/>
      </c>
      <c r="M458" s="20" t="str">
        <f t="shared" si="54"/>
        <v/>
      </c>
      <c r="N458" s="20" t="str">
        <f>IF(AND(OR(B458="",J458&gt;G458,M458&gt;G458),'DDF Original'!L458&lt;&gt; "MI"),G458,IF(M458&gt;J458,M458,J458))</f>
        <v/>
      </c>
    </row>
    <row r="459" spans="2:14" x14ac:dyDescent="0.2">
      <c r="B459" s="19" t="str">
        <f>IF('DDF Original'!B459="","",'DDF Original'!B459)</f>
        <v/>
      </c>
      <c r="C459" s="19" t="e">
        <f t="shared" si="55"/>
        <v>#VALUE!</v>
      </c>
      <c r="D459" s="20" t="str">
        <f>IF('DDF Original'!C459="","",'DDF Original'!C459)</f>
        <v/>
      </c>
      <c r="E459" s="24" t="str">
        <f>IF('DDF Original'!B459="","",IF(TRIM('DDF Original'!I459)="",0,'DDF Original'!I459))</f>
        <v/>
      </c>
      <c r="F459" s="20" t="str">
        <f t="shared" si="49"/>
        <v/>
      </c>
      <c r="G459" s="37" t="str">
        <f>IF('DDF Original'!B459="","",IF(TRIM('DDF Original'!P459)="",0,'DDF Original'!P459))</f>
        <v/>
      </c>
      <c r="H459" s="20" t="str">
        <f t="shared" si="50"/>
        <v/>
      </c>
      <c r="I459" s="25" t="str">
        <f t="shared" si="51"/>
        <v/>
      </c>
      <c r="J459" s="20" t="str">
        <f t="shared" si="52"/>
        <v/>
      </c>
      <c r="K459" s="20" t="str">
        <f t="shared" si="53"/>
        <v/>
      </c>
      <c r="L459" s="20" t="str">
        <f>IF(B459="","",70*'DDF Original'!$Q$4)</f>
        <v/>
      </c>
      <c r="M459" s="20" t="str">
        <f t="shared" si="54"/>
        <v/>
      </c>
      <c r="N459" s="20" t="str">
        <f>IF(AND(OR(B459="",J459&gt;G459,M459&gt;G459),'DDF Original'!L459&lt;&gt; "MI"),G459,IF(M459&gt;J459,M459,J459))</f>
        <v/>
      </c>
    </row>
    <row r="460" spans="2:14" x14ac:dyDescent="0.2">
      <c r="B460" s="19" t="str">
        <f>IF('DDF Original'!B460="","",'DDF Original'!B460)</f>
        <v/>
      </c>
      <c r="C460" s="19" t="e">
        <f t="shared" si="55"/>
        <v>#VALUE!</v>
      </c>
      <c r="D460" s="20" t="str">
        <f>IF('DDF Original'!C460="","",'DDF Original'!C460)</f>
        <v/>
      </c>
      <c r="E460" s="24" t="str">
        <f>IF('DDF Original'!B460="","",IF(TRIM('DDF Original'!I460)="",0,'DDF Original'!I460))</f>
        <v/>
      </c>
      <c r="F460" s="20" t="str">
        <f t="shared" si="49"/>
        <v/>
      </c>
      <c r="G460" s="37" t="str">
        <f>IF('DDF Original'!B460="","",IF(TRIM('DDF Original'!P460)="",0,'DDF Original'!P460))</f>
        <v/>
      </c>
      <c r="H460" s="20" t="str">
        <f t="shared" si="50"/>
        <v/>
      </c>
      <c r="I460" s="25" t="str">
        <f t="shared" si="51"/>
        <v/>
      </c>
      <c r="J460" s="20" t="str">
        <f t="shared" si="52"/>
        <v/>
      </c>
      <c r="K460" s="20" t="str">
        <f t="shared" si="53"/>
        <v/>
      </c>
      <c r="L460" s="20" t="str">
        <f>IF(B460="","",70*'DDF Original'!$Q$4)</f>
        <v/>
      </c>
      <c r="M460" s="20" t="str">
        <f t="shared" si="54"/>
        <v/>
      </c>
      <c r="N460" s="20" t="str">
        <f>IF(AND(OR(B460="",J460&gt;G460,M460&gt;G460),'DDF Original'!L460&lt;&gt; "MI"),G460,IF(M460&gt;J460,M460,J460))</f>
        <v/>
      </c>
    </row>
    <row r="461" spans="2:14" x14ac:dyDescent="0.2">
      <c r="B461" s="19" t="str">
        <f>IF('DDF Original'!B461="","",'DDF Original'!B461)</f>
        <v/>
      </c>
      <c r="C461" s="19" t="e">
        <f t="shared" si="55"/>
        <v>#VALUE!</v>
      </c>
      <c r="D461" s="20" t="str">
        <f>IF('DDF Original'!C461="","",'DDF Original'!C461)</f>
        <v/>
      </c>
      <c r="E461" s="24" t="str">
        <f>IF('DDF Original'!B461="","",IF(TRIM('DDF Original'!I461)="",0,'DDF Original'!I461))</f>
        <v/>
      </c>
      <c r="F461" s="20" t="str">
        <f t="shared" si="49"/>
        <v/>
      </c>
      <c r="G461" s="37" t="str">
        <f>IF('DDF Original'!B461="","",IF(TRIM('DDF Original'!P461)="",0,'DDF Original'!P461))</f>
        <v/>
      </c>
      <c r="H461" s="20" t="str">
        <f t="shared" si="50"/>
        <v/>
      </c>
      <c r="I461" s="25" t="str">
        <f t="shared" si="51"/>
        <v/>
      </c>
      <c r="J461" s="20" t="str">
        <f t="shared" si="52"/>
        <v/>
      </c>
      <c r="K461" s="20" t="str">
        <f t="shared" si="53"/>
        <v/>
      </c>
      <c r="L461" s="20" t="str">
        <f>IF(B461="","",70*'DDF Original'!$Q$4)</f>
        <v/>
      </c>
      <c r="M461" s="20" t="str">
        <f t="shared" si="54"/>
        <v/>
      </c>
      <c r="N461" s="20" t="str">
        <f>IF(AND(OR(B461="",J461&gt;G461,M461&gt;G461),'DDF Original'!L461&lt;&gt; "MI"),G461,IF(M461&gt;J461,M461,J461))</f>
        <v/>
      </c>
    </row>
    <row r="462" spans="2:14" x14ac:dyDescent="0.2">
      <c r="B462" s="19" t="str">
        <f>IF('DDF Original'!B462="","",'DDF Original'!B462)</f>
        <v/>
      </c>
      <c r="C462" s="19" t="e">
        <f t="shared" si="55"/>
        <v>#VALUE!</v>
      </c>
      <c r="D462" s="20" t="str">
        <f>IF('DDF Original'!C462="","",'DDF Original'!C462)</f>
        <v/>
      </c>
      <c r="E462" s="24" t="str">
        <f>IF('DDF Original'!B462="","",IF(TRIM('DDF Original'!I462)="",0,'DDF Original'!I462))</f>
        <v/>
      </c>
      <c r="F462" s="20" t="str">
        <f t="shared" si="49"/>
        <v/>
      </c>
      <c r="G462" s="37" t="str">
        <f>IF('DDF Original'!B462="","",IF(TRIM('DDF Original'!P462)="",0,'DDF Original'!P462))</f>
        <v/>
      </c>
      <c r="H462" s="20" t="str">
        <f t="shared" si="50"/>
        <v/>
      </c>
      <c r="I462" s="25" t="str">
        <f t="shared" si="51"/>
        <v/>
      </c>
      <c r="J462" s="20" t="str">
        <f t="shared" si="52"/>
        <v/>
      </c>
      <c r="K462" s="20" t="str">
        <f t="shared" si="53"/>
        <v/>
      </c>
      <c r="L462" s="20" t="str">
        <f>IF(B462="","",70*'DDF Original'!$Q$4)</f>
        <v/>
      </c>
      <c r="M462" s="20" t="str">
        <f t="shared" si="54"/>
        <v/>
      </c>
      <c r="N462" s="20" t="str">
        <f>IF(AND(OR(B462="",J462&gt;G462,M462&gt;G462),'DDF Original'!L462&lt;&gt; "MI"),G462,IF(M462&gt;J462,M462,J462))</f>
        <v/>
      </c>
    </row>
    <row r="463" spans="2:14" x14ac:dyDescent="0.2">
      <c r="B463" s="19" t="str">
        <f>IF('DDF Original'!B463="","",'DDF Original'!B463)</f>
        <v/>
      </c>
      <c r="C463" s="19" t="e">
        <f t="shared" si="55"/>
        <v>#VALUE!</v>
      </c>
      <c r="D463" s="20" t="str">
        <f>IF('DDF Original'!C463="","",'DDF Original'!C463)</f>
        <v/>
      </c>
      <c r="E463" s="24" t="str">
        <f>IF('DDF Original'!B463="","",IF(TRIM('DDF Original'!I463)="",0,'DDF Original'!I463))</f>
        <v/>
      </c>
      <c r="F463" s="20" t="str">
        <f t="shared" si="49"/>
        <v/>
      </c>
      <c r="G463" s="37" t="str">
        <f>IF('DDF Original'!B463="","",IF(TRIM('DDF Original'!P463)="",0,'DDF Original'!P463))</f>
        <v/>
      </c>
      <c r="H463" s="20" t="str">
        <f t="shared" si="50"/>
        <v/>
      </c>
      <c r="I463" s="25" t="str">
        <f t="shared" si="51"/>
        <v/>
      </c>
      <c r="J463" s="20" t="str">
        <f t="shared" si="52"/>
        <v/>
      </c>
      <c r="K463" s="20" t="str">
        <f t="shared" si="53"/>
        <v/>
      </c>
      <c r="L463" s="20" t="str">
        <f>IF(B463="","",70*'DDF Original'!$Q$4)</f>
        <v/>
      </c>
      <c r="M463" s="20" t="str">
        <f t="shared" si="54"/>
        <v/>
      </c>
      <c r="N463" s="20" t="str">
        <f>IF(AND(OR(B463="",J463&gt;G463,M463&gt;G463),'DDF Original'!L463&lt;&gt; "MI"),G463,IF(M463&gt;J463,M463,J463))</f>
        <v/>
      </c>
    </row>
    <row r="464" spans="2:14" x14ac:dyDescent="0.2">
      <c r="B464" s="19" t="str">
        <f>IF('DDF Original'!B464="","",'DDF Original'!B464)</f>
        <v/>
      </c>
      <c r="C464" s="19" t="e">
        <f t="shared" si="55"/>
        <v>#VALUE!</v>
      </c>
      <c r="D464" s="20" t="str">
        <f>IF('DDF Original'!C464="","",'DDF Original'!C464)</f>
        <v/>
      </c>
      <c r="E464" s="24" t="str">
        <f>IF('DDF Original'!B464="","",IF(TRIM('DDF Original'!I464)="",0,'DDF Original'!I464))</f>
        <v/>
      </c>
      <c r="F464" s="20" t="str">
        <f t="shared" si="49"/>
        <v/>
      </c>
      <c r="G464" s="37" t="str">
        <f>IF('DDF Original'!B464="","",IF(TRIM('DDF Original'!P464)="",0,'DDF Original'!P464))</f>
        <v/>
      </c>
      <c r="H464" s="20" t="str">
        <f t="shared" si="50"/>
        <v/>
      </c>
      <c r="I464" s="25" t="str">
        <f t="shared" si="51"/>
        <v/>
      </c>
      <c r="J464" s="20" t="str">
        <f t="shared" si="52"/>
        <v/>
      </c>
      <c r="K464" s="20" t="str">
        <f t="shared" si="53"/>
        <v/>
      </c>
      <c r="L464" s="20" t="str">
        <f>IF(B464="","",70*'DDF Original'!$Q$4)</f>
        <v/>
      </c>
      <c r="M464" s="20" t="str">
        <f t="shared" si="54"/>
        <v/>
      </c>
      <c r="N464" s="20" t="str">
        <f>IF(AND(OR(B464="",J464&gt;G464,M464&gt;G464),'DDF Original'!L464&lt;&gt; "MI"),G464,IF(M464&gt;J464,M464,J464))</f>
        <v/>
      </c>
    </row>
    <row r="465" spans="2:14" x14ac:dyDescent="0.2">
      <c r="B465" s="19" t="str">
        <f>IF('DDF Original'!B465="","",'DDF Original'!B465)</f>
        <v/>
      </c>
      <c r="C465" s="19" t="e">
        <f t="shared" si="55"/>
        <v>#VALUE!</v>
      </c>
      <c r="D465" s="20" t="str">
        <f>IF('DDF Original'!C465="","",'DDF Original'!C465)</f>
        <v/>
      </c>
      <c r="E465" s="24" t="str">
        <f>IF('DDF Original'!B465="","",IF(TRIM('DDF Original'!I465)="",0,'DDF Original'!I465))</f>
        <v/>
      </c>
      <c r="F465" s="20" t="str">
        <f t="shared" si="49"/>
        <v/>
      </c>
      <c r="G465" s="37" t="str">
        <f>IF('DDF Original'!B465="","",IF(TRIM('DDF Original'!P465)="",0,'DDF Original'!P465))</f>
        <v/>
      </c>
      <c r="H465" s="20" t="str">
        <f t="shared" si="50"/>
        <v/>
      </c>
      <c r="I465" s="25" t="str">
        <f t="shared" si="51"/>
        <v/>
      </c>
      <c r="J465" s="20" t="str">
        <f t="shared" si="52"/>
        <v/>
      </c>
      <c r="K465" s="20" t="str">
        <f t="shared" si="53"/>
        <v/>
      </c>
      <c r="L465" s="20" t="str">
        <f>IF(B465="","",70*'DDF Original'!$Q$4)</f>
        <v/>
      </c>
      <c r="M465" s="20" t="str">
        <f t="shared" si="54"/>
        <v/>
      </c>
      <c r="N465" s="20" t="str">
        <f>IF(AND(OR(B465="",J465&gt;G465,M465&gt;G465),'DDF Original'!L465&lt;&gt; "MI"),G465,IF(M465&gt;J465,M465,J465))</f>
        <v/>
      </c>
    </row>
    <row r="466" spans="2:14" x14ac:dyDescent="0.2">
      <c r="B466" s="19" t="str">
        <f>IF('DDF Original'!B466="","",'DDF Original'!B466)</f>
        <v/>
      </c>
      <c r="C466" s="19" t="e">
        <f t="shared" si="55"/>
        <v>#VALUE!</v>
      </c>
      <c r="D466" s="20" t="str">
        <f>IF('DDF Original'!C466="","",'DDF Original'!C466)</f>
        <v/>
      </c>
      <c r="E466" s="24" t="str">
        <f>IF('DDF Original'!B466="","",IF(TRIM('DDF Original'!I466)="",0,'DDF Original'!I466))</f>
        <v/>
      </c>
      <c r="F466" s="20" t="str">
        <f t="shared" si="49"/>
        <v/>
      </c>
      <c r="G466" s="37" t="str">
        <f>IF('DDF Original'!B466="","",IF(TRIM('DDF Original'!P466)="",0,'DDF Original'!P466))</f>
        <v/>
      </c>
      <c r="H466" s="20" t="str">
        <f t="shared" si="50"/>
        <v/>
      </c>
      <c r="I466" s="25" t="str">
        <f t="shared" si="51"/>
        <v/>
      </c>
      <c r="J466" s="20" t="str">
        <f t="shared" si="52"/>
        <v/>
      </c>
      <c r="K466" s="20" t="str">
        <f t="shared" si="53"/>
        <v/>
      </c>
      <c r="L466" s="20" t="str">
        <f>IF(B466="","",70*'DDF Original'!$Q$4)</f>
        <v/>
      </c>
      <c r="M466" s="20" t="str">
        <f t="shared" si="54"/>
        <v/>
      </c>
      <c r="N466" s="20" t="str">
        <f>IF(AND(OR(B466="",J466&gt;G466,M466&gt;G466),'DDF Original'!L466&lt;&gt; "MI"),G466,IF(M466&gt;J466,M466,J466))</f>
        <v/>
      </c>
    </row>
    <row r="467" spans="2:14" x14ac:dyDescent="0.2">
      <c r="B467" s="19" t="str">
        <f>IF('DDF Original'!B467="","",'DDF Original'!B467)</f>
        <v/>
      </c>
      <c r="C467" s="19" t="e">
        <f t="shared" si="55"/>
        <v>#VALUE!</v>
      </c>
      <c r="D467" s="20" t="str">
        <f>IF('DDF Original'!C467="","",'DDF Original'!C467)</f>
        <v/>
      </c>
      <c r="E467" s="24" t="str">
        <f>IF('DDF Original'!B467="","",IF(TRIM('DDF Original'!I467)="",0,'DDF Original'!I467))</f>
        <v/>
      </c>
      <c r="F467" s="20" t="str">
        <f t="shared" si="49"/>
        <v/>
      </c>
      <c r="G467" s="37" t="str">
        <f>IF('DDF Original'!B467="","",IF(TRIM('DDF Original'!P467)="",0,'DDF Original'!P467))</f>
        <v/>
      </c>
      <c r="H467" s="20" t="str">
        <f t="shared" si="50"/>
        <v/>
      </c>
      <c r="I467" s="25" t="str">
        <f t="shared" si="51"/>
        <v/>
      </c>
      <c r="J467" s="20" t="str">
        <f t="shared" si="52"/>
        <v/>
      </c>
      <c r="K467" s="20" t="str">
        <f t="shared" si="53"/>
        <v/>
      </c>
      <c r="L467" s="20" t="str">
        <f>IF(B467="","",70*'DDF Original'!$Q$4)</f>
        <v/>
      </c>
      <c r="M467" s="20" t="str">
        <f t="shared" si="54"/>
        <v/>
      </c>
      <c r="N467" s="20" t="str">
        <f>IF(AND(OR(B467="",J467&gt;G467,M467&gt;G467),'DDF Original'!L467&lt;&gt; "MI"),G467,IF(M467&gt;J467,M467,J467))</f>
        <v/>
      </c>
    </row>
    <row r="468" spans="2:14" x14ac:dyDescent="0.2">
      <c r="B468" s="19" t="str">
        <f>IF('DDF Original'!B468="","",'DDF Original'!B468)</f>
        <v/>
      </c>
      <c r="C468" s="19" t="e">
        <f t="shared" si="55"/>
        <v>#VALUE!</v>
      </c>
      <c r="D468" s="20" t="str">
        <f>IF('DDF Original'!C468="","",'DDF Original'!C468)</f>
        <v/>
      </c>
      <c r="E468" s="24" t="str">
        <f>IF('DDF Original'!B468="","",IF(TRIM('DDF Original'!I468)="",0,'DDF Original'!I468))</f>
        <v/>
      </c>
      <c r="F468" s="20" t="str">
        <f t="shared" si="49"/>
        <v/>
      </c>
      <c r="G468" s="37" t="str">
        <f>IF('DDF Original'!B468="","",IF(TRIM('DDF Original'!P468)="",0,'DDF Original'!P468))</f>
        <v/>
      </c>
      <c r="H468" s="20" t="str">
        <f t="shared" si="50"/>
        <v/>
      </c>
      <c r="I468" s="25" t="str">
        <f t="shared" si="51"/>
        <v/>
      </c>
      <c r="J468" s="20" t="str">
        <f t="shared" si="52"/>
        <v/>
      </c>
      <c r="K468" s="20" t="str">
        <f t="shared" si="53"/>
        <v/>
      </c>
      <c r="L468" s="20" t="str">
        <f>IF(B468="","",70*'DDF Original'!$Q$4)</f>
        <v/>
      </c>
      <c r="M468" s="20" t="str">
        <f t="shared" si="54"/>
        <v/>
      </c>
      <c r="N468" s="20" t="str">
        <f>IF(AND(OR(B468="",J468&gt;G468,M468&gt;G468),'DDF Original'!L468&lt;&gt; "MI"),G468,IF(M468&gt;J468,M468,J468))</f>
        <v/>
      </c>
    </row>
    <row r="469" spans="2:14" x14ac:dyDescent="0.2">
      <c r="B469" s="19" t="str">
        <f>IF('DDF Original'!B469="","",'DDF Original'!B469)</f>
        <v/>
      </c>
      <c r="C469" s="19" t="e">
        <f t="shared" si="55"/>
        <v>#VALUE!</v>
      </c>
      <c r="D469" s="20" t="str">
        <f>IF('DDF Original'!C469="","",'DDF Original'!C469)</f>
        <v/>
      </c>
      <c r="E469" s="24" t="str">
        <f>IF('DDF Original'!B469="","",IF(TRIM('DDF Original'!I469)="",0,'DDF Original'!I469))</f>
        <v/>
      </c>
      <c r="F469" s="20" t="str">
        <f t="shared" si="49"/>
        <v/>
      </c>
      <c r="G469" s="37" t="str">
        <f>IF('DDF Original'!B469="","",IF(TRIM('DDF Original'!P469)="",0,'DDF Original'!P469))</f>
        <v/>
      </c>
      <c r="H469" s="20" t="str">
        <f t="shared" si="50"/>
        <v/>
      </c>
      <c r="I469" s="25" t="str">
        <f t="shared" si="51"/>
        <v/>
      </c>
      <c r="J469" s="20" t="str">
        <f t="shared" si="52"/>
        <v/>
      </c>
      <c r="K469" s="20" t="str">
        <f t="shared" si="53"/>
        <v/>
      </c>
      <c r="L469" s="20" t="str">
        <f>IF(B469="","",70*'DDF Original'!$Q$4)</f>
        <v/>
      </c>
      <c r="M469" s="20" t="str">
        <f t="shared" si="54"/>
        <v/>
      </c>
      <c r="N469" s="20" t="str">
        <f>IF(AND(OR(B469="",J469&gt;G469,M469&gt;G469),'DDF Original'!L469&lt;&gt; "MI"),G469,IF(M469&gt;J469,M469,J469))</f>
        <v/>
      </c>
    </row>
    <row r="470" spans="2:14" x14ac:dyDescent="0.2">
      <c r="B470" s="19" t="str">
        <f>IF('DDF Original'!B470="","",'DDF Original'!B470)</f>
        <v/>
      </c>
      <c r="C470" s="19" t="e">
        <f t="shared" si="55"/>
        <v>#VALUE!</v>
      </c>
      <c r="D470" s="20" t="str">
        <f>IF('DDF Original'!C470="","",'DDF Original'!C470)</f>
        <v/>
      </c>
      <c r="E470" s="24" t="str">
        <f>IF('DDF Original'!B470="","",IF(TRIM('DDF Original'!I470)="",0,'DDF Original'!I470))</f>
        <v/>
      </c>
      <c r="F470" s="20" t="str">
        <f t="shared" si="49"/>
        <v/>
      </c>
      <c r="G470" s="37" t="str">
        <f>IF('DDF Original'!B470="","",IF(TRIM('DDF Original'!P470)="",0,'DDF Original'!P470))</f>
        <v/>
      </c>
      <c r="H470" s="20" t="str">
        <f t="shared" si="50"/>
        <v/>
      </c>
      <c r="I470" s="25" t="str">
        <f t="shared" si="51"/>
        <v/>
      </c>
      <c r="J470" s="20" t="str">
        <f t="shared" si="52"/>
        <v/>
      </c>
      <c r="K470" s="20" t="str">
        <f t="shared" si="53"/>
        <v/>
      </c>
      <c r="L470" s="20" t="str">
        <f>IF(B470="","",70*'DDF Original'!$Q$4)</f>
        <v/>
      </c>
      <c r="M470" s="20" t="str">
        <f t="shared" si="54"/>
        <v/>
      </c>
      <c r="N470" s="20" t="str">
        <f>IF(AND(OR(B470="",J470&gt;G470,M470&gt;G470),'DDF Original'!L470&lt;&gt; "MI"),G470,IF(M470&gt;J470,M470,J470))</f>
        <v/>
      </c>
    </row>
    <row r="471" spans="2:14" x14ac:dyDescent="0.2">
      <c r="B471" s="19" t="str">
        <f>IF('DDF Original'!B471="","",'DDF Original'!B471)</f>
        <v/>
      </c>
      <c r="C471" s="19" t="e">
        <f t="shared" si="55"/>
        <v>#VALUE!</v>
      </c>
      <c r="D471" s="20" t="str">
        <f>IF('DDF Original'!C471="","",'DDF Original'!C471)</f>
        <v/>
      </c>
      <c r="E471" s="24" t="str">
        <f>IF('DDF Original'!B471="","",IF(TRIM('DDF Original'!I471)="",0,'DDF Original'!I471))</f>
        <v/>
      </c>
      <c r="F471" s="20" t="str">
        <f t="shared" si="49"/>
        <v/>
      </c>
      <c r="G471" s="37" t="str">
        <f>IF('DDF Original'!B471="","",IF(TRIM('DDF Original'!P471)="",0,'DDF Original'!P471))</f>
        <v/>
      </c>
      <c r="H471" s="20" t="str">
        <f t="shared" si="50"/>
        <v/>
      </c>
      <c r="I471" s="25" t="str">
        <f t="shared" si="51"/>
        <v/>
      </c>
      <c r="J471" s="20" t="str">
        <f t="shared" si="52"/>
        <v/>
      </c>
      <c r="K471" s="20" t="str">
        <f t="shared" si="53"/>
        <v/>
      </c>
      <c r="L471" s="20" t="str">
        <f>IF(B471="","",70*'DDF Original'!$Q$4)</f>
        <v/>
      </c>
      <c r="M471" s="20" t="str">
        <f t="shared" si="54"/>
        <v/>
      </c>
      <c r="N471" s="20" t="str">
        <f>IF(AND(OR(B471="",J471&gt;G471,M471&gt;G471),'DDF Original'!L471&lt;&gt; "MI"),G471,IF(M471&gt;J471,M471,J471))</f>
        <v/>
      </c>
    </row>
    <row r="472" spans="2:14" x14ac:dyDescent="0.2">
      <c r="B472" s="19" t="str">
        <f>IF('DDF Original'!B472="","",'DDF Original'!B472)</f>
        <v/>
      </c>
      <c r="C472" s="19" t="e">
        <f t="shared" si="55"/>
        <v>#VALUE!</v>
      </c>
      <c r="D472" s="20" t="str">
        <f>IF('DDF Original'!C472="","",'DDF Original'!C472)</f>
        <v/>
      </c>
      <c r="E472" s="24" t="str">
        <f>IF('DDF Original'!B472="","",IF(TRIM('DDF Original'!I472)="",0,'DDF Original'!I472))</f>
        <v/>
      </c>
      <c r="F472" s="20" t="str">
        <f t="shared" si="49"/>
        <v/>
      </c>
      <c r="G472" s="37" t="str">
        <f>IF('DDF Original'!B472="","",IF(TRIM('DDF Original'!P472)="",0,'DDF Original'!P472))</f>
        <v/>
      </c>
      <c r="H472" s="20" t="str">
        <f t="shared" si="50"/>
        <v/>
      </c>
      <c r="I472" s="25" t="str">
        <f t="shared" si="51"/>
        <v/>
      </c>
      <c r="J472" s="20" t="str">
        <f t="shared" si="52"/>
        <v/>
      </c>
      <c r="K472" s="20" t="str">
        <f t="shared" si="53"/>
        <v/>
      </c>
      <c r="L472" s="20" t="str">
        <f>IF(B472="","",70*'DDF Original'!$Q$4)</f>
        <v/>
      </c>
      <c r="M472" s="20" t="str">
        <f t="shared" si="54"/>
        <v/>
      </c>
      <c r="N472" s="20" t="str">
        <f>IF(AND(OR(B472="",J472&gt;G472,M472&gt;G472),'DDF Original'!L472&lt;&gt; "MI"),G472,IF(M472&gt;J472,M472,J472))</f>
        <v/>
      </c>
    </row>
    <row r="473" spans="2:14" x14ac:dyDescent="0.2">
      <c r="B473" s="19" t="str">
        <f>IF('DDF Original'!B473="","",'DDF Original'!B473)</f>
        <v/>
      </c>
      <c r="C473" s="19" t="e">
        <f t="shared" si="55"/>
        <v>#VALUE!</v>
      </c>
      <c r="D473" s="20" t="str">
        <f>IF('DDF Original'!C473="","",'DDF Original'!C473)</f>
        <v/>
      </c>
      <c r="E473" s="24" t="str">
        <f>IF('DDF Original'!B473="","",IF(TRIM('DDF Original'!I473)="",0,'DDF Original'!I473))</f>
        <v/>
      </c>
      <c r="F473" s="20" t="str">
        <f t="shared" si="49"/>
        <v/>
      </c>
      <c r="G473" s="37" t="str">
        <f>IF('DDF Original'!B473="","",IF(TRIM('DDF Original'!P473)="",0,'DDF Original'!P473))</f>
        <v/>
      </c>
      <c r="H473" s="20" t="str">
        <f t="shared" si="50"/>
        <v/>
      </c>
      <c r="I473" s="25" t="str">
        <f t="shared" si="51"/>
        <v/>
      </c>
      <c r="J473" s="20" t="str">
        <f t="shared" si="52"/>
        <v/>
      </c>
      <c r="K473" s="20" t="str">
        <f t="shared" si="53"/>
        <v/>
      </c>
      <c r="L473" s="20" t="str">
        <f>IF(B473="","",70*'DDF Original'!$Q$4)</f>
        <v/>
      </c>
      <c r="M473" s="20" t="str">
        <f t="shared" si="54"/>
        <v/>
      </c>
      <c r="N473" s="20" t="str">
        <f>IF(AND(OR(B473="",J473&gt;G473,M473&gt;G473),'DDF Original'!L473&lt;&gt; "MI"),G473,IF(M473&gt;J473,M473,J473))</f>
        <v/>
      </c>
    </row>
    <row r="474" spans="2:14" x14ac:dyDescent="0.2">
      <c r="B474" s="19" t="str">
        <f>IF('DDF Original'!B474="","",'DDF Original'!B474)</f>
        <v/>
      </c>
      <c r="C474" s="19" t="e">
        <f t="shared" si="55"/>
        <v>#VALUE!</v>
      </c>
      <c r="D474" s="20" t="str">
        <f>IF('DDF Original'!C474="","",'DDF Original'!C474)</f>
        <v/>
      </c>
      <c r="E474" s="24" t="str">
        <f>IF('DDF Original'!B474="","",IF(TRIM('DDF Original'!I474)="",0,'DDF Original'!I474))</f>
        <v/>
      </c>
      <c r="F474" s="20" t="str">
        <f t="shared" si="49"/>
        <v/>
      </c>
      <c r="G474" s="37" t="str">
        <f>IF('DDF Original'!B474="","",IF(TRIM('DDF Original'!P474)="",0,'DDF Original'!P474))</f>
        <v/>
      </c>
      <c r="H474" s="20" t="str">
        <f t="shared" si="50"/>
        <v/>
      </c>
      <c r="I474" s="25" t="str">
        <f t="shared" si="51"/>
        <v/>
      </c>
      <c r="J474" s="20" t="str">
        <f t="shared" si="52"/>
        <v/>
      </c>
      <c r="K474" s="20" t="str">
        <f t="shared" si="53"/>
        <v/>
      </c>
      <c r="L474" s="20" t="str">
        <f>IF(B474="","",70*'DDF Original'!$Q$4)</f>
        <v/>
      </c>
      <c r="M474" s="20" t="str">
        <f t="shared" si="54"/>
        <v/>
      </c>
      <c r="N474" s="20" t="str">
        <f>IF(AND(OR(B474="",J474&gt;G474,M474&gt;G474),'DDF Original'!L474&lt;&gt; "MI"),G474,IF(M474&gt;J474,M474,J474))</f>
        <v/>
      </c>
    </row>
    <row r="475" spans="2:14" x14ac:dyDescent="0.2">
      <c r="B475" s="19" t="str">
        <f>IF('DDF Original'!B475="","",'DDF Original'!B475)</f>
        <v/>
      </c>
      <c r="C475" s="19" t="e">
        <f t="shared" si="55"/>
        <v>#VALUE!</v>
      </c>
      <c r="D475" s="20" t="str">
        <f>IF('DDF Original'!C475="","",'DDF Original'!C475)</f>
        <v/>
      </c>
      <c r="E475" s="24" t="str">
        <f>IF('DDF Original'!B475="","",IF(TRIM('DDF Original'!I475)="",0,'DDF Original'!I475))</f>
        <v/>
      </c>
      <c r="F475" s="20" t="str">
        <f t="shared" si="49"/>
        <v/>
      </c>
      <c r="G475" s="37" t="str">
        <f>IF('DDF Original'!B475="","",IF(TRIM('DDF Original'!P475)="",0,'DDF Original'!P475))</f>
        <v/>
      </c>
      <c r="H475" s="20" t="str">
        <f t="shared" si="50"/>
        <v/>
      </c>
      <c r="I475" s="25" t="str">
        <f t="shared" si="51"/>
        <v/>
      </c>
      <c r="J475" s="20" t="str">
        <f t="shared" si="52"/>
        <v/>
      </c>
      <c r="K475" s="20" t="str">
        <f t="shared" si="53"/>
        <v/>
      </c>
      <c r="L475" s="20" t="str">
        <f>IF(B475="","",70*'DDF Original'!$Q$4)</f>
        <v/>
      </c>
      <c r="M475" s="20" t="str">
        <f t="shared" si="54"/>
        <v/>
      </c>
      <c r="N475" s="20" t="str">
        <f>IF(AND(OR(B475="",J475&gt;G475,M475&gt;G475),'DDF Original'!L475&lt;&gt; "MI"),G475,IF(M475&gt;J475,M475,J475))</f>
        <v/>
      </c>
    </row>
    <row r="476" spans="2:14" x14ac:dyDescent="0.2">
      <c r="B476" s="19" t="str">
        <f>IF('DDF Original'!B476="","",'DDF Original'!B476)</f>
        <v/>
      </c>
      <c r="C476" s="19" t="e">
        <f t="shared" si="55"/>
        <v>#VALUE!</v>
      </c>
      <c r="D476" s="20" t="str">
        <f>IF('DDF Original'!C476="","",'DDF Original'!C476)</f>
        <v/>
      </c>
      <c r="E476" s="24" t="str">
        <f>IF('DDF Original'!B476="","",IF(TRIM('DDF Original'!I476)="",0,'DDF Original'!I476))</f>
        <v/>
      </c>
      <c r="F476" s="20" t="str">
        <f t="shared" si="49"/>
        <v/>
      </c>
      <c r="G476" s="37" t="str">
        <f>IF('DDF Original'!B476="","",IF(TRIM('DDF Original'!P476)="",0,'DDF Original'!P476))</f>
        <v/>
      </c>
      <c r="H476" s="20" t="str">
        <f t="shared" si="50"/>
        <v/>
      </c>
      <c r="I476" s="25" t="str">
        <f t="shared" si="51"/>
        <v/>
      </c>
      <c r="J476" s="20" t="str">
        <f t="shared" si="52"/>
        <v/>
      </c>
      <c r="K476" s="20" t="str">
        <f t="shared" si="53"/>
        <v/>
      </c>
      <c r="L476" s="20" t="str">
        <f>IF(B476="","",70*'DDF Original'!$Q$4)</f>
        <v/>
      </c>
      <c r="M476" s="20" t="str">
        <f t="shared" si="54"/>
        <v/>
      </c>
      <c r="N476" s="20" t="str">
        <f>IF(AND(OR(B476="",J476&gt;G476,M476&gt;G476),'DDF Original'!L476&lt;&gt; "MI"),G476,IF(M476&gt;J476,M476,J476))</f>
        <v/>
      </c>
    </row>
    <row r="477" spans="2:14" x14ac:dyDescent="0.2">
      <c r="B477" s="19" t="str">
        <f>IF('DDF Original'!B477="","",'DDF Original'!B477)</f>
        <v/>
      </c>
      <c r="C477" s="19" t="e">
        <f t="shared" si="55"/>
        <v>#VALUE!</v>
      </c>
      <c r="D477" s="20" t="str">
        <f>IF('DDF Original'!C477="","",'DDF Original'!C477)</f>
        <v/>
      </c>
      <c r="E477" s="24" t="str">
        <f>IF('DDF Original'!B477="","",IF(TRIM('DDF Original'!I477)="",0,'DDF Original'!I477))</f>
        <v/>
      </c>
      <c r="F477" s="20" t="str">
        <f t="shared" si="49"/>
        <v/>
      </c>
      <c r="G477" s="37" t="str">
        <f>IF('DDF Original'!B477="","",IF(TRIM('DDF Original'!P477)="",0,'DDF Original'!P477))</f>
        <v/>
      </c>
      <c r="H477" s="20" t="str">
        <f t="shared" si="50"/>
        <v/>
      </c>
      <c r="I477" s="25" t="str">
        <f t="shared" si="51"/>
        <v/>
      </c>
      <c r="J477" s="20" t="str">
        <f t="shared" si="52"/>
        <v/>
      </c>
      <c r="K477" s="20" t="str">
        <f t="shared" si="53"/>
        <v/>
      </c>
      <c r="L477" s="20" t="str">
        <f>IF(B477="","",70*'DDF Original'!$Q$4)</f>
        <v/>
      </c>
      <c r="M477" s="20" t="str">
        <f t="shared" si="54"/>
        <v/>
      </c>
      <c r="N477" s="20" t="str">
        <f>IF(AND(OR(B477="",J477&gt;G477,M477&gt;G477),'DDF Original'!L477&lt;&gt; "MI"),G477,IF(M477&gt;J477,M477,J477))</f>
        <v/>
      </c>
    </row>
    <row r="478" spans="2:14" x14ac:dyDescent="0.2">
      <c r="B478" s="19" t="str">
        <f>IF('DDF Original'!B478="","",'DDF Original'!B478)</f>
        <v/>
      </c>
      <c r="C478" s="19" t="e">
        <f t="shared" si="55"/>
        <v>#VALUE!</v>
      </c>
      <c r="D478" s="20" t="str">
        <f>IF('DDF Original'!C478="","",'DDF Original'!C478)</f>
        <v/>
      </c>
      <c r="E478" s="24" t="str">
        <f>IF('DDF Original'!B478="","",IF(TRIM('DDF Original'!I478)="",0,'DDF Original'!I478))</f>
        <v/>
      </c>
      <c r="F478" s="20" t="str">
        <f t="shared" si="49"/>
        <v/>
      </c>
      <c r="G478" s="37" t="str">
        <f>IF('DDF Original'!B478="","",IF(TRIM('DDF Original'!P478)="",0,'DDF Original'!P478))</f>
        <v/>
      </c>
      <c r="H478" s="20" t="str">
        <f t="shared" si="50"/>
        <v/>
      </c>
      <c r="I478" s="25" t="str">
        <f t="shared" si="51"/>
        <v/>
      </c>
      <c r="J478" s="20" t="str">
        <f t="shared" si="52"/>
        <v/>
      </c>
      <c r="K478" s="20" t="str">
        <f t="shared" si="53"/>
        <v/>
      </c>
      <c r="L478" s="20" t="str">
        <f>IF(B478="","",70*'DDF Original'!$Q$4)</f>
        <v/>
      </c>
      <c r="M478" s="20" t="str">
        <f t="shared" si="54"/>
        <v/>
      </c>
      <c r="N478" s="20" t="str">
        <f>IF(AND(OR(B478="",J478&gt;G478,M478&gt;G478),'DDF Original'!L478&lt;&gt; "MI"),G478,IF(M478&gt;J478,M478,J478))</f>
        <v/>
      </c>
    </row>
    <row r="479" spans="2:14" x14ac:dyDescent="0.2">
      <c r="B479" s="19" t="str">
        <f>IF('DDF Original'!B479="","",'DDF Original'!B479)</f>
        <v/>
      </c>
      <c r="C479" s="19" t="e">
        <f t="shared" si="55"/>
        <v>#VALUE!</v>
      </c>
      <c r="D479" s="20" t="str">
        <f>IF('DDF Original'!C479="","",'DDF Original'!C479)</f>
        <v/>
      </c>
      <c r="E479" s="24" t="str">
        <f>IF('DDF Original'!B479="","",IF(TRIM('DDF Original'!I479)="",0,'DDF Original'!I479))</f>
        <v/>
      </c>
      <c r="F479" s="20" t="str">
        <f t="shared" si="49"/>
        <v/>
      </c>
      <c r="G479" s="37" t="str">
        <f>IF('DDF Original'!B479="","",IF(TRIM('DDF Original'!P479)="",0,'DDF Original'!P479))</f>
        <v/>
      </c>
      <c r="H479" s="20" t="str">
        <f t="shared" si="50"/>
        <v/>
      </c>
      <c r="I479" s="25" t="str">
        <f t="shared" si="51"/>
        <v/>
      </c>
      <c r="J479" s="20" t="str">
        <f t="shared" si="52"/>
        <v/>
      </c>
      <c r="K479" s="20" t="str">
        <f t="shared" si="53"/>
        <v/>
      </c>
      <c r="L479" s="20" t="str">
        <f>IF(B479="","",70*'DDF Original'!$Q$4)</f>
        <v/>
      </c>
      <c r="M479" s="20" t="str">
        <f t="shared" si="54"/>
        <v/>
      </c>
      <c r="N479" s="20" t="str">
        <f>IF(AND(OR(B479="",J479&gt;G479,M479&gt;G479),'DDF Original'!L479&lt;&gt; "MI"),G479,IF(M479&gt;J479,M479,J479))</f>
        <v/>
      </c>
    </row>
    <row r="480" spans="2:14" x14ac:dyDescent="0.2">
      <c r="B480" s="19" t="str">
        <f>IF('DDF Original'!B480="","",'DDF Original'!B480)</f>
        <v/>
      </c>
      <c r="C480" s="19" t="e">
        <f t="shared" si="55"/>
        <v>#VALUE!</v>
      </c>
      <c r="D480" s="20" t="str">
        <f>IF('DDF Original'!C480="","",'DDF Original'!C480)</f>
        <v/>
      </c>
      <c r="E480" s="24" t="str">
        <f>IF('DDF Original'!B480="","",IF(TRIM('DDF Original'!I480)="",0,'DDF Original'!I480))</f>
        <v/>
      </c>
      <c r="F480" s="20" t="str">
        <f t="shared" si="49"/>
        <v/>
      </c>
      <c r="G480" s="37" t="str">
        <f>IF('DDF Original'!B480="","",IF(TRIM('DDF Original'!P480)="",0,'DDF Original'!P480))</f>
        <v/>
      </c>
      <c r="H480" s="20" t="str">
        <f t="shared" si="50"/>
        <v/>
      </c>
      <c r="I480" s="25" t="str">
        <f t="shared" si="51"/>
        <v/>
      </c>
      <c r="J480" s="20" t="str">
        <f t="shared" si="52"/>
        <v/>
      </c>
      <c r="K480" s="20" t="str">
        <f t="shared" si="53"/>
        <v/>
      </c>
      <c r="L480" s="20" t="str">
        <f>IF(B480="","",70*'DDF Original'!$Q$4)</f>
        <v/>
      </c>
      <c r="M480" s="20" t="str">
        <f t="shared" si="54"/>
        <v/>
      </c>
      <c r="N480" s="20" t="str">
        <f>IF(AND(OR(B480="",J480&gt;G480,M480&gt;G480),'DDF Original'!L480&lt;&gt; "MI"),G480,IF(M480&gt;J480,M480,J480))</f>
        <v/>
      </c>
    </row>
    <row r="481" spans="2:14" x14ac:dyDescent="0.2">
      <c r="B481" s="19" t="str">
        <f>IF('DDF Original'!B481="","",'DDF Original'!B481)</f>
        <v/>
      </c>
      <c r="C481" s="19" t="e">
        <f t="shared" si="55"/>
        <v>#VALUE!</v>
      </c>
      <c r="D481" s="20" t="str">
        <f>IF('DDF Original'!C481="","",'DDF Original'!C481)</f>
        <v/>
      </c>
      <c r="E481" s="24" t="str">
        <f>IF('DDF Original'!B481="","",IF(TRIM('DDF Original'!I481)="",0,'DDF Original'!I481))</f>
        <v/>
      </c>
      <c r="F481" s="20" t="str">
        <f t="shared" si="49"/>
        <v/>
      </c>
      <c r="G481" s="37" t="str">
        <f>IF('DDF Original'!B481="","",IF(TRIM('DDF Original'!P481)="",0,'DDF Original'!P481))</f>
        <v/>
      </c>
      <c r="H481" s="20" t="str">
        <f t="shared" si="50"/>
        <v/>
      </c>
      <c r="I481" s="25" t="str">
        <f t="shared" si="51"/>
        <v/>
      </c>
      <c r="J481" s="20" t="str">
        <f t="shared" si="52"/>
        <v/>
      </c>
      <c r="K481" s="20" t="str">
        <f t="shared" si="53"/>
        <v/>
      </c>
      <c r="L481" s="20" t="str">
        <f>IF(B481="","",70*'DDF Original'!$Q$4)</f>
        <v/>
      </c>
      <c r="M481" s="20" t="str">
        <f t="shared" si="54"/>
        <v/>
      </c>
      <c r="N481" s="20" t="str">
        <f>IF(AND(OR(B481="",J481&gt;G481,M481&gt;G481),'DDF Original'!L481&lt;&gt; "MI"),G481,IF(M481&gt;J481,M481,J481))</f>
        <v/>
      </c>
    </row>
    <row r="482" spans="2:14" x14ac:dyDescent="0.2">
      <c r="B482" s="19" t="str">
        <f>IF('DDF Original'!B482="","",'DDF Original'!B482)</f>
        <v/>
      </c>
      <c r="C482" s="19" t="e">
        <f t="shared" si="55"/>
        <v>#VALUE!</v>
      </c>
      <c r="D482" s="20" t="str">
        <f>IF('DDF Original'!C482="","",'DDF Original'!C482)</f>
        <v/>
      </c>
      <c r="E482" s="24" t="str">
        <f>IF('DDF Original'!B482="","",IF(TRIM('DDF Original'!I482)="",0,'DDF Original'!I482))</f>
        <v/>
      </c>
      <c r="F482" s="20" t="str">
        <f t="shared" si="49"/>
        <v/>
      </c>
      <c r="G482" s="37" t="str">
        <f>IF('DDF Original'!B482="","",IF(TRIM('DDF Original'!P482)="",0,'DDF Original'!P482))</f>
        <v/>
      </c>
      <c r="H482" s="20" t="str">
        <f t="shared" si="50"/>
        <v/>
      </c>
      <c r="I482" s="25" t="str">
        <f t="shared" si="51"/>
        <v/>
      </c>
      <c r="J482" s="20" t="str">
        <f t="shared" si="52"/>
        <v/>
      </c>
      <c r="K482" s="20" t="str">
        <f t="shared" si="53"/>
        <v/>
      </c>
      <c r="L482" s="20" t="str">
        <f>IF(B482="","",70*'DDF Original'!$Q$4)</f>
        <v/>
      </c>
      <c r="M482" s="20" t="str">
        <f t="shared" si="54"/>
        <v/>
      </c>
      <c r="N482" s="20" t="str">
        <f>IF(AND(OR(B482="",J482&gt;G482,M482&gt;G482),'DDF Original'!L482&lt;&gt; "MI"),G482,IF(M482&gt;J482,M482,J482))</f>
        <v/>
      </c>
    </row>
    <row r="483" spans="2:14" x14ac:dyDescent="0.2">
      <c r="B483" s="19" t="str">
        <f>IF('DDF Original'!B483="","",'DDF Original'!B483)</f>
        <v/>
      </c>
      <c r="C483" s="19" t="e">
        <f t="shared" si="55"/>
        <v>#VALUE!</v>
      </c>
      <c r="D483" s="20" t="str">
        <f>IF('DDF Original'!C483="","",'DDF Original'!C483)</f>
        <v/>
      </c>
      <c r="E483" s="24" t="str">
        <f>IF('DDF Original'!B483="","",IF(TRIM('DDF Original'!I483)="",0,'DDF Original'!I483))</f>
        <v/>
      </c>
      <c r="F483" s="20" t="str">
        <f t="shared" si="49"/>
        <v/>
      </c>
      <c r="G483" s="37" t="str">
        <f>IF('DDF Original'!B483="","",IF(TRIM('DDF Original'!P483)="",0,'DDF Original'!P483))</f>
        <v/>
      </c>
      <c r="H483" s="20" t="str">
        <f t="shared" si="50"/>
        <v/>
      </c>
      <c r="I483" s="25" t="str">
        <f t="shared" si="51"/>
        <v/>
      </c>
      <c r="J483" s="20" t="str">
        <f t="shared" si="52"/>
        <v/>
      </c>
      <c r="K483" s="20" t="str">
        <f t="shared" si="53"/>
        <v/>
      </c>
      <c r="L483" s="20" t="str">
        <f>IF(B483="","",70*'DDF Original'!$Q$4)</f>
        <v/>
      </c>
      <c r="M483" s="20" t="str">
        <f t="shared" si="54"/>
        <v/>
      </c>
      <c r="N483" s="20" t="str">
        <f>IF(AND(OR(B483="",J483&gt;G483,M483&gt;G483),'DDF Original'!L483&lt;&gt; "MI"),G483,IF(M483&gt;J483,M483,J483))</f>
        <v/>
      </c>
    </row>
    <row r="484" spans="2:14" x14ac:dyDescent="0.2">
      <c r="B484" s="19" t="str">
        <f>IF('DDF Original'!B484="","",'DDF Original'!B484)</f>
        <v/>
      </c>
      <c r="C484" s="19" t="e">
        <f t="shared" si="55"/>
        <v>#VALUE!</v>
      </c>
      <c r="D484" s="20" t="str">
        <f>IF('DDF Original'!C484="","",'DDF Original'!C484)</f>
        <v/>
      </c>
      <c r="E484" s="24" t="str">
        <f>IF('DDF Original'!B484="","",IF(TRIM('DDF Original'!I484)="",0,'DDF Original'!I484))</f>
        <v/>
      </c>
      <c r="F484" s="20" t="str">
        <f t="shared" si="49"/>
        <v/>
      </c>
      <c r="G484" s="37" t="str">
        <f>IF('DDF Original'!B484="","",IF(TRIM('DDF Original'!P484)="",0,'DDF Original'!P484))</f>
        <v/>
      </c>
      <c r="H484" s="20" t="str">
        <f t="shared" si="50"/>
        <v/>
      </c>
      <c r="I484" s="25" t="str">
        <f t="shared" si="51"/>
        <v/>
      </c>
      <c r="J484" s="20" t="str">
        <f t="shared" si="52"/>
        <v/>
      </c>
      <c r="K484" s="20" t="str">
        <f t="shared" si="53"/>
        <v/>
      </c>
      <c r="L484" s="20" t="str">
        <f>IF(B484="","",70*'DDF Original'!$Q$4)</f>
        <v/>
      </c>
      <c r="M484" s="20" t="str">
        <f t="shared" si="54"/>
        <v/>
      </c>
      <c r="N484" s="20" t="str">
        <f>IF(AND(OR(B484="",J484&gt;G484,M484&gt;G484),'DDF Original'!L484&lt;&gt; "MI"),G484,IF(M484&gt;J484,M484,J484))</f>
        <v/>
      </c>
    </row>
    <row r="485" spans="2:14" x14ac:dyDescent="0.2">
      <c r="B485" s="19" t="str">
        <f>IF('DDF Original'!B485="","",'DDF Original'!B485)</f>
        <v/>
      </c>
      <c r="C485" s="19" t="e">
        <f t="shared" si="55"/>
        <v>#VALUE!</v>
      </c>
      <c r="D485" s="20" t="str">
        <f>IF('DDF Original'!C485="","",'DDF Original'!C485)</f>
        <v/>
      </c>
      <c r="E485" s="24" t="str">
        <f>IF('DDF Original'!B485="","",IF(TRIM('DDF Original'!I485)="",0,'DDF Original'!I485))</f>
        <v/>
      </c>
      <c r="F485" s="20" t="str">
        <f t="shared" si="49"/>
        <v/>
      </c>
      <c r="G485" s="37" t="str">
        <f>IF('DDF Original'!B485="","",IF(TRIM('DDF Original'!P485)="",0,'DDF Original'!P485))</f>
        <v/>
      </c>
      <c r="H485" s="20" t="str">
        <f t="shared" si="50"/>
        <v/>
      </c>
      <c r="I485" s="25" t="str">
        <f t="shared" si="51"/>
        <v/>
      </c>
      <c r="J485" s="20" t="str">
        <f t="shared" si="52"/>
        <v/>
      </c>
      <c r="K485" s="20" t="str">
        <f t="shared" si="53"/>
        <v/>
      </c>
      <c r="L485" s="20" t="str">
        <f>IF(B485="","",70*'DDF Original'!$Q$4)</f>
        <v/>
      </c>
      <c r="M485" s="20" t="str">
        <f t="shared" si="54"/>
        <v/>
      </c>
      <c r="N485" s="20" t="str">
        <f>IF(AND(OR(B485="",J485&gt;G485,M485&gt;G485),'DDF Original'!L485&lt;&gt; "MI"),G485,IF(M485&gt;J485,M485,J485))</f>
        <v/>
      </c>
    </row>
    <row r="486" spans="2:14" x14ac:dyDescent="0.2">
      <c r="B486" s="19" t="str">
        <f>IF('DDF Original'!B486="","",'DDF Original'!B486)</f>
        <v/>
      </c>
      <c r="C486" s="19" t="e">
        <f t="shared" si="55"/>
        <v>#VALUE!</v>
      </c>
      <c r="D486" s="20" t="str">
        <f>IF('DDF Original'!C486="","",'DDF Original'!C486)</f>
        <v/>
      </c>
      <c r="E486" s="24" t="str">
        <f>IF('DDF Original'!B486="","",IF(TRIM('DDF Original'!I486)="",0,'DDF Original'!I486))</f>
        <v/>
      </c>
      <c r="F486" s="20" t="str">
        <f t="shared" si="49"/>
        <v/>
      </c>
      <c r="G486" s="37" t="str">
        <f>IF('DDF Original'!B486="","",IF(TRIM('DDF Original'!P486)="",0,'DDF Original'!P486))</f>
        <v/>
      </c>
      <c r="H486" s="20" t="str">
        <f t="shared" si="50"/>
        <v/>
      </c>
      <c r="I486" s="25" t="str">
        <f t="shared" si="51"/>
        <v/>
      </c>
      <c r="J486" s="20" t="str">
        <f t="shared" si="52"/>
        <v/>
      </c>
      <c r="K486" s="20" t="str">
        <f t="shared" si="53"/>
        <v/>
      </c>
      <c r="L486" s="20" t="str">
        <f>IF(B486="","",70*'DDF Original'!$Q$4)</f>
        <v/>
      </c>
      <c r="M486" s="20" t="str">
        <f t="shared" si="54"/>
        <v/>
      </c>
      <c r="N486" s="20" t="str">
        <f>IF(AND(OR(B486="",J486&gt;G486,M486&gt;G486),'DDF Original'!L486&lt;&gt; "MI"),G486,IF(M486&gt;J486,M486,J486))</f>
        <v/>
      </c>
    </row>
    <row r="487" spans="2:14" x14ac:dyDescent="0.2">
      <c r="B487" s="19" t="str">
        <f>IF('DDF Original'!B487="","",'DDF Original'!B487)</f>
        <v/>
      </c>
      <c r="C487" s="19" t="e">
        <f t="shared" si="55"/>
        <v>#VALUE!</v>
      </c>
      <c r="D487" s="20" t="str">
        <f>IF('DDF Original'!C487="","",'DDF Original'!C487)</f>
        <v/>
      </c>
      <c r="E487" s="24" t="str">
        <f>IF('DDF Original'!B487="","",IF(TRIM('DDF Original'!I487)="",0,'DDF Original'!I487))</f>
        <v/>
      </c>
      <c r="F487" s="20" t="str">
        <f t="shared" si="49"/>
        <v/>
      </c>
      <c r="G487" s="37" t="str">
        <f>IF('DDF Original'!B487="","",IF(TRIM('DDF Original'!P487)="",0,'DDF Original'!P487))</f>
        <v/>
      </c>
      <c r="H487" s="20" t="str">
        <f t="shared" si="50"/>
        <v/>
      </c>
      <c r="I487" s="25" t="str">
        <f t="shared" si="51"/>
        <v/>
      </c>
      <c r="J487" s="20" t="str">
        <f t="shared" si="52"/>
        <v/>
      </c>
      <c r="K487" s="20" t="str">
        <f t="shared" si="53"/>
        <v/>
      </c>
      <c r="L487" s="20" t="str">
        <f>IF(B487="","",70*'DDF Original'!$Q$4)</f>
        <v/>
      </c>
      <c r="M487" s="20" t="str">
        <f t="shared" si="54"/>
        <v/>
      </c>
      <c r="N487" s="20" t="str">
        <f>IF(AND(OR(B487="",J487&gt;G487,M487&gt;G487),'DDF Original'!L487&lt;&gt; "MI"),G487,IF(M487&gt;J487,M487,J487))</f>
        <v/>
      </c>
    </row>
    <row r="488" spans="2:14" x14ac:dyDescent="0.2">
      <c r="B488" s="19" t="str">
        <f>IF('DDF Original'!B488="","",'DDF Original'!B488)</f>
        <v/>
      </c>
      <c r="C488" s="19" t="e">
        <f t="shared" si="55"/>
        <v>#VALUE!</v>
      </c>
      <c r="D488" s="20" t="str">
        <f>IF('DDF Original'!C488="","",'DDF Original'!C488)</f>
        <v/>
      </c>
      <c r="E488" s="24" t="str">
        <f>IF('DDF Original'!B488="","",IF(TRIM('DDF Original'!I488)="",0,'DDF Original'!I488))</f>
        <v/>
      </c>
      <c r="F488" s="20" t="str">
        <f t="shared" si="49"/>
        <v/>
      </c>
      <c r="G488" s="37" t="str">
        <f>IF('DDF Original'!B488="","",IF(TRIM('DDF Original'!P488)="",0,'DDF Original'!P488))</f>
        <v/>
      </c>
      <c r="H488" s="20" t="str">
        <f t="shared" si="50"/>
        <v/>
      </c>
      <c r="I488" s="25" t="str">
        <f t="shared" si="51"/>
        <v/>
      </c>
      <c r="J488" s="20" t="str">
        <f t="shared" si="52"/>
        <v/>
      </c>
      <c r="K488" s="20" t="str">
        <f t="shared" si="53"/>
        <v/>
      </c>
      <c r="L488" s="20" t="str">
        <f>IF(B488="","",70*'DDF Original'!$Q$4)</f>
        <v/>
      </c>
      <c r="M488" s="20" t="str">
        <f t="shared" si="54"/>
        <v/>
      </c>
      <c r="N488" s="20" t="str">
        <f>IF(AND(OR(B488="",J488&gt;G488,M488&gt;G488),'DDF Original'!L488&lt;&gt; "MI"),G488,IF(M488&gt;J488,M488,J488))</f>
        <v/>
      </c>
    </row>
    <row r="489" spans="2:14" x14ac:dyDescent="0.2">
      <c r="B489" s="19" t="str">
        <f>IF('DDF Original'!B489="","",'DDF Original'!B489)</f>
        <v/>
      </c>
      <c r="C489" s="19" t="e">
        <f t="shared" si="55"/>
        <v>#VALUE!</v>
      </c>
      <c r="D489" s="20" t="str">
        <f>IF('DDF Original'!C489="","",'DDF Original'!C489)</f>
        <v/>
      </c>
      <c r="E489" s="24" t="str">
        <f>IF('DDF Original'!B489="","",IF(TRIM('DDF Original'!I489)="",0,'DDF Original'!I489))</f>
        <v/>
      </c>
      <c r="F489" s="20" t="str">
        <f t="shared" si="49"/>
        <v/>
      </c>
      <c r="G489" s="37" t="str">
        <f>IF('DDF Original'!B489="","",IF(TRIM('DDF Original'!P489)="",0,'DDF Original'!P489))</f>
        <v/>
      </c>
      <c r="H489" s="20" t="str">
        <f t="shared" si="50"/>
        <v/>
      </c>
      <c r="I489" s="25" t="str">
        <f t="shared" si="51"/>
        <v/>
      </c>
      <c r="J489" s="20" t="str">
        <f t="shared" si="52"/>
        <v/>
      </c>
      <c r="K489" s="20" t="str">
        <f t="shared" si="53"/>
        <v/>
      </c>
      <c r="L489" s="20" t="str">
        <f>IF(B489="","",70*'DDF Original'!$Q$4)</f>
        <v/>
      </c>
      <c r="M489" s="20" t="str">
        <f t="shared" si="54"/>
        <v/>
      </c>
      <c r="N489" s="20" t="str">
        <f>IF(AND(OR(B489="",J489&gt;G489,M489&gt;G489),'DDF Original'!L489&lt;&gt; "MI"),G489,IF(M489&gt;J489,M489,J489))</f>
        <v/>
      </c>
    </row>
    <row r="490" spans="2:14" x14ac:dyDescent="0.2">
      <c r="B490" s="19" t="str">
        <f>IF('DDF Original'!B490="","",'DDF Original'!B490)</f>
        <v/>
      </c>
      <c r="C490" s="19" t="e">
        <f t="shared" si="55"/>
        <v>#VALUE!</v>
      </c>
      <c r="D490" s="20" t="str">
        <f>IF('DDF Original'!C490="","",'DDF Original'!C490)</f>
        <v/>
      </c>
      <c r="E490" s="24" t="str">
        <f>IF('DDF Original'!B490="","",IF(TRIM('DDF Original'!I490)="",0,'DDF Original'!I490))</f>
        <v/>
      </c>
      <c r="F490" s="20" t="str">
        <f t="shared" si="49"/>
        <v/>
      </c>
      <c r="G490" s="37" t="str">
        <f>IF('DDF Original'!B490="","",IF(TRIM('DDF Original'!P490)="",0,'DDF Original'!P490))</f>
        <v/>
      </c>
      <c r="H490" s="20" t="str">
        <f t="shared" si="50"/>
        <v/>
      </c>
      <c r="I490" s="25" t="str">
        <f t="shared" si="51"/>
        <v/>
      </c>
      <c r="J490" s="20" t="str">
        <f t="shared" si="52"/>
        <v/>
      </c>
      <c r="K490" s="20" t="str">
        <f t="shared" si="53"/>
        <v/>
      </c>
      <c r="L490" s="20" t="str">
        <f>IF(B490="","",70*'DDF Original'!$Q$4)</f>
        <v/>
      </c>
      <c r="M490" s="20" t="str">
        <f t="shared" si="54"/>
        <v/>
      </c>
      <c r="N490" s="20" t="str">
        <f>IF(AND(OR(B490="",J490&gt;G490,M490&gt;G490),'DDF Original'!L490&lt;&gt; "MI"),G490,IF(M490&gt;J490,M490,J490))</f>
        <v/>
      </c>
    </row>
    <row r="491" spans="2:14" x14ac:dyDescent="0.2">
      <c r="B491" s="19" t="str">
        <f>IF('DDF Original'!B491="","",'DDF Original'!B491)</f>
        <v/>
      </c>
      <c r="C491" s="19" t="e">
        <f t="shared" si="55"/>
        <v>#VALUE!</v>
      </c>
      <c r="D491" s="20" t="str">
        <f>IF('DDF Original'!C491="","",'DDF Original'!C491)</f>
        <v/>
      </c>
      <c r="E491" s="24" t="str">
        <f>IF('DDF Original'!B491="","",IF(TRIM('DDF Original'!I491)="",0,'DDF Original'!I491))</f>
        <v/>
      </c>
      <c r="F491" s="20" t="str">
        <f t="shared" si="49"/>
        <v/>
      </c>
      <c r="G491" s="37" t="str">
        <f>IF('DDF Original'!B491="","",IF(TRIM('DDF Original'!P491)="",0,'DDF Original'!P491))</f>
        <v/>
      </c>
      <c r="H491" s="20" t="str">
        <f t="shared" si="50"/>
        <v/>
      </c>
      <c r="I491" s="25" t="str">
        <f t="shared" si="51"/>
        <v/>
      </c>
      <c r="J491" s="20" t="str">
        <f t="shared" si="52"/>
        <v/>
      </c>
      <c r="K491" s="20" t="str">
        <f t="shared" si="53"/>
        <v/>
      </c>
      <c r="L491" s="20" t="str">
        <f>IF(B491="","",70*'DDF Original'!$Q$4)</f>
        <v/>
      </c>
      <c r="M491" s="20" t="str">
        <f t="shared" si="54"/>
        <v/>
      </c>
      <c r="N491" s="20" t="str">
        <f>IF(AND(OR(B491="",J491&gt;G491,M491&gt;G491),'DDF Original'!L491&lt;&gt; "MI"),G491,IF(M491&gt;J491,M491,J491))</f>
        <v/>
      </c>
    </row>
    <row r="492" spans="2:14" x14ac:dyDescent="0.2">
      <c r="B492" s="19" t="str">
        <f>IF('DDF Original'!B492="","",'DDF Original'!B492)</f>
        <v/>
      </c>
      <c r="C492" s="19" t="e">
        <f t="shared" si="55"/>
        <v>#VALUE!</v>
      </c>
      <c r="D492" s="20" t="str">
        <f>IF('DDF Original'!C492="","",'DDF Original'!C492)</f>
        <v/>
      </c>
      <c r="E492" s="24" t="str">
        <f>IF('DDF Original'!B492="","",IF(TRIM('DDF Original'!I492)="",0,'DDF Original'!I492))</f>
        <v/>
      </c>
      <c r="F492" s="20" t="str">
        <f t="shared" si="49"/>
        <v/>
      </c>
      <c r="G492" s="37" t="str">
        <f>IF('DDF Original'!B492="","",IF(TRIM('DDF Original'!P492)="",0,'DDF Original'!P492))</f>
        <v/>
      </c>
      <c r="H492" s="20" t="str">
        <f t="shared" si="50"/>
        <v/>
      </c>
      <c r="I492" s="25" t="str">
        <f t="shared" si="51"/>
        <v/>
      </c>
      <c r="J492" s="20" t="str">
        <f t="shared" si="52"/>
        <v/>
      </c>
      <c r="K492" s="20" t="str">
        <f t="shared" si="53"/>
        <v/>
      </c>
      <c r="L492" s="20" t="str">
        <f>IF(B492="","",70*'DDF Original'!$Q$4)</f>
        <v/>
      </c>
      <c r="M492" s="20" t="str">
        <f t="shared" si="54"/>
        <v/>
      </c>
      <c r="N492" s="20" t="str">
        <f>IF(AND(OR(B492="",J492&gt;G492,M492&gt;G492),'DDF Original'!L492&lt;&gt; "MI"),G492,IF(M492&gt;J492,M492,J492))</f>
        <v/>
      </c>
    </row>
    <row r="493" spans="2:14" x14ac:dyDescent="0.2">
      <c r="B493" s="19" t="str">
        <f>IF('DDF Original'!B493="","",'DDF Original'!B493)</f>
        <v/>
      </c>
      <c r="C493" s="19" t="e">
        <f t="shared" si="55"/>
        <v>#VALUE!</v>
      </c>
      <c r="D493" s="20" t="str">
        <f>IF('DDF Original'!C493="","",'DDF Original'!C493)</f>
        <v/>
      </c>
      <c r="E493" s="24" t="str">
        <f>IF('DDF Original'!B493="","",IF(TRIM('DDF Original'!I493)="",0,'DDF Original'!I493))</f>
        <v/>
      </c>
      <c r="F493" s="20" t="str">
        <f t="shared" si="49"/>
        <v/>
      </c>
      <c r="G493" s="37" t="str">
        <f>IF('DDF Original'!B493="","",IF(TRIM('DDF Original'!P493)="",0,'DDF Original'!P493))</f>
        <v/>
      </c>
      <c r="H493" s="20" t="str">
        <f t="shared" si="50"/>
        <v/>
      </c>
      <c r="I493" s="25" t="str">
        <f t="shared" si="51"/>
        <v/>
      </c>
      <c r="J493" s="20" t="str">
        <f t="shared" si="52"/>
        <v/>
      </c>
      <c r="K493" s="20" t="str">
        <f t="shared" si="53"/>
        <v/>
      </c>
      <c r="L493" s="20" t="str">
        <f>IF(B493="","",70*'DDF Original'!$Q$4)</f>
        <v/>
      </c>
      <c r="M493" s="20" t="str">
        <f t="shared" si="54"/>
        <v/>
      </c>
      <c r="N493" s="20" t="str">
        <f>IF(AND(OR(B493="",J493&gt;G493,M493&gt;G493),'DDF Original'!L493&lt;&gt; "MI"),G493,IF(M493&gt;J493,M493,J493))</f>
        <v/>
      </c>
    </row>
    <row r="494" spans="2:14" x14ac:dyDescent="0.2">
      <c r="B494" s="19" t="str">
        <f>IF('DDF Original'!B494="","",'DDF Original'!B494)</f>
        <v/>
      </c>
      <c r="C494" s="19" t="e">
        <f t="shared" si="55"/>
        <v>#VALUE!</v>
      </c>
      <c r="D494" s="20" t="str">
        <f>IF('DDF Original'!C494="","",'DDF Original'!C494)</f>
        <v/>
      </c>
      <c r="E494" s="24" t="str">
        <f>IF('DDF Original'!B494="","",IF(TRIM('DDF Original'!I494)="",0,'DDF Original'!I494))</f>
        <v/>
      </c>
      <c r="F494" s="20" t="str">
        <f t="shared" si="49"/>
        <v/>
      </c>
      <c r="G494" s="37" t="str">
        <f>IF('DDF Original'!B494="","",IF(TRIM('DDF Original'!P494)="",0,'DDF Original'!P494))</f>
        <v/>
      </c>
      <c r="H494" s="20" t="str">
        <f t="shared" si="50"/>
        <v/>
      </c>
      <c r="I494" s="25" t="str">
        <f t="shared" si="51"/>
        <v/>
      </c>
      <c r="J494" s="20" t="str">
        <f t="shared" si="52"/>
        <v/>
      </c>
      <c r="K494" s="20" t="str">
        <f t="shared" si="53"/>
        <v/>
      </c>
      <c r="L494" s="20" t="str">
        <f>IF(B494="","",70*'DDF Original'!$Q$4)</f>
        <v/>
      </c>
      <c r="M494" s="20" t="str">
        <f t="shared" si="54"/>
        <v/>
      </c>
      <c r="N494" s="20" t="str">
        <f>IF(AND(OR(B494="",J494&gt;G494,M494&gt;G494),'DDF Original'!L494&lt;&gt; "MI"),G494,IF(M494&gt;J494,M494,J494))</f>
        <v/>
      </c>
    </row>
    <row r="495" spans="2:14" x14ac:dyDescent="0.2">
      <c r="B495" s="19" t="str">
        <f>IF('DDF Original'!B495="","",'DDF Original'!B495)</f>
        <v/>
      </c>
      <c r="C495" s="19" t="e">
        <f t="shared" si="55"/>
        <v>#VALUE!</v>
      </c>
      <c r="D495" s="20" t="str">
        <f>IF('DDF Original'!C495="","",'DDF Original'!C495)</f>
        <v/>
      </c>
      <c r="E495" s="24" t="str">
        <f>IF('DDF Original'!B495="","",IF(TRIM('DDF Original'!I495)="",0,'DDF Original'!I495))</f>
        <v/>
      </c>
      <c r="F495" s="20" t="str">
        <f t="shared" si="49"/>
        <v/>
      </c>
      <c r="G495" s="37" t="str">
        <f>IF('DDF Original'!B495="","",IF(TRIM('DDF Original'!P495)="",0,'DDF Original'!P495))</f>
        <v/>
      </c>
      <c r="H495" s="20" t="str">
        <f t="shared" si="50"/>
        <v/>
      </c>
      <c r="I495" s="25" t="str">
        <f t="shared" si="51"/>
        <v/>
      </c>
      <c r="J495" s="20" t="str">
        <f t="shared" si="52"/>
        <v/>
      </c>
      <c r="K495" s="20" t="str">
        <f t="shared" si="53"/>
        <v/>
      </c>
      <c r="L495" s="20" t="str">
        <f>IF(B495="","",70*'DDF Original'!$Q$4)</f>
        <v/>
      </c>
      <c r="M495" s="20" t="str">
        <f t="shared" si="54"/>
        <v/>
      </c>
      <c r="N495" s="20" t="str">
        <f>IF(AND(OR(B495="",J495&gt;G495,M495&gt;G495),'DDF Original'!L495&lt;&gt; "MI"),G495,IF(M495&gt;J495,M495,J495))</f>
        <v/>
      </c>
    </row>
    <row r="496" spans="2:14" x14ac:dyDescent="0.2">
      <c r="B496" s="19" t="str">
        <f>IF('DDF Original'!B496="","",'DDF Original'!B496)</f>
        <v/>
      </c>
      <c r="C496" s="19" t="e">
        <f t="shared" si="55"/>
        <v>#VALUE!</v>
      </c>
      <c r="D496" s="20" t="str">
        <f>IF('DDF Original'!C496="","",'DDF Original'!C496)</f>
        <v/>
      </c>
      <c r="E496" s="24" t="str">
        <f>IF('DDF Original'!B496="","",IF(TRIM('DDF Original'!I496)="",0,'DDF Original'!I496))</f>
        <v/>
      </c>
      <c r="F496" s="20" t="str">
        <f t="shared" si="49"/>
        <v/>
      </c>
      <c r="G496" s="37" t="str">
        <f>IF('DDF Original'!B496="","",IF(TRIM('DDF Original'!P496)="",0,'DDF Original'!P496))</f>
        <v/>
      </c>
      <c r="H496" s="20" t="str">
        <f t="shared" si="50"/>
        <v/>
      </c>
      <c r="I496" s="25" t="str">
        <f t="shared" si="51"/>
        <v/>
      </c>
      <c r="J496" s="20" t="str">
        <f t="shared" si="52"/>
        <v/>
      </c>
      <c r="K496" s="20" t="str">
        <f t="shared" si="53"/>
        <v/>
      </c>
      <c r="L496" s="20" t="str">
        <f>IF(B496="","",70*'DDF Original'!$Q$4)</f>
        <v/>
      </c>
      <c r="M496" s="20" t="str">
        <f t="shared" si="54"/>
        <v/>
      </c>
      <c r="N496" s="20" t="str">
        <f>IF(AND(OR(B496="",J496&gt;G496,M496&gt;G496),'DDF Original'!L496&lt;&gt; "MI"),G496,IF(M496&gt;J496,M496,J496))</f>
        <v/>
      </c>
    </row>
    <row r="497" spans="2:14" x14ac:dyDescent="0.2">
      <c r="B497" s="19" t="str">
        <f>IF('DDF Original'!B497="","",'DDF Original'!B497)</f>
        <v/>
      </c>
      <c r="C497" s="19" t="e">
        <f t="shared" si="55"/>
        <v>#VALUE!</v>
      </c>
      <c r="D497" s="20" t="str">
        <f>IF('DDF Original'!C497="","",'DDF Original'!C497)</f>
        <v/>
      </c>
      <c r="E497" s="24" t="str">
        <f>IF('DDF Original'!B497="","",IF(TRIM('DDF Original'!I497)="",0,'DDF Original'!I497))</f>
        <v/>
      </c>
      <c r="F497" s="20" t="str">
        <f t="shared" si="49"/>
        <v/>
      </c>
      <c r="G497" s="37" t="str">
        <f>IF('DDF Original'!B497="","",IF(TRIM('DDF Original'!P497)="",0,'DDF Original'!P497))</f>
        <v/>
      </c>
      <c r="H497" s="20" t="str">
        <f t="shared" si="50"/>
        <v/>
      </c>
      <c r="I497" s="25" t="str">
        <f t="shared" si="51"/>
        <v/>
      </c>
      <c r="J497" s="20" t="str">
        <f t="shared" si="52"/>
        <v/>
      </c>
      <c r="K497" s="20" t="str">
        <f t="shared" si="53"/>
        <v/>
      </c>
      <c r="L497" s="20" t="str">
        <f>IF(B497="","",70*'DDF Original'!$Q$4)</f>
        <v/>
      </c>
      <c r="M497" s="20" t="str">
        <f t="shared" si="54"/>
        <v/>
      </c>
      <c r="N497" s="20" t="str">
        <f>IF(AND(OR(B497="",J497&gt;G497,M497&gt;G497),'DDF Original'!L497&lt;&gt; "MI"),G497,IF(M497&gt;J497,M497,J497))</f>
        <v/>
      </c>
    </row>
    <row r="498" spans="2:14" x14ac:dyDescent="0.2">
      <c r="B498" s="19" t="str">
        <f>IF('DDF Original'!B498="","",'DDF Original'!B498)</f>
        <v/>
      </c>
      <c r="C498" s="19" t="e">
        <f t="shared" si="55"/>
        <v>#VALUE!</v>
      </c>
      <c r="D498" s="20" t="str">
        <f>IF('DDF Original'!C498="","",'DDF Original'!C498)</f>
        <v/>
      </c>
      <c r="E498" s="24" t="str">
        <f>IF('DDF Original'!B498="","",IF(TRIM('DDF Original'!I498)="",0,'DDF Original'!I498))</f>
        <v/>
      </c>
      <c r="F498" s="20" t="str">
        <f t="shared" si="49"/>
        <v/>
      </c>
      <c r="G498" s="37" t="str">
        <f>IF('DDF Original'!B498="","",IF(TRIM('DDF Original'!P498)="",0,'DDF Original'!P498))</f>
        <v/>
      </c>
      <c r="H498" s="20" t="str">
        <f t="shared" si="50"/>
        <v/>
      </c>
      <c r="I498" s="25" t="str">
        <f t="shared" si="51"/>
        <v/>
      </c>
      <c r="J498" s="20" t="str">
        <f t="shared" si="52"/>
        <v/>
      </c>
      <c r="K498" s="20" t="str">
        <f t="shared" si="53"/>
        <v/>
      </c>
      <c r="L498" s="20" t="str">
        <f>IF(B498="","",70*'DDF Original'!$Q$4)</f>
        <v/>
      </c>
      <c r="M498" s="20" t="str">
        <f t="shared" si="54"/>
        <v/>
      </c>
      <c r="N498" s="20" t="str">
        <f>IF(AND(OR(B498="",J498&gt;G498,M498&gt;G498),'DDF Original'!L498&lt;&gt; "MI"),G498,IF(M498&gt;J498,M498,J498))</f>
        <v/>
      </c>
    </row>
    <row r="499" spans="2:14" x14ac:dyDescent="0.2">
      <c r="B499" s="19" t="str">
        <f>IF('DDF Original'!B499="","",'DDF Original'!B499)</f>
        <v/>
      </c>
      <c r="C499" s="19" t="e">
        <f t="shared" si="55"/>
        <v>#VALUE!</v>
      </c>
      <c r="D499" s="20" t="str">
        <f>IF('DDF Original'!C499="","",'DDF Original'!C499)</f>
        <v/>
      </c>
      <c r="E499" s="24" t="str">
        <f>IF('DDF Original'!B499="","",IF(TRIM('DDF Original'!I499)="",0,'DDF Original'!I499))</f>
        <v/>
      </c>
      <c r="F499" s="20" t="str">
        <f t="shared" si="49"/>
        <v/>
      </c>
      <c r="G499" s="37" t="str">
        <f>IF('DDF Original'!B499="","",IF(TRIM('DDF Original'!P499)="",0,'DDF Original'!P499))</f>
        <v/>
      </c>
      <c r="H499" s="20" t="str">
        <f t="shared" si="50"/>
        <v/>
      </c>
      <c r="I499" s="25" t="str">
        <f t="shared" si="51"/>
        <v/>
      </c>
      <c r="J499" s="20" t="str">
        <f t="shared" si="52"/>
        <v/>
      </c>
      <c r="K499" s="20" t="str">
        <f t="shared" si="53"/>
        <v/>
      </c>
      <c r="L499" s="20" t="str">
        <f>IF(B499="","",70*'DDF Original'!$Q$4)</f>
        <v/>
      </c>
      <c r="M499" s="20" t="str">
        <f t="shared" si="54"/>
        <v/>
      </c>
      <c r="N499" s="20" t="str">
        <f>IF(AND(OR(B499="",J499&gt;G499,M499&gt;G499),'DDF Original'!L499&lt;&gt; "MI"),G499,IF(M499&gt;J499,M499,J499))</f>
        <v/>
      </c>
    </row>
    <row r="500" spans="2:14" x14ac:dyDescent="0.2">
      <c r="B500" s="19" t="str">
        <f>IF('DDF Original'!B500="","",'DDF Original'!B500)</f>
        <v/>
      </c>
      <c r="C500" s="19" t="e">
        <f t="shared" si="55"/>
        <v>#VALUE!</v>
      </c>
      <c r="D500" s="20" t="str">
        <f>IF('DDF Original'!C500="","",'DDF Original'!C500)</f>
        <v/>
      </c>
      <c r="E500" s="24" t="str">
        <f>IF('DDF Original'!B500="","",IF(TRIM('DDF Original'!I500)="",0,'DDF Original'!I500))</f>
        <v/>
      </c>
      <c r="F500" s="20" t="str">
        <f t="shared" si="49"/>
        <v/>
      </c>
      <c r="G500" s="37" t="str">
        <f>IF('DDF Original'!B500="","",IF(TRIM('DDF Original'!P500)="",0,'DDF Original'!P500))</f>
        <v/>
      </c>
      <c r="H500" s="20" t="str">
        <f t="shared" si="50"/>
        <v/>
      </c>
      <c r="I500" s="25" t="str">
        <f t="shared" si="51"/>
        <v/>
      </c>
      <c r="J500" s="20" t="str">
        <f t="shared" si="52"/>
        <v/>
      </c>
      <c r="K500" s="20" t="str">
        <f t="shared" si="53"/>
        <v/>
      </c>
      <c r="L500" s="20" t="str">
        <f>IF(B500="","",70*'DDF Original'!$Q$4)</f>
        <v/>
      </c>
      <c r="M500" s="20" t="str">
        <f t="shared" si="54"/>
        <v/>
      </c>
      <c r="N500" s="20" t="str">
        <f>IF(AND(OR(B500="",J500&gt;G500,M500&gt;G500),'DDF Original'!L500&lt;&gt; "MI"),G500,IF(M500&gt;J500,M500,J500))</f>
        <v/>
      </c>
    </row>
    <row r="501" spans="2:14" x14ac:dyDescent="0.2">
      <c r="B501" s="19" t="str">
        <f>IF('DDF Original'!B501="","",'DDF Original'!B501)</f>
        <v/>
      </c>
      <c r="C501" s="19" t="e">
        <f t="shared" si="55"/>
        <v>#VALUE!</v>
      </c>
      <c r="D501" s="20" t="str">
        <f>IF('DDF Original'!C501="","",'DDF Original'!C501)</f>
        <v/>
      </c>
      <c r="E501" s="24" t="str">
        <f>IF('DDF Original'!B501="","",IF(TRIM('DDF Original'!I501)="",0,'DDF Original'!I501))</f>
        <v/>
      </c>
      <c r="F501" s="20" t="str">
        <f t="shared" si="49"/>
        <v/>
      </c>
      <c r="G501" s="37" t="str">
        <f>IF('DDF Original'!B501="","",IF(TRIM('DDF Original'!P501)="",0,'DDF Original'!P501))</f>
        <v/>
      </c>
      <c r="H501" s="20" t="str">
        <f t="shared" si="50"/>
        <v/>
      </c>
      <c r="I501" s="25" t="str">
        <f t="shared" si="51"/>
        <v/>
      </c>
      <c r="J501" s="20" t="str">
        <f t="shared" si="52"/>
        <v/>
      </c>
      <c r="K501" s="20" t="str">
        <f t="shared" si="53"/>
        <v/>
      </c>
      <c r="L501" s="20" t="str">
        <f>IF(B501="","",70*'DDF Original'!$Q$4)</f>
        <v/>
      </c>
      <c r="M501" s="20" t="str">
        <f t="shared" si="54"/>
        <v/>
      </c>
      <c r="N501" s="20" t="str">
        <f>IF(AND(OR(B501="",J501&gt;G501,M501&gt;G501),'DDF Original'!L501&lt;&gt; "MI"),G501,IF(M501&gt;J501,M501,J501))</f>
        <v/>
      </c>
    </row>
    <row r="502" spans="2:14" x14ac:dyDescent="0.2">
      <c r="B502" s="19" t="str">
        <f>IF('DDF Original'!B502="","",'DDF Original'!B502)</f>
        <v/>
      </c>
      <c r="C502" s="19" t="e">
        <f t="shared" si="55"/>
        <v>#VALUE!</v>
      </c>
      <c r="D502" s="20" t="str">
        <f>IF('DDF Original'!C502="","",'DDF Original'!C502)</f>
        <v/>
      </c>
      <c r="E502" s="24" t="str">
        <f>IF('DDF Original'!B502="","",IF(TRIM('DDF Original'!I502)="",0,'DDF Original'!I502))</f>
        <v/>
      </c>
      <c r="F502" s="20" t="str">
        <f t="shared" si="49"/>
        <v/>
      </c>
      <c r="G502" s="37" t="str">
        <f>IF('DDF Original'!B502="","",IF(TRIM('DDF Original'!P502)="",0,'DDF Original'!P502))</f>
        <v/>
      </c>
      <c r="H502" s="20" t="str">
        <f t="shared" si="50"/>
        <v/>
      </c>
      <c r="I502" s="25" t="str">
        <f t="shared" si="51"/>
        <v/>
      </c>
      <c r="J502" s="20" t="str">
        <f t="shared" si="52"/>
        <v/>
      </c>
      <c r="K502" s="20" t="str">
        <f t="shared" si="53"/>
        <v/>
      </c>
      <c r="L502" s="20" t="str">
        <f>IF(B502="","",70*'DDF Original'!$Q$4)</f>
        <v/>
      </c>
      <c r="M502" s="20" t="str">
        <f t="shared" si="54"/>
        <v/>
      </c>
      <c r="N502" s="20" t="str">
        <f>IF(AND(OR(B502="",J502&gt;G502,M502&gt;G502),'DDF Original'!L502&lt;&gt; "MI"),G502,IF(M502&gt;J502,M502,J502))</f>
        <v/>
      </c>
    </row>
    <row r="503" spans="2:14" x14ac:dyDescent="0.2">
      <c r="B503" s="19" t="str">
        <f>IF('DDF Original'!B503="","",'DDF Original'!B503)</f>
        <v/>
      </c>
      <c r="C503" s="19" t="e">
        <f t="shared" si="55"/>
        <v>#VALUE!</v>
      </c>
      <c r="D503" s="20" t="str">
        <f>IF('DDF Original'!C503="","",'DDF Original'!C503)</f>
        <v/>
      </c>
      <c r="E503" s="24" t="str">
        <f>IF('DDF Original'!B503="","",IF(TRIM('DDF Original'!I503)="",0,'DDF Original'!I503))</f>
        <v/>
      </c>
      <c r="F503" s="20" t="str">
        <f t="shared" si="49"/>
        <v/>
      </c>
      <c r="G503" s="37" t="str">
        <f>IF('DDF Original'!B503="","",IF(TRIM('DDF Original'!P503)="",0,'DDF Original'!P503))</f>
        <v/>
      </c>
      <c r="H503" s="20" t="str">
        <f t="shared" si="50"/>
        <v/>
      </c>
      <c r="I503" s="25" t="str">
        <f t="shared" si="51"/>
        <v/>
      </c>
      <c r="J503" s="20" t="str">
        <f t="shared" si="52"/>
        <v/>
      </c>
      <c r="K503" s="20" t="str">
        <f t="shared" si="53"/>
        <v/>
      </c>
      <c r="L503" s="20" t="str">
        <f>IF(B503="","",70*'DDF Original'!$Q$4)</f>
        <v/>
      </c>
      <c r="M503" s="20" t="str">
        <f t="shared" si="54"/>
        <v/>
      </c>
      <c r="N503" s="20" t="str">
        <f>IF(AND(OR(B503="",J503&gt;G503,M503&gt;G503),'DDF Original'!L503&lt;&gt; "MI"),G503,IF(M503&gt;J503,M503,J503))</f>
        <v/>
      </c>
    </row>
    <row r="504" spans="2:14" x14ac:dyDescent="0.2">
      <c r="B504" s="19" t="str">
        <f>IF('DDF Original'!B504="","",'DDF Original'!B504)</f>
        <v/>
      </c>
      <c r="C504" s="19" t="e">
        <f t="shared" si="55"/>
        <v>#VALUE!</v>
      </c>
      <c r="D504" s="20" t="str">
        <f>IF('DDF Original'!C504="","",'DDF Original'!C504)</f>
        <v/>
      </c>
      <c r="E504" s="24" t="str">
        <f>IF('DDF Original'!B504="","",IF(TRIM('DDF Original'!I504)="",0,'DDF Original'!I504))</f>
        <v/>
      </c>
      <c r="F504" s="20" t="str">
        <f t="shared" si="49"/>
        <v/>
      </c>
      <c r="G504" s="37" t="str">
        <f>IF('DDF Original'!B504="","",IF(TRIM('DDF Original'!P504)="",0,'DDF Original'!P504))</f>
        <v/>
      </c>
      <c r="H504" s="20" t="str">
        <f t="shared" si="50"/>
        <v/>
      </c>
      <c r="I504" s="25" t="str">
        <f t="shared" si="51"/>
        <v/>
      </c>
      <c r="J504" s="20" t="str">
        <f t="shared" si="52"/>
        <v/>
      </c>
      <c r="K504" s="20" t="str">
        <f t="shared" si="53"/>
        <v/>
      </c>
      <c r="L504" s="20" t="str">
        <f>IF(B504="","",70*'DDF Original'!$Q$4)</f>
        <v/>
      </c>
      <c r="M504" s="20" t="str">
        <f t="shared" si="54"/>
        <v/>
      </c>
      <c r="N504" s="20" t="str">
        <f>IF(AND(OR(B504="",J504&gt;G504,M504&gt;G504),'DDF Original'!L504&lt;&gt; "MI"),G504,IF(M504&gt;J504,M504,J504))</f>
        <v/>
      </c>
    </row>
    <row r="505" spans="2:14" x14ac:dyDescent="0.2">
      <c r="B505" s="19" t="str">
        <f>IF('DDF Original'!B505="","",'DDF Original'!B505)</f>
        <v/>
      </c>
      <c r="C505" s="19" t="e">
        <f t="shared" si="55"/>
        <v>#VALUE!</v>
      </c>
      <c r="D505" s="20" t="str">
        <f>IF('DDF Original'!C505="","",'DDF Original'!C505)</f>
        <v/>
      </c>
      <c r="E505" s="24" t="str">
        <f>IF('DDF Original'!B505="","",IF(TRIM('DDF Original'!I505)="",0,'DDF Original'!I505))</f>
        <v/>
      </c>
      <c r="F505" s="20" t="str">
        <f t="shared" si="49"/>
        <v/>
      </c>
      <c r="G505" s="37" t="str">
        <f>IF('DDF Original'!B505="","",IF(TRIM('DDF Original'!P505)="",0,'DDF Original'!P505))</f>
        <v/>
      </c>
      <c r="H505" s="20" t="str">
        <f t="shared" si="50"/>
        <v/>
      </c>
      <c r="I505" s="25" t="str">
        <f t="shared" si="51"/>
        <v/>
      </c>
      <c r="J505" s="20" t="str">
        <f t="shared" si="52"/>
        <v/>
      </c>
      <c r="K505" s="20" t="str">
        <f t="shared" si="53"/>
        <v/>
      </c>
      <c r="L505" s="20" t="str">
        <f>IF(B505="","",70*'DDF Original'!$Q$4)</f>
        <v/>
      </c>
      <c r="M505" s="20" t="str">
        <f t="shared" si="54"/>
        <v/>
      </c>
      <c r="N505" s="20" t="str">
        <f>IF(AND(OR(B505="",J505&gt;G505,M505&gt;G505),'DDF Original'!L505&lt;&gt; "MI"),G505,IF(M505&gt;J505,M505,J505))</f>
        <v/>
      </c>
    </row>
    <row r="506" spans="2:14" x14ac:dyDescent="0.2">
      <c r="B506" s="19" t="str">
        <f>IF('DDF Original'!B506="","",'DDF Original'!B506)</f>
        <v/>
      </c>
      <c r="C506" s="19" t="e">
        <f t="shared" si="55"/>
        <v>#VALUE!</v>
      </c>
      <c r="D506" s="20" t="str">
        <f>IF('DDF Original'!C506="","",'DDF Original'!C506)</f>
        <v/>
      </c>
      <c r="E506" s="24" t="str">
        <f>IF('DDF Original'!B506="","",IF(TRIM('DDF Original'!I506)="",0,'DDF Original'!I506))</f>
        <v/>
      </c>
      <c r="F506" s="20" t="str">
        <f t="shared" si="49"/>
        <v/>
      </c>
      <c r="G506" s="37" t="str">
        <f>IF('DDF Original'!B506="","",IF(TRIM('DDF Original'!P506)="",0,'DDF Original'!P506))</f>
        <v/>
      </c>
      <c r="H506" s="20" t="str">
        <f t="shared" si="50"/>
        <v/>
      </c>
      <c r="I506" s="25" t="str">
        <f t="shared" si="51"/>
        <v/>
      </c>
      <c r="J506" s="20" t="str">
        <f t="shared" si="52"/>
        <v/>
      </c>
      <c r="K506" s="20" t="str">
        <f t="shared" si="53"/>
        <v/>
      </c>
      <c r="L506" s="20" t="str">
        <f>IF(B506="","",70*'DDF Original'!$Q$4)</f>
        <v/>
      </c>
      <c r="M506" s="20" t="str">
        <f t="shared" si="54"/>
        <v/>
      </c>
      <c r="N506" s="20" t="str">
        <f>IF(AND(OR(B506="",J506&gt;G506,M506&gt;G506),'DDF Original'!L506&lt;&gt; "MI"),G506,IF(M506&gt;J506,M506,J506))</f>
        <v/>
      </c>
    </row>
    <row r="507" spans="2:14" x14ac:dyDescent="0.2">
      <c r="B507" s="19" t="str">
        <f>IF('DDF Original'!B507="","",'DDF Original'!B507)</f>
        <v/>
      </c>
      <c r="C507" s="19" t="e">
        <f t="shared" si="55"/>
        <v>#VALUE!</v>
      </c>
      <c r="D507" s="20" t="str">
        <f>IF('DDF Original'!C507="","",'DDF Original'!C507)</f>
        <v/>
      </c>
      <c r="E507" s="24" t="str">
        <f>IF('DDF Original'!B507="","",IF(TRIM('DDF Original'!I507)="",0,'DDF Original'!I507))</f>
        <v/>
      </c>
      <c r="F507" s="20" t="str">
        <f t="shared" si="49"/>
        <v/>
      </c>
      <c r="G507" s="37" t="str">
        <f>IF('DDF Original'!B507="","",IF(TRIM('DDF Original'!P507)="",0,'DDF Original'!P507))</f>
        <v/>
      </c>
      <c r="H507" s="20" t="str">
        <f t="shared" si="50"/>
        <v/>
      </c>
      <c r="I507" s="25" t="str">
        <f t="shared" si="51"/>
        <v/>
      </c>
      <c r="J507" s="20" t="str">
        <f t="shared" si="52"/>
        <v/>
      </c>
      <c r="K507" s="20" t="str">
        <f t="shared" si="53"/>
        <v/>
      </c>
      <c r="L507" s="20" t="str">
        <f>IF(B507="","",70*'DDF Original'!$Q$4)</f>
        <v/>
      </c>
      <c r="M507" s="20" t="str">
        <f t="shared" si="54"/>
        <v/>
      </c>
      <c r="N507" s="20" t="str">
        <f>IF(AND(OR(B507="",J507&gt;G507,M507&gt;G507),'DDF Original'!L507&lt;&gt; "MI"),G507,IF(M507&gt;J507,M507,J507))</f>
        <v/>
      </c>
    </row>
    <row r="508" spans="2:14" x14ac:dyDescent="0.2">
      <c r="B508" s="19" t="str">
        <f>IF('DDF Original'!B508="","",'DDF Original'!B508)</f>
        <v/>
      </c>
      <c r="C508" s="19" t="e">
        <f t="shared" si="55"/>
        <v>#VALUE!</v>
      </c>
      <c r="D508" s="20" t="str">
        <f>IF('DDF Original'!C508="","",'DDF Original'!C508)</f>
        <v/>
      </c>
      <c r="E508" s="24" t="str">
        <f>IF('DDF Original'!B508="","",IF(TRIM('DDF Original'!I508)="",0,'DDF Original'!I508))</f>
        <v/>
      </c>
      <c r="F508" s="20" t="str">
        <f t="shared" si="49"/>
        <v/>
      </c>
      <c r="G508" s="37" t="str">
        <f>IF('DDF Original'!B508="","",IF(TRIM('DDF Original'!P508)="",0,'DDF Original'!P508))</f>
        <v/>
      </c>
      <c r="H508" s="20" t="str">
        <f t="shared" si="50"/>
        <v/>
      </c>
      <c r="I508" s="25" t="str">
        <f t="shared" si="51"/>
        <v/>
      </c>
      <c r="J508" s="20" t="str">
        <f t="shared" si="52"/>
        <v/>
      </c>
      <c r="K508" s="20" t="str">
        <f t="shared" si="53"/>
        <v/>
      </c>
      <c r="L508" s="20" t="str">
        <f>IF(B508="","",70*'DDF Original'!$Q$4)</f>
        <v/>
      </c>
      <c r="M508" s="20" t="str">
        <f t="shared" si="54"/>
        <v/>
      </c>
      <c r="N508" s="20" t="str">
        <f>IF(AND(OR(B508="",J508&gt;G508,M508&gt;G508),'DDF Original'!L508&lt;&gt; "MI"),G508,IF(M508&gt;J508,M508,J508))</f>
        <v/>
      </c>
    </row>
    <row r="509" spans="2:14" x14ac:dyDescent="0.2">
      <c r="B509" s="19" t="str">
        <f>IF('DDF Original'!B509="","",'DDF Original'!B509)</f>
        <v/>
      </c>
      <c r="C509" s="19" t="e">
        <f t="shared" ref="C509:C572" si="56">LEFT(B509,FIND(".",B509)-1)</f>
        <v>#VALUE!</v>
      </c>
      <c r="D509" s="20" t="str">
        <f>IF('DDF Original'!C509="","",'DDF Original'!C509)</f>
        <v/>
      </c>
      <c r="E509" s="24" t="str">
        <f>IF('DDF Original'!B509="","",IF(TRIM('DDF Original'!I509)="",0,'DDF Original'!I509))</f>
        <v/>
      </c>
      <c r="F509" s="20" t="str">
        <f t="shared" ref="F509:F572" si="57">IF(D509="",D509,ROUND(D509*(1+E509/100),2))</f>
        <v/>
      </c>
      <c r="G509" s="37" t="str">
        <f>IF('DDF Original'!B509="","",IF(TRIM('DDF Original'!P509)="",0,'DDF Original'!P509))</f>
        <v/>
      </c>
      <c r="H509" s="20" t="str">
        <f t="shared" ref="H509:H572" si="58">IF(OR(D509=0,D509=""),G509,F509)</f>
        <v/>
      </c>
      <c r="I509" s="25" t="str">
        <f t="shared" ref="I509:I572" si="59">IF(B509="","",IF(OR(D509=0,D509=""),50,35))</f>
        <v/>
      </c>
      <c r="J509" s="20" t="str">
        <f t="shared" ref="J509:J572" si="60">IF(B509="","",ROUND(H509*I509/100,2))</f>
        <v/>
      </c>
      <c r="K509" s="20" t="str">
        <f t="shared" ref="K509:K572" si="61">IF(B509="","",SUMIFS($J$9:$J$508,$C$9:$C$508,"="&amp;C509))</f>
        <v/>
      </c>
      <c r="L509" s="20" t="str">
        <f>IF(B509="","",70*'DDF Original'!$Q$4)</f>
        <v/>
      </c>
      <c r="M509" s="20" t="str">
        <f t="shared" ref="M509:M572" si="62">IF(B509="","",ROUND(J509/K509*L509,2))</f>
        <v/>
      </c>
      <c r="N509" s="20" t="str">
        <f>IF(AND(OR(B509="",J509&gt;G509,M509&gt;G509),'DDF Original'!L509&lt;&gt; "MI"),G509,IF(M509&gt;J509,M509,J509))</f>
        <v/>
      </c>
    </row>
    <row r="510" spans="2:14" x14ac:dyDescent="0.2">
      <c r="B510" s="19" t="str">
        <f>IF('DDF Original'!B510="","",'DDF Original'!B510)</f>
        <v/>
      </c>
      <c r="C510" s="19" t="e">
        <f t="shared" si="56"/>
        <v>#VALUE!</v>
      </c>
      <c r="D510" s="20" t="str">
        <f>IF('DDF Original'!C510="","",'DDF Original'!C510)</f>
        <v/>
      </c>
      <c r="E510" s="24" t="str">
        <f>IF('DDF Original'!B510="","",IF(TRIM('DDF Original'!I510)="",0,'DDF Original'!I510))</f>
        <v/>
      </c>
      <c r="F510" s="20" t="str">
        <f t="shared" si="57"/>
        <v/>
      </c>
      <c r="G510" s="37" t="str">
        <f>IF('DDF Original'!B510="","",IF(TRIM('DDF Original'!P510)="",0,'DDF Original'!P510))</f>
        <v/>
      </c>
      <c r="H510" s="20" t="str">
        <f t="shared" si="58"/>
        <v/>
      </c>
      <c r="I510" s="25" t="str">
        <f t="shared" si="59"/>
        <v/>
      </c>
      <c r="J510" s="20" t="str">
        <f t="shared" si="60"/>
        <v/>
      </c>
      <c r="K510" s="20" t="str">
        <f t="shared" si="61"/>
        <v/>
      </c>
      <c r="L510" s="20" t="str">
        <f>IF(B510="","",70*'DDF Original'!$Q$4)</f>
        <v/>
      </c>
      <c r="M510" s="20" t="str">
        <f t="shared" si="62"/>
        <v/>
      </c>
      <c r="N510" s="20" t="str">
        <f>IF(AND(OR(B510="",J510&gt;G510,M510&gt;G510),'DDF Original'!L510&lt;&gt; "MI"),G510,IF(M510&gt;J510,M510,J510))</f>
        <v/>
      </c>
    </row>
    <row r="511" spans="2:14" x14ac:dyDescent="0.2">
      <c r="B511" s="19" t="str">
        <f>IF('DDF Original'!B511="","",'DDF Original'!B511)</f>
        <v/>
      </c>
      <c r="C511" s="19" t="e">
        <f t="shared" si="56"/>
        <v>#VALUE!</v>
      </c>
      <c r="D511" s="20" t="str">
        <f>IF('DDF Original'!C511="","",'DDF Original'!C511)</f>
        <v/>
      </c>
      <c r="E511" s="24" t="str">
        <f>IF('DDF Original'!B511="","",IF(TRIM('DDF Original'!I511)="",0,'DDF Original'!I511))</f>
        <v/>
      </c>
      <c r="F511" s="20" t="str">
        <f t="shared" si="57"/>
        <v/>
      </c>
      <c r="G511" s="37" t="str">
        <f>IF('DDF Original'!B511="","",IF(TRIM('DDF Original'!P511)="",0,'DDF Original'!P511))</f>
        <v/>
      </c>
      <c r="H511" s="20" t="str">
        <f t="shared" si="58"/>
        <v/>
      </c>
      <c r="I511" s="25" t="str">
        <f t="shared" si="59"/>
        <v/>
      </c>
      <c r="J511" s="20" t="str">
        <f t="shared" si="60"/>
        <v/>
      </c>
      <c r="K511" s="20" t="str">
        <f t="shared" si="61"/>
        <v/>
      </c>
      <c r="L511" s="20" t="str">
        <f>IF(B511="","",70*'DDF Original'!$Q$4)</f>
        <v/>
      </c>
      <c r="M511" s="20" t="str">
        <f t="shared" si="62"/>
        <v/>
      </c>
      <c r="N511" s="20" t="str">
        <f>IF(AND(OR(B511="",J511&gt;G511,M511&gt;G511),'DDF Original'!L511&lt;&gt; "MI"),G511,IF(M511&gt;J511,M511,J511))</f>
        <v/>
      </c>
    </row>
    <row r="512" spans="2:14" x14ac:dyDescent="0.2">
      <c r="B512" s="19" t="str">
        <f>IF('DDF Original'!B512="","",'DDF Original'!B512)</f>
        <v/>
      </c>
      <c r="C512" s="19" t="e">
        <f t="shared" si="56"/>
        <v>#VALUE!</v>
      </c>
      <c r="D512" s="20" t="str">
        <f>IF('DDF Original'!C512="","",'DDF Original'!C512)</f>
        <v/>
      </c>
      <c r="E512" s="24" t="str">
        <f>IF('DDF Original'!B512="","",IF(TRIM('DDF Original'!I512)="",0,'DDF Original'!I512))</f>
        <v/>
      </c>
      <c r="F512" s="20" t="str">
        <f t="shared" si="57"/>
        <v/>
      </c>
      <c r="G512" s="37" t="str">
        <f>IF('DDF Original'!B512="","",IF(TRIM('DDF Original'!P512)="",0,'DDF Original'!P512))</f>
        <v/>
      </c>
      <c r="H512" s="20" t="str">
        <f t="shared" si="58"/>
        <v/>
      </c>
      <c r="I512" s="25" t="str">
        <f t="shared" si="59"/>
        <v/>
      </c>
      <c r="J512" s="20" t="str">
        <f t="shared" si="60"/>
        <v/>
      </c>
      <c r="K512" s="20" t="str">
        <f t="shared" si="61"/>
        <v/>
      </c>
      <c r="L512" s="20" t="str">
        <f>IF(B512="","",70*'DDF Original'!$Q$4)</f>
        <v/>
      </c>
      <c r="M512" s="20" t="str">
        <f t="shared" si="62"/>
        <v/>
      </c>
      <c r="N512" s="20" t="str">
        <f>IF(AND(OR(B512="",J512&gt;G512,M512&gt;G512),'DDF Original'!L512&lt;&gt; "MI"),G512,IF(M512&gt;J512,M512,J512))</f>
        <v/>
      </c>
    </row>
    <row r="513" spans="2:14" x14ac:dyDescent="0.2">
      <c r="B513" s="19" t="str">
        <f>IF('DDF Original'!B513="","",'DDF Original'!B513)</f>
        <v/>
      </c>
      <c r="C513" s="19" t="e">
        <f t="shared" si="56"/>
        <v>#VALUE!</v>
      </c>
      <c r="D513" s="20" t="str">
        <f>IF('DDF Original'!C513="","",'DDF Original'!C513)</f>
        <v/>
      </c>
      <c r="E513" s="24" t="str">
        <f>IF('DDF Original'!B513="","",IF(TRIM('DDF Original'!I513)="",0,'DDF Original'!I513))</f>
        <v/>
      </c>
      <c r="F513" s="20" t="str">
        <f t="shared" si="57"/>
        <v/>
      </c>
      <c r="G513" s="37" t="str">
        <f>IF('DDF Original'!B513="","",IF(TRIM('DDF Original'!P513)="",0,'DDF Original'!P513))</f>
        <v/>
      </c>
      <c r="H513" s="20" t="str">
        <f t="shared" si="58"/>
        <v/>
      </c>
      <c r="I513" s="25" t="str">
        <f t="shared" si="59"/>
        <v/>
      </c>
      <c r="J513" s="20" t="str">
        <f t="shared" si="60"/>
        <v/>
      </c>
      <c r="K513" s="20" t="str">
        <f t="shared" si="61"/>
        <v/>
      </c>
      <c r="L513" s="20" t="str">
        <f>IF(B513="","",70*'DDF Original'!$Q$4)</f>
        <v/>
      </c>
      <c r="M513" s="20" t="str">
        <f t="shared" si="62"/>
        <v/>
      </c>
      <c r="N513" s="20" t="str">
        <f>IF(AND(OR(B513="",J513&gt;G513,M513&gt;G513),'DDF Original'!L513&lt;&gt; "MI"),G513,IF(M513&gt;J513,M513,J513))</f>
        <v/>
      </c>
    </row>
    <row r="514" spans="2:14" x14ac:dyDescent="0.2">
      <c r="B514" s="19" t="str">
        <f>IF('DDF Original'!B514="","",'DDF Original'!B514)</f>
        <v/>
      </c>
      <c r="C514" s="19" t="e">
        <f t="shared" si="56"/>
        <v>#VALUE!</v>
      </c>
      <c r="D514" s="20" t="str">
        <f>IF('DDF Original'!C514="","",'DDF Original'!C514)</f>
        <v/>
      </c>
      <c r="E514" s="24" t="str">
        <f>IF('DDF Original'!B514="","",IF(TRIM('DDF Original'!I514)="",0,'DDF Original'!I514))</f>
        <v/>
      </c>
      <c r="F514" s="20" t="str">
        <f t="shared" si="57"/>
        <v/>
      </c>
      <c r="G514" s="37" t="str">
        <f>IF('DDF Original'!B514="","",IF(TRIM('DDF Original'!P514)="",0,'DDF Original'!P514))</f>
        <v/>
      </c>
      <c r="H514" s="20" t="str">
        <f t="shared" si="58"/>
        <v/>
      </c>
      <c r="I514" s="25" t="str">
        <f t="shared" si="59"/>
        <v/>
      </c>
      <c r="J514" s="20" t="str">
        <f t="shared" si="60"/>
        <v/>
      </c>
      <c r="K514" s="20" t="str">
        <f t="shared" si="61"/>
        <v/>
      </c>
      <c r="L514" s="20" t="str">
        <f>IF(B514="","",70*'DDF Original'!$Q$4)</f>
        <v/>
      </c>
      <c r="M514" s="20" t="str">
        <f t="shared" si="62"/>
        <v/>
      </c>
      <c r="N514" s="20" t="str">
        <f>IF(AND(OR(B514="",J514&gt;G514,M514&gt;G514),'DDF Original'!L514&lt;&gt; "MI"),G514,IF(M514&gt;J514,M514,J514))</f>
        <v/>
      </c>
    </row>
    <row r="515" spans="2:14" x14ac:dyDescent="0.2">
      <c r="B515" s="19" t="str">
        <f>IF('DDF Original'!B515="","",'DDF Original'!B515)</f>
        <v/>
      </c>
      <c r="C515" s="19" t="e">
        <f t="shared" si="56"/>
        <v>#VALUE!</v>
      </c>
      <c r="D515" s="20" t="str">
        <f>IF('DDF Original'!C515="","",'DDF Original'!C515)</f>
        <v/>
      </c>
      <c r="E515" s="24" t="str">
        <f>IF('DDF Original'!B515="","",IF(TRIM('DDF Original'!I515)="",0,'DDF Original'!I515))</f>
        <v/>
      </c>
      <c r="F515" s="20" t="str">
        <f t="shared" si="57"/>
        <v/>
      </c>
      <c r="G515" s="37" t="str">
        <f>IF('DDF Original'!B515="","",IF(TRIM('DDF Original'!P515)="",0,'DDF Original'!P515))</f>
        <v/>
      </c>
      <c r="H515" s="20" t="str">
        <f t="shared" si="58"/>
        <v/>
      </c>
      <c r="I515" s="25" t="str">
        <f t="shared" si="59"/>
        <v/>
      </c>
      <c r="J515" s="20" t="str">
        <f t="shared" si="60"/>
        <v/>
      </c>
      <c r="K515" s="20" t="str">
        <f t="shared" si="61"/>
        <v/>
      </c>
      <c r="L515" s="20" t="str">
        <f>IF(B515="","",70*'DDF Original'!$Q$4)</f>
        <v/>
      </c>
      <c r="M515" s="20" t="str">
        <f t="shared" si="62"/>
        <v/>
      </c>
      <c r="N515" s="20" t="str">
        <f>IF(AND(OR(B515="",J515&gt;G515,M515&gt;G515),'DDF Original'!L515&lt;&gt; "MI"),G515,IF(M515&gt;J515,M515,J515))</f>
        <v/>
      </c>
    </row>
    <row r="516" spans="2:14" x14ac:dyDescent="0.2">
      <c r="B516" s="19" t="str">
        <f>IF('DDF Original'!B516="","",'DDF Original'!B516)</f>
        <v/>
      </c>
      <c r="C516" s="19" t="e">
        <f t="shared" si="56"/>
        <v>#VALUE!</v>
      </c>
      <c r="D516" s="20" t="str">
        <f>IF('DDF Original'!C516="","",'DDF Original'!C516)</f>
        <v/>
      </c>
      <c r="E516" s="24" t="str">
        <f>IF('DDF Original'!B516="","",IF(TRIM('DDF Original'!I516)="",0,'DDF Original'!I516))</f>
        <v/>
      </c>
      <c r="F516" s="20" t="str">
        <f t="shared" si="57"/>
        <v/>
      </c>
      <c r="G516" s="37" t="str">
        <f>IF('DDF Original'!B516="","",IF(TRIM('DDF Original'!P516)="",0,'DDF Original'!P516))</f>
        <v/>
      </c>
      <c r="H516" s="20" t="str">
        <f t="shared" si="58"/>
        <v/>
      </c>
      <c r="I516" s="25" t="str">
        <f t="shared" si="59"/>
        <v/>
      </c>
      <c r="J516" s="20" t="str">
        <f t="shared" si="60"/>
        <v/>
      </c>
      <c r="K516" s="20" t="str">
        <f t="shared" si="61"/>
        <v/>
      </c>
      <c r="L516" s="20" t="str">
        <f>IF(B516="","",70*'DDF Original'!$Q$4)</f>
        <v/>
      </c>
      <c r="M516" s="20" t="str">
        <f t="shared" si="62"/>
        <v/>
      </c>
      <c r="N516" s="20" t="str">
        <f>IF(AND(OR(B516="",J516&gt;G516,M516&gt;G516),'DDF Original'!L516&lt;&gt; "MI"),G516,IF(M516&gt;J516,M516,J516))</f>
        <v/>
      </c>
    </row>
    <row r="517" spans="2:14" x14ac:dyDescent="0.2">
      <c r="B517" s="19" t="str">
        <f>IF('DDF Original'!B517="","",'DDF Original'!B517)</f>
        <v/>
      </c>
      <c r="C517" s="19" t="e">
        <f t="shared" si="56"/>
        <v>#VALUE!</v>
      </c>
      <c r="D517" s="20" t="str">
        <f>IF('DDF Original'!C517="","",'DDF Original'!C517)</f>
        <v/>
      </c>
      <c r="E517" s="24" t="str">
        <f>IF('DDF Original'!B517="","",IF(TRIM('DDF Original'!I517)="",0,'DDF Original'!I517))</f>
        <v/>
      </c>
      <c r="F517" s="20" t="str">
        <f t="shared" si="57"/>
        <v/>
      </c>
      <c r="G517" s="37" t="str">
        <f>IF('DDF Original'!B517="","",IF(TRIM('DDF Original'!P517)="",0,'DDF Original'!P517))</f>
        <v/>
      </c>
      <c r="H517" s="20" t="str">
        <f t="shared" si="58"/>
        <v/>
      </c>
      <c r="I517" s="25" t="str">
        <f t="shared" si="59"/>
        <v/>
      </c>
      <c r="J517" s="20" t="str">
        <f t="shared" si="60"/>
        <v/>
      </c>
      <c r="K517" s="20" t="str">
        <f t="shared" si="61"/>
        <v/>
      </c>
      <c r="L517" s="20" t="str">
        <f>IF(B517="","",70*'DDF Original'!$Q$4)</f>
        <v/>
      </c>
      <c r="M517" s="20" t="str">
        <f t="shared" si="62"/>
        <v/>
      </c>
      <c r="N517" s="20" t="str">
        <f>IF(AND(OR(B517="",J517&gt;G517,M517&gt;G517),'DDF Original'!L517&lt;&gt; "MI"),G517,IF(M517&gt;J517,M517,J517))</f>
        <v/>
      </c>
    </row>
    <row r="518" spans="2:14" x14ac:dyDescent="0.2">
      <c r="B518" s="19" t="str">
        <f>IF('DDF Original'!B518="","",'DDF Original'!B518)</f>
        <v/>
      </c>
      <c r="C518" s="19" t="e">
        <f t="shared" si="56"/>
        <v>#VALUE!</v>
      </c>
      <c r="D518" s="20" t="str">
        <f>IF('DDF Original'!C518="","",'DDF Original'!C518)</f>
        <v/>
      </c>
      <c r="E518" s="24" t="str">
        <f>IF('DDF Original'!B518="","",IF(TRIM('DDF Original'!I518)="",0,'DDF Original'!I518))</f>
        <v/>
      </c>
      <c r="F518" s="20" t="str">
        <f t="shared" si="57"/>
        <v/>
      </c>
      <c r="G518" s="37" t="str">
        <f>IF('DDF Original'!B518="","",IF(TRIM('DDF Original'!P518)="",0,'DDF Original'!P518))</f>
        <v/>
      </c>
      <c r="H518" s="20" t="str">
        <f t="shared" si="58"/>
        <v/>
      </c>
      <c r="I518" s="25" t="str">
        <f t="shared" si="59"/>
        <v/>
      </c>
      <c r="J518" s="20" t="str">
        <f t="shared" si="60"/>
        <v/>
      </c>
      <c r="K518" s="20" t="str">
        <f t="shared" si="61"/>
        <v/>
      </c>
      <c r="L518" s="20" t="str">
        <f>IF(B518="","",70*'DDF Original'!$Q$4)</f>
        <v/>
      </c>
      <c r="M518" s="20" t="str">
        <f t="shared" si="62"/>
        <v/>
      </c>
      <c r="N518" s="20" t="str">
        <f>IF(AND(OR(B518="",J518&gt;G518,M518&gt;G518),'DDF Original'!L518&lt;&gt; "MI"),G518,IF(M518&gt;J518,M518,J518))</f>
        <v/>
      </c>
    </row>
    <row r="519" spans="2:14" x14ac:dyDescent="0.2">
      <c r="B519" s="19" t="str">
        <f>IF('DDF Original'!B519="","",'DDF Original'!B519)</f>
        <v/>
      </c>
      <c r="C519" s="19" t="e">
        <f t="shared" si="56"/>
        <v>#VALUE!</v>
      </c>
      <c r="D519" s="20" t="str">
        <f>IF('DDF Original'!C519="","",'DDF Original'!C519)</f>
        <v/>
      </c>
      <c r="E519" s="24" t="str">
        <f>IF('DDF Original'!B519="","",IF(TRIM('DDF Original'!I519)="",0,'DDF Original'!I519))</f>
        <v/>
      </c>
      <c r="F519" s="20" t="str">
        <f t="shared" si="57"/>
        <v/>
      </c>
      <c r="G519" s="37" t="str">
        <f>IF('DDF Original'!B519="","",IF(TRIM('DDF Original'!P519)="",0,'DDF Original'!P519))</f>
        <v/>
      </c>
      <c r="H519" s="20" t="str">
        <f t="shared" si="58"/>
        <v/>
      </c>
      <c r="I519" s="25" t="str">
        <f t="shared" si="59"/>
        <v/>
      </c>
      <c r="J519" s="20" t="str">
        <f t="shared" si="60"/>
        <v/>
      </c>
      <c r="K519" s="20" t="str">
        <f t="shared" si="61"/>
        <v/>
      </c>
      <c r="L519" s="20" t="str">
        <f>IF(B519="","",70*'DDF Original'!$Q$4)</f>
        <v/>
      </c>
      <c r="M519" s="20" t="str">
        <f t="shared" si="62"/>
        <v/>
      </c>
      <c r="N519" s="20" t="str">
        <f>IF(AND(OR(B519="",J519&gt;G519,M519&gt;G519),'DDF Original'!L519&lt;&gt; "MI"),G519,IF(M519&gt;J519,M519,J519))</f>
        <v/>
      </c>
    </row>
    <row r="520" spans="2:14" x14ac:dyDescent="0.2">
      <c r="B520" s="19" t="str">
        <f>IF('DDF Original'!B520="","",'DDF Original'!B520)</f>
        <v/>
      </c>
      <c r="C520" s="19" t="e">
        <f t="shared" si="56"/>
        <v>#VALUE!</v>
      </c>
      <c r="D520" s="20" t="str">
        <f>IF('DDF Original'!C520="","",'DDF Original'!C520)</f>
        <v/>
      </c>
      <c r="E520" s="24" t="str">
        <f>IF('DDF Original'!B520="","",IF(TRIM('DDF Original'!I520)="",0,'DDF Original'!I520))</f>
        <v/>
      </c>
      <c r="F520" s="20" t="str">
        <f t="shared" si="57"/>
        <v/>
      </c>
      <c r="G520" s="37" t="str">
        <f>IF('DDF Original'!B520="","",IF(TRIM('DDF Original'!P520)="",0,'DDF Original'!P520))</f>
        <v/>
      </c>
      <c r="H520" s="20" t="str">
        <f t="shared" si="58"/>
        <v/>
      </c>
      <c r="I520" s="25" t="str">
        <f t="shared" si="59"/>
        <v/>
      </c>
      <c r="J520" s="20" t="str">
        <f t="shared" si="60"/>
        <v/>
      </c>
      <c r="K520" s="20" t="str">
        <f t="shared" si="61"/>
        <v/>
      </c>
      <c r="L520" s="20" t="str">
        <f>IF(B520="","",70*'DDF Original'!$Q$4)</f>
        <v/>
      </c>
      <c r="M520" s="20" t="str">
        <f t="shared" si="62"/>
        <v/>
      </c>
      <c r="N520" s="20" t="str">
        <f>IF(AND(OR(B520="",J520&gt;G520,M520&gt;G520),'DDF Original'!L520&lt;&gt; "MI"),G520,IF(M520&gt;J520,M520,J520))</f>
        <v/>
      </c>
    </row>
    <row r="521" spans="2:14" x14ac:dyDescent="0.2">
      <c r="B521" s="19" t="str">
        <f>IF('DDF Original'!B521="","",'DDF Original'!B521)</f>
        <v/>
      </c>
      <c r="C521" s="19" t="e">
        <f t="shared" si="56"/>
        <v>#VALUE!</v>
      </c>
      <c r="D521" s="20" t="str">
        <f>IF('DDF Original'!C521="","",'DDF Original'!C521)</f>
        <v/>
      </c>
      <c r="E521" s="24" t="str">
        <f>IF('DDF Original'!B521="","",IF(TRIM('DDF Original'!I521)="",0,'DDF Original'!I521))</f>
        <v/>
      </c>
      <c r="F521" s="20" t="str">
        <f t="shared" si="57"/>
        <v/>
      </c>
      <c r="G521" s="37" t="str">
        <f>IF('DDF Original'!B521="","",IF(TRIM('DDF Original'!P521)="",0,'DDF Original'!P521))</f>
        <v/>
      </c>
      <c r="H521" s="20" t="str">
        <f t="shared" si="58"/>
        <v/>
      </c>
      <c r="I521" s="25" t="str">
        <f t="shared" si="59"/>
        <v/>
      </c>
      <c r="J521" s="20" t="str">
        <f t="shared" si="60"/>
        <v/>
      </c>
      <c r="K521" s="20" t="str">
        <f t="shared" si="61"/>
        <v/>
      </c>
      <c r="L521" s="20" t="str">
        <f>IF(B521="","",70*'DDF Original'!$Q$4)</f>
        <v/>
      </c>
      <c r="M521" s="20" t="str">
        <f t="shared" si="62"/>
        <v/>
      </c>
      <c r="N521" s="20" t="str">
        <f>IF(AND(OR(B521="",J521&gt;G521,M521&gt;G521),'DDF Original'!L521&lt;&gt; "MI"),G521,IF(M521&gt;J521,M521,J521))</f>
        <v/>
      </c>
    </row>
    <row r="522" spans="2:14" x14ac:dyDescent="0.2">
      <c r="B522" s="19" t="str">
        <f>IF('DDF Original'!B522="","",'DDF Original'!B522)</f>
        <v/>
      </c>
      <c r="C522" s="19" t="e">
        <f t="shared" si="56"/>
        <v>#VALUE!</v>
      </c>
      <c r="D522" s="20" t="str">
        <f>IF('DDF Original'!C522="","",'DDF Original'!C522)</f>
        <v/>
      </c>
      <c r="E522" s="24" t="str">
        <f>IF('DDF Original'!B522="","",IF(TRIM('DDF Original'!I522)="",0,'DDF Original'!I522))</f>
        <v/>
      </c>
      <c r="F522" s="20" t="str">
        <f t="shared" si="57"/>
        <v/>
      </c>
      <c r="G522" s="37" t="str">
        <f>IF('DDF Original'!B522="","",IF(TRIM('DDF Original'!P522)="",0,'DDF Original'!P522))</f>
        <v/>
      </c>
      <c r="H522" s="20" t="str">
        <f t="shared" si="58"/>
        <v/>
      </c>
      <c r="I522" s="25" t="str">
        <f t="shared" si="59"/>
        <v/>
      </c>
      <c r="J522" s="20" t="str">
        <f t="shared" si="60"/>
        <v/>
      </c>
      <c r="K522" s="20" t="str">
        <f t="shared" si="61"/>
        <v/>
      </c>
      <c r="L522" s="20" t="str">
        <f>IF(B522="","",70*'DDF Original'!$Q$4)</f>
        <v/>
      </c>
      <c r="M522" s="20" t="str">
        <f t="shared" si="62"/>
        <v/>
      </c>
      <c r="N522" s="20" t="str">
        <f>IF(AND(OR(B522="",J522&gt;G522,M522&gt;G522),'DDF Original'!L522&lt;&gt; "MI"),G522,IF(M522&gt;J522,M522,J522))</f>
        <v/>
      </c>
    </row>
    <row r="523" spans="2:14" x14ac:dyDescent="0.2">
      <c r="B523" s="19" t="str">
        <f>IF('DDF Original'!B523="","",'DDF Original'!B523)</f>
        <v/>
      </c>
      <c r="C523" s="19" t="e">
        <f t="shared" si="56"/>
        <v>#VALUE!</v>
      </c>
      <c r="D523" s="20" t="str">
        <f>IF('DDF Original'!C523="","",'DDF Original'!C523)</f>
        <v/>
      </c>
      <c r="E523" s="24" t="str">
        <f>IF('DDF Original'!B523="","",IF(TRIM('DDF Original'!I523)="",0,'DDF Original'!I523))</f>
        <v/>
      </c>
      <c r="F523" s="20" t="str">
        <f t="shared" si="57"/>
        <v/>
      </c>
      <c r="G523" s="37" t="str">
        <f>IF('DDF Original'!B523="","",IF(TRIM('DDF Original'!P523)="",0,'DDF Original'!P523))</f>
        <v/>
      </c>
      <c r="H523" s="20" t="str">
        <f t="shared" si="58"/>
        <v/>
      </c>
      <c r="I523" s="25" t="str">
        <f t="shared" si="59"/>
        <v/>
      </c>
      <c r="J523" s="20" t="str">
        <f t="shared" si="60"/>
        <v/>
      </c>
      <c r="K523" s="20" t="str">
        <f t="shared" si="61"/>
        <v/>
      </c>
      <c r="L523" s="20" t="str">
        <f>IF(B523="","",70*'DDF Original'!$Q$4)</f>
        <v/>
      </c>
      <c r="M523" s="20" t="str">
        <f t="shared" si="62"/>
        <v/>
      </c>
      <c r="N523" s="20" t="str">
        <f>IF(AND(OR(B523="",J523&gt;G523,M523&gt;G523),'DDF Original'!L523&lt;&gt; "MI"),G523,IF(M523&gt;J523,M523,J523))</f>
        <v/>
      </c>
    </row>
    <row r="524" spans="2:14" x14ac:dyDescent="0.2">
      <c r="B524" s="19" t="str">
        <f>IF('DDF Original'!B524="","",'DDF Original'!B524)</f>
        <v/>
      </c>
      <c r="C524" s="19" t="e">
        <f t="shared" si="56"/>
        <v>#VALUE!</v>
      </c>
      <c r="D524" s="20" t="str">
        <f>IF('DDF Original'!C524="","",'DDF Original'!C524)</f>
        <v/>
      </c>
      <c r="E524" s="24" t="str">
        <f>IF('DDF Original'!B524="","",IF(TRIM('DDF Original'!I524)="",0,'DDF Original'!I524))</f>
        <v/>
      </c>
      <c r="F524" s="20" t="str">
        <f t="shared" si="57"/>
        <v/>
      </c>
      <c r="G524" s="37" t="str">
        <f>IF('DDF Original'!B524="","",IF(TRIM('DDF Original'!P524)="",0,'DDF Original'!P524))</f>
        <v/>
      </c>
      <c r="H524" s="20" t="str">
        <f t="shared" si="58"/>
        <v/>
      </c>
      <c r="I524" s="25" t="str">
        <f t="shared" si="59"/>
        <v/>
      </c>
      <c r="J524" s="20" t="str">
        <f t="shared" si="60"/>
        <v/>
      </c>
      <c r="K524" s="20" t="str">
        <f t="shared" si="61"/>
        <v/>
      </c>
      <c r="L524" s="20" t="str">
        <f>IF(B524="","",70*'DDF Original'!$Q$4)</f>
        <v/>
      </c>
      <c r="M524" s="20" t="str">
        <f t="shared" si="62"/>
        <v/>
      </c>
      <c r="N524" s="20" t="str">
        <f>IF(AND(OR(B524="",J524&gt;G524,M524&gt;G524),'DDF Original'!L524&lt;&gt; "MI"),G524,IF(M524&gt;J524,M524,J524))</f>
        <v/>
      </c>
    </row>
    <row r="525" spans="2:14" x14ac:dyDescent="0.2">
      <c r="B525" s="19" t="str">
        <f>IF('DDF Original'!B525="","",'DDF Original'!B525)</f>
        <v/>
      </c>
      <c r="C525" s="19" t="e">
        <f t="shared" si="56"/>
        <v>#VALUE!</v>
      </c>
      <c r="D525" s="20" t="str">
        <f>IF('DDF Original'!C525="","",'DDF Original'!C525)</f>
        <v/>
      </c>
      <c r="E525" s="24" t="str">
        <f>IF('DDF Original'!B525="","",IF(TRIM('DDF Original'!I525)="",0,'DDF Original'!I525))</f>
        <v/>
      </c>
      <c r="F525" s="20" t="str">
        <f t="shared" si="57"/>
        <v/>
      </c>
      <c r="G525" s="37" t="str">
        <f>IF('DDF Original'!B525="","",IF(TRIM('DDF Original'!P525)="",0,'DDF Original'!P525))</f>
        <v/>
      </c>
      <c r="H525" s="20" t="str">
        <f t="shared" si="58"/>
        <v/>
      </c>
      <c r="I525" s="25" t="str">
        <f t="shared" si="59"/>
        <v/>
      </c>
      <c r="J525" s="20" t="str">
        <f t="shared" si="60"/>
        <v/>
      </c>
      <c r="K525" s="20" t="str">
        <f t="shared" si="61"/>
        <v/>
      </c>
      <c r="L525" s="20" t="str">
        <f>IF(B525="","",70*'DDF Original'!$Q$4)</f>
        <v/>
      </c>
      <c r="M525" s="20" t="str">
        <f t="shared" si="62"/>
        <v/>
      </c>
      <c r="N525" s="20" t="str">
        <f>IF(AND(OR(B525="",J525&gt;G525,M525&gt;G525),'DDF Original'!L525&lt;&gt; "MI"),G525,IF(M525&gt;J525,M525,J525))</f>
        <v/>
      </c>
    </row>
    <row r="526" spans="2:14" x14ac:dyDescent="0.2">
      <c r="B526" s="19" t="str">
        <f>IF('DDF Original'!B526="","",'DDF Original'!B526)</f>
        <v/>
      </c>
      <c r="C526" s="19" t="e">
        <f t="shared" si="56"/>
        <v>#VALUE!</v>
      </c>
      <c r="D526" s="20" t="str">
        <f>IF('DDF Original'!C526="","",'DDF Original'!C526)</f>
        <v/>
      </c>
      <c r="E526" s="24" t="str">
        <f>IF('DDF Original'!B526="","",IF(TRIM('DDF Original'!I526)="",0,'DDF Original'!I526))</f>
        <v/>
      </c>
      <c r="F526" s="20" t="str">
        <f t="shared" si="57"/>
        <v/>
      </c>
      <c r="G526" s="37" t="str">
        <f>IF('DDF Original'!B526="","",IF(TRIM('DDF Original'!P526)="",0,'DDF Original'!P526))</f>
        <v/>
      </c>
      <c r="H526" s="20" t="str">
        <f t="shared" si="58"/>
        <v/>
      </c>
      <c r="I526" s="25" t="str">
        <f t="shared" si="59"/>
        <v/>
      </c>
      <c r="J526" s="20" t="str">
        <f t="shared" si="60"/>
        <v/>
      </c>
      <c r="K526" s="20" t="str">
        <f t="shared" si="61"/>
        <v/>
      </c>
      <c r="L526" s="20" t="str">
        <f>IF(B526="","",70*'DDF Original'!$Q$4)</f>
        <v/>
      </c>
      <c r="M526" s="20" t="str">
        <f t="shared" si="62"/>
        <v/>
      </c>
      <c r="N526" s="20" t="str">
        <f>IF(AND(OR(B526="",J526&gt;G526,M526&gt;G526),'DDF Original'!L526&lt;&gt; "MI"),G526,IF(M526&gt;J526,M526,J526))</f>
        <v/>
      </c>
    </row>
    <row r="527" spans="2:14" x14ac:dyDescent="0.2">
      <c r="B527" s="19" t="str">
        <f>IF('DDF Original'!B527="","",'DDF Original'!B527)</f>
        <v/>
      </c>
      <c r="C527" s="19" t="e">
        <f t="shared" si="56"/>
        <v>#VALUE!</v>
      </c>
      <c r="D527" s="20" t="str">
        <f>IF('DDF Original'!C527="","",'DDF Original'!C527)</f>
        <v/>
      </c>
      <c r="E527" s="24" t="str">
        <f>IF('DDF Original'!B527="","",IF(TRIM('DDF Original'!I527)="",0,'DDF Original'!I527))</f>
        <v/>
      </c>
      <c r="F527" s="20" t="str">
        <f t="shared" si="57"/>
        <v/>
      </c>
      <c r="G527" s="37" t="str">
        <f>IF('DDF Original'!B527="","",IF(TRIM('DDF Original'!P527)="",0,'DDF Original'!P527))</f>
        <v/>
      </c>
      <c r="H527" s="20" t="str">
        <f t="shared" si="58"/>
        <v/>
      </c>
      <c r="I527" s="25" t="str">
        <f t="shared" si="59"/>
        <v/>
      </c>
      <c r="J527" s="20" t="str">
        <f t="shared" si="60"/>
        <v/>
      </c>
      <c r="K527" s="20" t="str">
        <f t="shared" si="61"/>
        <v/>
      </c>
      <c r="L527" s="20" t="str">
        <f>IF(B527="","",70*'DDF Original'!$Q$4)</f>
        <v/>
      </c>
      <c r="M527" s="20" t="str">
        <f t="shared" si="62"/>
        <v/>
      </c>
      <c r="N527" s="20" t="str">
        <f>IF(AND(OR(B527="",J527&gt;G527,M527&gt;G527),'DDF Original'!L527&lt;&gt; "MI"),G527,IF(M527&gt;J527,M527,J527))</f>
        <v/>
      </c>
    </row>
    <row r="528" spans="2:14" x14ac:dyDescent="0.2">
      <c r="B528" s="19" t="str">
        <f>IF('DDF Original'!B528="","",'DDF Original'!B528)</f>
        <v/>
      </c>
      <c r="C528" s="19" t="e">
        <f t="shared" si="56"/>
        <v>#VALUE!</v>
      </c>
      <c r="D528" s="20" t="str">
        <f>IF('DDF Original'!C528="","",'DDF Original'!C528)</f>
        <v/>
      </c>
      <c r="E528" s="24" t="str">
        <f>IF('DDF Original'!B528="","",IF(TRIM('DDF Original'!I528)="",0,'DDF Original'!I528))</f>
        <v/>
      </c>
      <c r="F528" s="20" t="str">
        <f t="shared" si="57"/>
        <v/>
      </c>
      <c r="G528" s="37" t="str">
        <f>IF('DDF Original'!B528="","",IF(TRIM('DDF Original'!P528)="",0,'DDF Original'!P528))</f>
        <v/>
      </c>
      <c r="H528" s="20" t="str">
        <f t="shared" si="58"/>
        <v/>
      </c>
      <c r="I528" s="25" t="str">
        <f t="shared" si="59"/>
        <v/>
      </c>
      <c r="J528" s="20" t="str">
        <f t="shared" si="60"/>
        <v/>
      </c>
      <c r="K528" s="20" t="str">
        <f t="shared" si="61"/>
        <v/>
      </c>
      <c r="L528" s="20" t="str">
        <f>IF(B528="","",70*'DDF Original'!$Q$4)</f>
        <v/>
      </c>
      <c r="M528" s="20" t="str">
        <f t="shared" si="62"/>
        <v/>
      </c>
      <c r="N528" s="20" t="str">
        <f>IF(AND(OR(B528="",J528&gt;G528,M528&gt;G528),'DDF Original'!L528&lt;&gt; "MI"),G528,IF(M528&gt;J528,M528,J528))</f>
        <v/>
      </c>
    </row>
    <row r="529" spans="2:14" x14ac:dyDescent="0.2">
      <c r="B529" s="19" t="str">
        <f>IF('DDF Original'!B529="","",'DDF Original'!B529)</f>
        <v/>
      </c>
      <c r="C529" s="19" t="e">
        <f t="shared" si="56"/>
        <v>#VALUE!</v>
      </c>
      <c r="D529" s="20" t="str">
        <f>IF('DDF Original'!C529="","",'DDF Original'!C529)</f>
        <v/>
      </c>
      <c r="E529" s="24" t="str">
        <f>IF('DDF Original'!B529="","",IF(TRIM('DDF Original'!I529)="",0,'DDF Original'!I529))</f>
        <v/>
      </c>
      <c r="F529" s="20" t="str">
        <f t="shared" si="57"/>
        <v/>
      </c>
      <c r="G529" s="37" t="str">
        <f>IF('DDF Original'!B529="","",IF(TRIM('DDF Original'!P529)="",0,'DDF Original'!P529))</f>
        <v/>
      </c>
      <c r="H529" s="20" t="str">
        <f t="shared" si="58"/>
        <v/>
      </c>
      <c r="I529" s="25" t="str">
        <f t="shared" si="59"/>
        <v/>
      </c>
      <c r="J529" s="20" t="str">
        <f t="shared" si="60"/>
        <v/>
      </c>
      <c r="K529" s="20" t="str">
        <f t="shared" si="61"/>
        <v/>
      </c>
      <c r="L529" s="20" t="str">
        <f>IF(B529="","",70*'DDF Original'!$Q$4)</f>
        <v/>
      </c>
      <c r="M529" s="20" t="str">
        <f t="shared" si="62"/>
        <v/>
      </c>
      <c r="N529" s="20" t="str">
        <f>IF(AND(OR(B529="",J529&gt;G529,M529&gt;G529),'DDF Original'!L529&lt;&gt; "MI"),G529,IF(M529&gt;J529,M529,J529))</f>
        <v/>
      </c>
    </row>
    <row r="530" spans="2:14" x14ac:dyDescent="0.2">
      <c r="B530" s="19" t="str">
        <f>IF('DDF Original'!B530="","",'DDF Original'!B530)</f>
        <v/>
      </c>
      <c r="C530" s="19" t="e">
        <f t="shared" si="56"/>
        <v>#VALUE!</v>
      </c>
      <c r="D530" s="20" t="str">
        <f>IF('DDF Original'!C530="","",'DDF Original'!C530)</f>
        <v/>
      </c>
      <c r="E530" s="24" t="str">
        <f>IF('DDF Original'!B530="","",IF(TRIM('DDF Original'!I530)="",0,'DDF Original'!I530))</f>
        <v/>
      </c>
      <c r="F530" s="20" t="str">
        <f t="shared" si="57"/>
        <v/>
      </c>
      <c r="G530" s="37" t="str">
        <f>IF('DDF Original'!B530="","",IF(TRIM('DDF Original'!P530)="",0,'DDF Original'!P530))</f>
        <v/>
      </c>
      <c r="H530" s="20" t="str">
        <f t="shared" si="58"/>
        <v/>
      </c>
      <c r="I530" s="25" t="str">
        <f t="shared" si="59"/>
        <v/>
      </c>
      <c r="J530" s="20" t="str">
        <f t="shared" si="60"/>
        <v/>
      </c>
      <c r="K530" s="20" t="str">
        <f t="shared" si="61"/>
        <v/>
      </c>
      <c r="L530" s="20" t="str">
        <f>IF(B530="","",70*'DDF Original'!$Q$4)</f>
        <v/>
      </c>
      <c r="M530" s="20" t="str">
        <f t="shared" si="62"/>
        <v/>
      </c>
      <c r="N530" s="20" t="str">
        <f>IF(AND(OR(B530="",J530&gt;G530,M530&gt;G530),'DDF Original'!L530&lt;&gt; "MI"),G530,IF(M530&gt;J530,M530,J530))</f>
        <v/>
      </c>
    </row>
    <row r="531" spans="2:14" x14ac:dyDescent="0.2">
      <c r="B531" s="19" t="str">
        <f>IF('DDF Original'!B531="","",'DDF Original'!B531)</f>
        <v/>
      </c>
      <c r="C531" s="19" t="e">
        <f t="shared" si="56"/>
        <v>#VALUE!</v>
      </c>
      <c r="D531" s="20" t="str">
        <f>IF('DDF Original'!C531="","",'DDF Original'!C531)</f>
        <v/>
      </c>
      <c r="E531" s="24" t="str">
        <f>IF('DDF Original'!B531="","",IF(TRIM('DDF Original'!I531)="",0,'DDF Original'!I531))</f>
        <v/>
      </c>
      <c r="F531" s="20" t="str">
        <f t="shared" si="57"/>
        <v/>
      </c>
      <c r="G531" s="37" t="str">
        <f>IF('DDF Original'!B531="","",IF(TRIM('DDF Original'!P531)="",0,'DDF Original'!P531))</f>
        <v/>
      </c>
      <c r="H531" s="20" t="str">
        <f t="shared" si="58"/>
        <v/>
      </c>
      <c r="I531" s="25" t="str">
        <f t="shared" si="59"/>
        <v/>
      </c>
      <c r="J531" s="20" t="str">
        <f t="shared" si="60"/>
        <v/>
      </c>
      <c r="K531" s="20" t="str">
        <f t="shared" si="61"/>
        <v/>
      </c>
      <c r="L531" s="20" t="str">
        <f>IF(B531="","",70*'DDF Original'!$Q$4)</f>
        <v/>
      </c>
      <c r="M531" s="20" t="str">
        <f t="shared" si="62"/>
        <v/>
      </c>
      <c r="N531" s="20" t="str">
        <f>IF(AND(OR(B531="",J531&gt;G531,M531&gt;G531),'DDF Original'!L531&lt;&gt; "MI"),G531,IF(M531&gt;J531,M531,J531))</f>
        <v/>
      </c>
    </row>
    <row r="532" spans="2:14" x14ac:dyDescent="0.2">
      <c r="B532" s="19" t="str">
        <f>IF('DDF Original'!B532="","",'DDF Original'!B532)</f>
        <v/>
      </c>
      <c r="C532" s="19" t="e">
        <f t="shared" si="56"/>
        <v>#VALUE!</v>
      </c>
      <c r="D532" s="20" t="str">
        <f>IF('DDF Original'!C532="","",'DDF Original'!C532)</f>
        <v/>
      </c>
      <c r="E532" s="24" t="str">
        <f>IF('DDF Original'!B532="","",IF(TRIM('DDF Original'!I532)="",0,'DDF Original'!I532))</f>
        <v/>
      </c>
      <c r="F532" s="20" t="str">
        <f t="shared" si="57"/>
        <v/>
      </c>
      <c r="G532" s="37" t="str">
        <f>IF('DDF Original'!B532="","",IF(TRIM('DDF Original'!P532)="",0,'DDF Original'!P532))</f>
        <v/>
      </c>
      <c r="H532" s="20" t="str">
        <f t="shared" si="58"/>
        <v/>
      </c>
      <c r="I532" s="25" t="str">
        <f t="shared" si="59"/>
        <v/>
      </c>
      <c r="J532" s="20" t="str">
        <f t="shared" si="60"/>
        <v/>
      </c>
      <c r="K532" s="20" t="str">
        <f t="shared" si="61"/>
        <v/>
      </c>
      <c r="L532" s="20" t="str">
        <f>IF(B532="","",70*'DDF Original'!$Q$4)</f>
        <v/>
      </c>
      <c r="M532" s="20" t="str">
        <f t="shared" si="62"/>
        <v/>
      </c>
      <c r="N532" s="20" t="str">
        <f>IF(AND(OR(B532="",J532&gt;G532,M532&gt;G532),'DDF Original'!L532&lt;&gt; "MI"),G532,IF(M532&gt;J532,M532,J532))</f>
        <v/>
      </c>
    </row>
    <row r="533" spans="2:14" x14ac:dyDescent="0.2">
      <c r="B533" s="19" t="str">
        <f>IF('DDF Original'!B533="","",'DDF Original'!B533)</f>
        <v/>
      </c>
      <c r="C533" s="19" t="e">
        <f t="shared" si="56"/>
        <v>#VALUE!</v>
      </c>
      <c r="D533" s="20" t="str">
        <f>IF('DDF Original'!C533="","",'DDF Original'!C533)</f>
        <v/>
      </c>
      <c r="E533" s="24" t="str">
        <f>IF('DDF Original'!B533="","",IF(TRIM('DDF Original'!I533)="",0,'DDF Original'!I533))</f>
        <v/>
      </c>
      <c r="F533" s="20" t="str">
        <f t="shared" si="57"/>
        <v/>
      </c>
      <c r="G533" s="37" t="str">
        <f>IF('DDF Original'!B533="","",IF(TRIM('DDF Original'!P533)="",0,'DDF Original'!P533))</f>
        <v/>
      </c>
      <c r="H533" s="20" t="str">
        <f t="shared" si="58"/>
        <v/>
      </c>
      <c r="I533" s="25" t="str">
        <f t="shared" si="59"/>
        <v/>
      </c>
      <c r="J533" s="20" t="str">
        <f t="shared" si="60"/>
        <v/>
      </c>
      <c r="K533" s="20" t="str">
        <f t="shared" si="61"/>
        <v/>
      </c>
      <c r="L533" s="20" t="str">
        <f>IF(B533="","",70*'DDF Original'!$Q$4)</f>
        <v/>
      </c>
      <c r="M533" s="20" t="str">
        <f t="shared" si="62"/>
        <v/>
      </c>
      <c r="N533" s="20" t="str">
        <f>IF(AND(OR(B533="",J533&gt;G533,M533&gt;G533),'DDF Original'!L533&lt;&gt; "MI"),G533,IF(M533&gt;J533,M533,J533))</f>
        <v/>
      </c>
    </row>
    <row r="534" spans="2:14" x14ac:dyDescent="0.2">
      <c r="B534" s="19" t="str">
        <f>IF('DDF Original'!B534="","",'DDF Original'!B534)</f>
        <v/>
      </c>
      <c r="C534" s="19" t="e">
        <f t="shared" si="56"/>
        <v>#VALUE!</v>
      </c>
      <c r="D534" s="20" t="str">
        <f>IF('DDF Original'!C534="","",'DDF Original'!C534)</f>
        <v/>
      </c>
      <c r="E534" s="24" t="str">
        <f>IF('DDF Original'!B534="","",IF(TRIM('DDF Original'!I534)="",0,'DDF Original'!I534))</f>
        <v/>
      </c>
      <c r="F534" s="20" t="str">
        <f t="shared" si="57"/>
        <v/>
      </c>
      <c r="G534" s="37" t="str">
        <f>IF('DDF Original'!B534="","",IF(TRIM('DDF Original'!P534)="",0,'DDF Original'!P534))</f>
        <v/>
      </c>
      <c r="H534" s="20" t="str">
        <f t="shared" si="58"/>
        <v/>
      </c>
      <c r="I534" s="25" t="str">
        <f t="shared" si="59"/>
        <v/>
      </c>
      <c r="J534" s="20" t="str">
        <f t="shared" si="60"/>
        <v/>
      </c>
      <c r="K534" s="20" t="str">
        <f t="shared" si="61"/>
        <v/>
      </c>
      <c r="L534" s="20" t="str">
        <f>IF(B534="","",70*'DDF Original'!$Q$4)</f>
        <v/>
      </c>
      <c r="M534" s="20" t="str">
        <f t="shared" si="62"/>
        <v/>
      </c>
      <c r="N534" s="20" t="str">
        <f>IF(AND(OR(B534="",J534&gt;G534,M534&gt;G534),'DDF Original'!L534&lt;&gt; "MI"),G534,IF(M534&gt;J534,M534,J534))</f>
        <v/>
      </c>
    </row>
    <row r="535" spans="2:14" x14ac:dyDescent="0.2">
      <c r="B535" s="19" t="str">
        <f>IF('DDF Original'!B535="","",'DDF Original'!B535)</f>
        <v/>
      </c>
      <c r="C535" s="19" t="e">
        <f t="shared" si="56"/>
        <v>#VALUE!</v>
      </c>
      <c r="D535" s="20" t="str">
        <f>IF('DDF Original'!C535="","",'DDF Original'!C535)</f>
        <v/>
      </c>
      <c r="E535" s="24" t="str">
        <f>IF('DDF Original'!B535="","",IF(TRIM('DDF Original'!I535)="",0,'DDF Original'!I535))</f>
        <v/>
      </c>
      <c r="F535" s="20" t="str">
        <f t="shared" si="57"/>
        <v/>
      </c>
      <c r="G535" s="37" t="str">
        <f>IF('DDF Original'!B535="","",IF(TRIM('DDF Original'!P535)="",0,'DDF Original'!P535))</f>
        <v/>
      </c>
      <c r="H535" s="20" t="str">
        <f t="shared" si="58"/>
        <v/>
      </c>
      <c r="I535" s="25" t="str">
        <f t="shared" si="59"/>
        <v/>
      </c>
      <c r="J535" s="20" t="str">
        <f t="shared" si="60"/>
        <v/>
      </c>
      <c r="K535" s="20" t="str">
        <f t="shared" si="61"/>
        <v/>
      </c>
      <c r="L535" s="20" t="str">
        <f>IF(B535="","",70*'DDF Original'!$Q$4)</f>
        <v/>
      </c>
      <c r="M535" s="20" t="str">
        <f t="shared" si="62"/>
        <v/>
      </c>
      <c r="N535" s="20" t="str">
        <f>IF(AND(OR(B535="",J535&gt;G535,M535&gt;G535),'DDF Original'!L535&lt;&gt; "MI"),G535,IF(M535&gt;J535,M535,J535))</f>
        <v/>
      </c>
    </row>
    <row r="536" spans="2:14" x14ac:dyDescent="0.2">
      <c r="B536" s="19" t="str">
        <f>IF('DDF Original'!B536="","",'DDF Original'!B536)</f>
        <v/>
      </c>
      <c r="C536" s="19" t="e">
        <f t="shared" si="56"/>
        <v>#VALUE!</v>
      </c>
      <c r="D536" s="20" t="str">
        <f>IF('DDF Original'!C536="","",'DDF Original'!C536)</f>
        <v/>
      </c>
      <c r="E536" s="24" t="str">
        <f>IF('DDF Original'!B536="","",IF(TRIM('DDF Original'!I536)="",0,'DDF Original'!I536))</f>
        <v/>
      </c>
      <c r="F536" s="20" t="str">
        <f t="shared" si="57"/>
        <v/>
      </c>
      <c r="G536" s="37" t="str">
        <f>IF('DDF Original'!B536="","",IF(TRIM('DDF Original'!P536)="",0,'DDF Original'!P536))</f>
        <v/>
      </c>
      <c r="H536" s="20" t="str">
        <f t="shared" si="58"/>
        <v/>
      </c>
      <c r="I536" s="25" t="str">
        <f t="shared" si="59"/>
        <v/>
      </c>
      <c r="J536" s="20" t="str">
        <f t="shared" si="60"/>
        <v/>
      </c>
      <c r="K536" s="20" t="str">
        <f t="shared" si="61"/>
        <v/>
      </c>
      <c r="L536" s="20" t="str">
        <f>IF(B536="","",70*'DDF Original'!$Q$4)</f>
        <v/>
      </c>
      <c r="M536" s="20" t="str">
        <f t="shared" si="62"/>
        <v/>
      </c>
      <c r="N536" s="20" t="str">
        <f>IF(AND(OR(B536="",J536&gt;G536,M536&gt;G536),'DDF Original'!L536&lt;&gt; "MI"),G536,IF(M536&gt;J536,M536,J536))</f>
        <v/>
      </c>
    </row>
    <row r="537" spans="2:14" x14ac:dyDescent="0.2">
      <c r="B537" s="19" t="str">
        <f>IF('DDF Original'!B537="","",'DDF Original'!B537)</f>
        <v/>
      </c>
      <c r="C537" s="19" t="e">
        <f t="shared" si="56"/>
        <v>#VALUE!</v>
      </c>
      <c r="D537" s="20" t="str">
        <f>IF('DDF Original'!C537="","",'DDF Original'!C537)</f>
        <v/>
      </c>
      <c r="E537" s="24" t="str">
        <f>IF('DDF Original'!B537="","",IF(TRIM('DDF Original'!I537)="",0,'DDF Original'!I537))</f>
        <v/>
      </c>
      <c r="F537" s="20" t="str">
        <f t="shared" si="57"/>
        <v/>
      </c>
      <c r="G537" s="37" t="str">
        <f>IF('DDF Original'!B537="","",IF(TRIM('DDF Original'!P537)="",0,'DDF Original'!P537))</f>
        <v/>
      </c>
      <c r="H537" s="20" t="str">
        <f t="shared" si="58"/>
        <v/>
      </c>
      <c r="I537" s="25" t="str">
        <f t="shared" si="59"/>
        <v/>
      </c>
      <c r="J537" s="20" t="str">
        <f t="shared" si="60"/>
        <v/>
      </c>
      <c r="K537" s="20" t="str">
        <f t="shared" si="61"/>
        <v/>
      </c>
      <c r="L537" s="20" t="str">
        <f>IF(B537="","",70*'DDF Original'!$Q$4)</f>
        <v/>
      </c>
      <c r="M537" s="20" t="str">
        <f t="shared" si="62"/>
        <v/>
      </c>
      <c r="N537" s="20" t="str">
        <f>IF(AND(OR(B537="",J537&gt;G537,M537&gt;G537),'DDF Original'!L537&lt;&gt; "MI"),G537,IF(M537&gt;J537,M537,J537))</f>
        <v/>
      </c>
    </row>
    <row r="538" spans="2:14" x14ac:dyDescent="0.2">
      <c r="B538" s="19" t="str">
        <f>IF('DDF Original'!B538="","",'DDF Original'!B538)</f>
        <v/>
      </c>
      <c r="C538" s="19" t="e">
        <f t="shared" si="56"/>
        <v>#VALUE!</v>
      </c>
      <c r="D538" s="20" t="str">
        <f>IF('DDF Original'!C538="","",'DDF Original'!C538)</f>
        <v/>
      </c>
      <c r="E538" s="24" t="str">
        <f>IF('DDF Original'!B538="","",IF(TRIM('DDF Original'!I538)="",0,'DDF Original'!I538))</f>
        <v/>
      </c>
      <c r="F538" s="20" t="str">
        <f t="shared" si="57"/>
        <v/>
      </c>
      <c r="G538" s="37" t="str">
        <f>IF('DDF Original'!B538="","",IF(TRIM('DDF Original'!P538)="",0,'DDF Original'!P538))</f>
        <v/>
      </c>
      <c r="H538" s="20" t="str">
        <f t="shared" si="58"/>
        <v/>
      </c>
      <c r="I538" s="25" t="str">
        <f t="shared" si="59"/>
        <v/>
      </c>
      <c r="J538" s="20" t="str">
        <f t="shared" si="60"/>
        <v/>
      </c>
      <c r="K538" s="20" t="str">
        <f t="shared" si="61"/>
        <v/>
      </c>
      <c r="L538" s="20" t="str">
        <f>IF(B538="","",70*'DDF Original'!$Q$4)</f>
        <v/>
      </c>
      <c r="M538" s="20" t="str">
        <f t="shared" si="62"/>
        <v/>
      </c>
      <c r="N538" s="20" t="str">
        <f>IF(AND(OR(B538="",J538&gt;G538,M538&gt;G538),'DDF Original'!L538&lt;&gt; "MI"),G538,IF(M538&gt;J538,M538,J538))</f>
        <v/>
      </c>
    </row>
    <row r="539" spans="2:14" x14ac:dyDescent="0.2">
      <c r="B539" s="19" t="str">
        <f>IF('DDF Original'!B539="","",'DDF Original'!B539)</f>
        <v/>
      </c>
      <c r="C539" s="19" t="e">
        <f t="shared" si="56"/>
        <v>#VALUE!</v>
      </c>
      <c r="D539" s="20" t="str">
        <f>IF('DDF Original'!C539="","",'DDF Original'!C539)</f>
        <v/>
      </c>
      <c r="E539" s="24" t="str">
        <f>IF('DDF Original'!B539="","",IF(TRIM('DDF Original'!I539)="",0,'DDF Original'!I539))</f>
        <v/>
      </c>
      <c r="F539" s="20" t="str">
        <f t="shared" si="57"/>
        <v/>
      </c>
      <c r="G539" s="37" t="str">
        <f>IF('DDF Original'!B539="","",IF(TRIM('DDF Original'!P539)="",0,'DDF Original'!P539))</f>
        <v/>
      </c>
      <c r="H539" s="20" t="str">
        <f t="shared" si="58"/>
        <v/>
      </c>
      <c r="I539" s="25" t="str">
        <f t="shared" si="59"/>
        <v/>
      </c>
      <c r="J539" s="20" t="str">
        <f t="shared" si="60"/>
        <v/>
      </c>
      <c r="K539" s="20" t="str">
        <f t="shared" si="61"/>
        <v/>
      </c>
      <c r="L539" s="20" t="str">
        <f>IF(B539="","",70*'DDF Original'!$Q$4)</f>
        <v/>
      </c>
      <c r="M539" s="20" t="str">
        <f t="shared" si="62"/>
        <v/>
      </c>
      <c r="N539" s="20" t="str">
        <f>IF(AND(OR(B539="",J539&gt;G539,M539&gt;G539),'DDF Original'!L539&lt;&gt; "MI"),G539,IF(M539&gt;J539,M539,J539))</f>
        <v/>
      </c>
    </row>
    <row r="540" spans="2:14" x14ac:dyDescent="0.2">
      <c r="B540" s="19" t="str">
        <f>IF('DDF Original'!B540="","",'DDF Original'!B540)</f>
        <v/>
      </c>
      <c r="C540" s="19" t="e">
        <f t="shared" si="56"/>
        <v>#VALUE!</v>
      </c>
      <c r="D540" s="20" t="str">
        <f>IF('DDF Original'!C540="","",'DDF Original'!C540)</f>
        <v/>
      </c>
      <c r="E540" s="24" t="str">
        <f>IF('DDF Original'!B540="","",IF(TRIM('DDF Original'!I540)="",0,'DDF Original'!I540))</f>
        <v/>
      </c>
      <c r="F540" s="20" t="str">
        <f t="shared" si="57"/>
        <v/>
      </c>
      <c r="G540" s="37" t="str">
        <f>IF('DDF Original'!B540="","",IF(TRIM('DDF Original'!P540)="",0,'DDF Original'!P540))</f>
        <v/>
      </c>
      <c r="H540" s="20" t="str">
        <f t="shared" si="58"/>
        <v/>
      </c>
      <c r="I540" s="25" t="str">
        <f t="shared" si="59"/>
        <v/>
      </c>
      <c r="J540" s="20" t="str">
        <f t="shared" si="60"/>
        <v/>
      </c>
      <c r="K540" s="20" t="str">
        <f t="shared" si="61"/>
        <v/>
      </c>
      <c r="L540" s="20" t="str">
        <f>IF(B540="","",70*'DDF Original'!$Q$4)</f>
        <v/>
      </c>
      <c r="M540" s="20" t="str">
        <f t="shared" si="62"/>
        <v/>
      </c>
      <c r="N540" s="20" t="str">
        <f>IF(AND(OR(B540="",J540&gt;G540,M540&gt;G540),'DDF Original'!L540&lt;&gt; "MI"),G540,IF(M540&gt;J540,M540,J540))</f>
        <v/>
      </c>
    </row>
    <row r="541" spans="2:14" x14ac:dyDescent="0.2">
      <c r="B541" s="19" t="str">
        <f>IF('DDF Original'!B541="","",'DDF Original'!B541)</f>
        <v/>
      </c>
      <c r="C541" s="19" t="e">
        <f t="shared" si="56"/>
        <v>#VALUE!</v>
      </c>
      <c r="D541" s="20" t="str">
        <f>IF('DDF Original'!C541="","",'DDF Original'!C541)</f>
        <v/>
      </c>
      <c r="E541" s="24" t="str">
        <f>IF('DDF Original'!B541="","",IF(TRIM('DDF Original'!I541)="",0,'DDF Original'!I541))</f>
        <v/>
      </c>
      <c r="F541" s="20" t="str">
        <f t="shared" si="57"/>
        <v/>
      </c>
      <c r="G541" s="37" t="str">
        <f>IF('DDF Original'!B541="","",IF(TRIM('DDF Original'!P541)="",0,'DDF Original'!P541))</f>
        <v/>
      </c>
      <c r="H541" s="20" t="str">
        <f t="shared" si="58"/>
        <v/>
      </c>
      <c r="I541" s="25" t="str">
        <f t="shared" si="59"/>
        <v/>
      </c>
      <c r="J541" s="20" t="str">
        <f t="shared" si="60"/>
        <v/>
      </c>
      <c r="K541" s="20" t="str">
        <f t="shared" si="61"/>
        <v/>
      </c>
      <c r="L541" s="20" t="str">
        <f>IF(B541="","",70*'DDF Original'!$Q$4)</f>
        <v/>
      </c>
      <c r="M541" s="20" t="str">
        <f t="shared" si="62"/>
        <v/>
      </c>
      <c r="N541" s="20" t="str">
        <f>IF(AND(OR(B541="",J541&gt;G541,M541&gt;G541),'DDF Original'!L541&lt;&gt; "MI"),G541,IF(M541&gt;J541,M541,J541))</f>
        <v/>
      </c>
    </row>
    <row r="542" spans="2:14" x14ac:dyDescent="0.2">
      <c r="B542" s="19" t="str">
        <f>IF('DDF Original'!B542="","",'DDF Original'!B542)</f>
        <v/>
      </c>
      <c r="C542" s="19" t="e">
        <f t="shared" si="56"/>
        <v>#VALUE!</v>
      </c>
      <c r="D542" s="20" t="str">
        <f>IF('DDF Original'!C542="","",'DDF Original'!C542)</f>
        <v/>
      </c>
      <c r="E542" s="24" t="str">
        <f>IF('DDF Original'!B542="","",IF(TRIM('DDF Original'!I542)="",0,'DDF Original'!I542))</f>
        <v/>
      </c>
      <c r="F542" s="20" t="str">
        <f t="shared" si="57"/>
        <v/>
      </c>
      <c r="G542" s="37" t="str">
        <f>IF('DDF Original'!B542="","",IF(TRIM('DDF Original'!P542)="",0,'DDF Original'!P542))</f>
        <v/>
      </c>
      <c r="H542" s="20" t="str">
        <f t="shared" si="58"/>
        <v/>
      </c>
      <c r="I542" s="25" t="str">
        <f t="shared" si="59"/>
        <v/>
      </c>
      <c r="J542" s="20" t="str">
        <f t="shared" si="60"/>
        <v/>
      </c>
      <c r="K542" s="20" t="str">
        <f t="shared" si="61"/>
        <v/>
      </c>
      <c r="L542" s="20" t="str">
        <f>IF(B542="","",70*'DDF Original'!$Q$4)</f>
        <v/>
      </c>
      <c r="M542" s="20" t="str">
        <f t="shared" si="62"/>
        <v/>
      </c>
      <c r="N542" s="20" t="str">
        <f>IF(AND(OR(B542="",J542&gt;G542,M542&gt;G542),'DDF Original'!L542&lt;&gt; "MI"),G542,IF(M542&gt;J542,M542,J542))</f>
        <v/>
      </c>
    </row>
    <row r="543" spans="2:14" x14ac:dyDescent="0.2">
      <c r="B543" s="19" t="str">
        <f>IF('DDF Original'!B543="","",'DDF Original'!B543)</f>
        <v/>
      </c>
      <c r="C543" s="19" t="e">
        <f t="shared" si="56"/>
        <v>#VALUE!</v>
      </c>
      <c r="D543" s="20" t="str">
        <f>IF('DDF Original'!C543="","",'DDF Original'!C543)</f>
        <v/>
      </c>
      <c r="E543" s="24" t="str">
        <f>IF('DDF Original'!B543="","",IF(TRIM('DDF Original'!I543)="",0,'DDF Original'!I543))</f>
        <v/>
      </c>
      <c r="F543" s="20" t="str">
        <f t="shared" si="57"/>
        <v/>
      </c>
      <c r="G543" s="37" t="str">
        <f>IF('DDF Original'!B543="","",IF(TRIM('DDF Original'!P543)="",0,'DDF Original'!P543))</f>
        <v/>
      </c>
      <c r="H543" s="20" t="str">
        <f t="shared" si="58"/>
        <v/>
      </c>
      <c r="I543" s="25" t="str">
        <f t="shared" si="59"/>
        <v/>
      </c>
      <c r="J543" s="20" t="str">
        <f t="shared" si="60"/>
        <v/>
      </c>
      <c r="K543" s="20" t="str">
        <f t="shared" si="61"/>
        <v/>
      </c>
      <c r="L543" s="20" t="str">
        <f>IF(B543="","",70*'DDF Original'!$Q$4)</f>
        <v/>
      </c>
      <c r="M543" s="20" t="str">
        <f t="shared" si="62"/>
        <v/>
      </c>
      <c r="N543" s="20" t="str">
        <f>IF(AND(OR(B543="",J543&gt;G543,M543&gt;G543),'DDF Original'!L543&lt;&gt; "MI"),G543,IF(M543&gt;J543,M543,J543))</f>
        <v/>
      </c>
    </row>
    <row r="544" spans="2:14" x14ac:dyDescent="0.2">
      <c r="B544" s="19" t="str">
        <f>IF('DDF Original'!B544="","",'DDF Original'!B544)</f>
        <v/>
      </c>
      <c r="C544" s="19" t="e">
        <f t="shared" si="56"/>
        <v>#VALUE!</v>
      </c>
      <c r="D544" s="20" t="str">
        <f>IF('DDF Original'!C544="","",'DDF Original'!C544)</f>
        <v/>
      </c>
      <c r="E544" s="24" t="str">
        <f>IF('DDF Original'!B544="","",IF(TRIM('DDF Original'!I544)="",0,'DDF Original'!I544))</f>
        <v/>
      </c>
      <c r="F544" s="20" t="str">
        <f t="shared" si="57"/>
        <v/>
      </c>
      <c r="G544" s="37" t="str">
        <f>IF('DDF Original'!B544="","",IF(TRIM('DDF Original'!P544)="",0,'DDF Original'!P544))</f>
        <v/>
      </c>
      <c r="H544" s="20" t="str">
        <f t="shared" si="58"/>
        <v/>
      </c>
      <c r="I544" s="25" t="str">
        <f t="shared" si="59"/>
        <v/>
      </c>
      <c r="J544" s="20" t="str">
        <f t="shared" si="60"/>
        <v/>
      </c>
      <c r="K544" s="20" t="str">
        <f t="shared" si="61"/>
        <v/>
      </c>
      <c r="L544" s="20" t="str">
        <f>IF(B544="","",70*'DDF Original'!$Q$4)</f>
        <v/>
      </c>
      <c r="M544" s="20" t="str">
        <f t="shared" si="62"/>
        <v/>
      </c>
      <c r="N544" s="20" t="str">
        <f>IF(AND(OR(B544="",J544&gt;G544,M544&gt;G544),'DDF Original'!L544&lt;&gt; "MI"),G544,IF(M544&gt;J544,M544,J544))</f>
        <v/>
      </c>
    </row>
    <row r="545" spans="2:14" x14ac:dyDescent="0.2">
      <c r="B545" s="19" t="str">
        <f>IF('DDF Original'!B545="","",'DDF Original'!B545)</f>
        <v/>
      </c>
      <c r="C545" s="19" t="e">
        <f t="shared" si="56"/>
        <v>#VALUE!</v>
      </c>
      <c r="D545" s="20" t="str">
        <f>IF('DDF Original'!C545="","",'DDF Original'!C545)</f>
        <v/>
      </c>
      <c r="E545" s="24" t="str">
        <f>IF('DDF Original'!B545="","",IF(TRIM('DDF Original'!I545)="",0,'DDF Original'!I545))</f>
        <v/>
      </c>
      <c r="F545" s="20" t="str">
        <f t="shared" si="57"/>
        <v/>
      </c>
      <c r="G545" s="37" t="str">
        <f>IF('DDF Original'!B545="","",IF(TRIM('DDF Original'!P545)="",0,'DDF Original'!P545))</f>
        <v/>
      </c>
      <c r="H545" s="20" t="str">
        <f t="shared" si="58"/>
        <v/>
      </c>
      <c r="I545" s="25" t="str">
        <f t="shared" si="59"/>
        <v/>
      </c>
      <c r="J545" s="20" t="str">
        <f t="shared" si="60"/>
        <v/>
      </c>
      <c r="K545" s="20" t="str">
        <f t="shared" si="61"/>
        <v/>
      </c>
      <c r="L545" s="20" t="str">
        <f>IF(B545="","",70*'DDF Original'!$Q$4)</f>
        <v/>
      </c>
      <c r="M545" s="20" t="str">
        <f t="shared" si="62"/>
        <v/>
      </c>
      <c r="N545" s="20" t="str">
        <f>IF(AND(OR(B545="",J545&gt;G545,M545&gt;G545),'DDF Original'!L545&lt;&gt; "MI"),G545,IF(M545&gt;J545,M545,J545))</f>
        <v/>
      </c>
    </row>
    <row r="546" spans="2:14" x14ac:dyDescent="0.2">
      <c r="B546" s="19" t="str">
        <f>IF('DDF Original'!B546="","",'DDF Original'!B546)</f>
        <v/>
      </c>
      <c r="C546" s="19" t="e">
        <f t="shared" si="56"/>
        <v>#VALUE!</v>
      </c>
      <c r="D546" s="20" t="str">
        <f>IF('DDF Original'!C546="","",'DDF Original'!C546)</f>
        <v/>
      </c>
      <c r="E546" s="24" t="str">
        <f>IF('DDF Original'!B546="","",IF(TRIM('DDF Original'!I546)="",0,'DDF Original'!I546))</f>
        <v/>
      </c>
      <c r="F546" s="20" t="str">
        <f t="shared" si="57"/>
        <v/>
      </c>
      <c r="G546" s="37" t="str">
        <f>IF('DDF Original'!B546="","",IF(TRIM('DDF Original'!P546)="",0,'DDF Original'!P546))</f>
        <v/>
      </c>
      <c r="H546" s="20" t="str">
        <f t="shared" si="58"/>
        <v/>
      </c>
      <c r="I546" s="25" t="str">
        <f t="shared" si="59"/>
        <v/>
      </c>
      <c r="J546" s="20" t="str">
        <f t="shared" si="60"/>
        <v/>
      </c>
      <c r="K546" s="20" t="str">
        <f t="shared" si="61"/>
        <v/>
      </c>
      <c r="L546" s="20" t="str">
        <f>IF(B546="","",70*'DDF Original'!$Q$4)</f>
        <v/>
      </c>
      <c r="M546" s="20" t="str">
        <f t="shared" si="62"/>
        <v/>
      </c>
      <c r="N546" s="20" t="str">
        <f>IF(AND(OR(B546="",J546&gt;G546,M546&gt;G546),'DDF Original'!L546&lt;&gt; "MI"),G546,IF(M546&gt;J546,M546,J546))</f>
        <v/>
      </c>
    </row>
    <row r="547" spans="2:14" x14ac:dyDescent="0.2">
      <c r="B547" s="19" t="str">
        <f>IF('DDF Original'!B547="","",'DDF Original'!B547)</f>
        <v/>
      </c>
      <c r="C547" s="19" t="e">
        <f t="shared" si="56"/>
        <v>#VALUE!</v>
      </c>
      <c r="D547" s="20" t="str">
        <f>IF('DDF Original'!C547="","",'DDF Original'!C547)</f>
        <v/>
      </c>
      <c r="E547" s="24" t="str">
        <f>IF('DDF Original'!B547="","",IF(TRIM('DDF Original'!I547)="",0,'DDF Original'!I547))</f>
        <v/>
      </c>
      <c r="F547" s="20" t="str">
        <f t="shared" si="57"/>
        <v/>
      </c>
      <c r="G547" s="37" t="str">
        <f>IF('DDF Original'!B547="","",IF(TRIM('DDF Original'!P547)="",0,'DDF Original'!P547))</f>
        <v/>
      </c>
      <c r="H547" s="20" t="str">
        <f t="shared" si="58"/>
        <v/>
      </c>
      <c r="I547" s="25" t="str">
        <f t="shared" si="59"/>
        <v/>
      </c>
      <c r="J547" s="20" t="str">
        <f t="shared" si="60"/>
        <v/>
      </c>
      <c r="K547" s="20" t="str">
        <f t="shared" si="61"/>
        <v/>
      </c>
      <c r="L547" s="20" t="str">
        <f>IF(B547="","",70*'DDF Original'!$Q$4)</f>
        <v/>
      </c>
      <c r="M547" s="20" t="str">
        <f t="shared" si="62"/>
        <v/>
      </c>
      <c r="N547" s="20" t="str">
        <f>IF(AND(OR(B547="",J547&gt;G547,M547&gt;G547),'DDF Original'!L547&lt;&gt; "MI"),G547,IF(M547&gt;J547,M547,J547))</f>
        <v/>
      </c>
    </row>
    <row r="548" spans="2:14" x14ac:dyDescent="0.2">
      <c r="B548" s="19" t="str">
        <f>IF('DDF Original'!B548="","",'DDF Original'!B548)</f>
        <v/>
      </c>
      <c r="C548" s="19" t="e">
        <f t="shared" si="56"/>
        <v>#VALUE!</v>
      </c>
      <c r="D548" s="20" t="str">
        <f>IF('DDF Original'!C548="","",'DDF Original'!C548)</f>
        <v/>
      </c>
      <c r="E548" s="24" t="str">
        <f>IF('DDF Original'!B548="","",IF(TRIM('DDF Original'!I548)="",0,'DDF Original'!I548))</f>
        <v/>
      </c>
      <c r="F548" s="20" t="str">
        <f t="shared" si="57"/>
        <v/>
      </c>
      <c r="G548" s="37" t="str">
        <f>IF('DDF Original'!B548="","",IF(TRIM('DDF Original'!P548)="",0,'DDF Original'!P548))</f>
        <v/>
      </c>
      <c r="H548" s="20" t="str">
        <f t="shared" si="58"/>
        <v/>
      </c>
      <c r="I548" s="25" t="str">
        <f t="shared" si="59"/>
        <v/>
      </c>
      <c r="J548" s="20" t="str">
        <f t="shared" si="60"/>
        <v/>
      </c>
      <c r="K548" s="20" t="str">
        <f t="shared" si="61"/>
        <v/>
      </c>
      <c r="L548" s="20" t="str">
        <f>IF(B548="","",70*'DDF Original'!$Q$4)</f>
        <v/>
      </c>
      <c r="M548" s="20" t="str">
        <f t="shared" si="62"/>
        <v/>
      </c>
      <c r="N548" s="20" t="str">
        <f>IF(AND(OR(B548="",J548&gt;G548,M548&gt;G548),'DDF Original'!L548&lt;&gt; "MI"),G548,IF(M548&gt;J548,M548,J548))</f>
        <v/>
      </c>
    </row>
    <row r="549" spans="2:14" x14ac:dyDescent="0.2">
      <c r="B549" s="19" t="str">
        <f>IF('DDF Original'!B549="","",'DDF Original'!B549)</f>
        <v/>
      </c>
      <c r="C549" s="19" t="e">
        <f t="shared" si="56"/>
        <v>#VALUE!</v>
      </c>
      <c r="D549" s="20" t="str">
        <f>IF('DDF Original'!C549="","",'DDF Original'!C549)</f>
        <v/>
      </c>
      <c r="E549" s="24" t="str">
        <f>IF('DDF Original'!B549="","",IF(TRIM('DDF Original'!I549)="",0,'DDF Original'!I549))</f>
        <v/>
      </c>
      <c r="F549" s="20" t="str">
        <f t="shared" si="57"/>
        <v/>
      </c>
      <c r="G549" s="37" t="str">
        <f>IF('DDF Original'!B549="","",IF(TRIM('DDF Original'!P549)="",0,'DDF Original'!P549))</f>
        <v/>
      </c>
      <c r="H549" s="20" t="str">
        <f t="shared" si="58"/>
        <v/>
      </c>
      <c r="I549" s="25" t="str">
        <f t="shared" si="59"/>
        <v/>
      </c>
      <c r="J549" s="20" t="str">
        <f t="shared" si="60"/>
        <v/>
      </c>
      <c r="K549" s="20" t="str">
        <f t="shared" si="61"/>
        <v/>
      </c>
      <c r="L549" s="20" t="str">
        <f>IF(B549="","",70*'DDF Original'!$Q$4)</f>
        <v/>
      </c>
      <c r="M549" s="20" t="str">
        <f t="shared" si="62"/>
        <v/>
      </c>
      <c r="N549" s="20" t="str">
        <f>IF(AND(OR(B549="",J549&gt;G549,M549&gt;G549),'DDF Original'!L549&lt;&gt; "MI"),G549,IF(M549&gt;J549,M549,J549))</f>
        <v/>
      </c>
    </row>
    <row r="550" spans="2:14" x14ac:dyDescent="0.2">
      <c r="B550" s="19" t="str">
        <f>IF('DDF Original'!B550="","",'DDF Original'!B550)</f>
        <v/>
      </c>
      <c r="C550" s="19" t="e">
        <f t="shared" si="56"/>
        <v>#VALUE!</v>
      </c>
      <c r="D550" s="20" t="str">
        <f>IF('DDF Original'!C550="","",'DDF Original'!C550)</f>
        <v/>
      </c>
      <c r="E550" s="24" t="str">
        <f>IF('DDF Original'!B550="","",IF(TRIM('DDF Original'!I550)="",0,'DDF Original'!I550))</f>
        <v/>
      </c>
      <c r="F550" s="20" t="str">
        <f t="shared" si="57"/>
        <v/>
      </c>
      <c r="G550" s="37" t="str">
        <f>IF('DDF Original'!B550="","",IF(TRIM('DDF Original'!P550)="",0,'DDF Original'!P550))</f>
        <v/>
      </c>
      <c r="H550" s="20" t="str">
        <f t="shared" si="58"/>
        <v/>
      </c>
      <c r="I550" s="25" t="str">
        <f t="shared" si="59"/>
        <v/>
      </c>
      <c r="J550" s="20" t="str">
        <f t="shared" si="60"/>
        <v/>
      </c>
      <c r="K550" s="20" t="str">
        <f t="shared" si="61"/>
        <v/>
      </c>
      <c r="L550" s="20" t="str">
        <f>IF(B550="","",70*'DDF Original'!$Q$4)</f>
        <v/>
      </c>
      <c r="M550" s="20" t="str">
        <f t="shared" si="62"/>
        <v/>
      </c>
      <c r="N550" s="20" t="str">
        <f>IF(AND(OR(B550="",J550&gt;G550,M550&gt;G550),'DDF Original'!L550&lt;&gt; "MI"),G550,IF(M550&gt;J550,M550,J550))</f>
        <v/>
      </c>
    </row>
    <row r="551" spans="2:14" x14ac:dyDescent="0.2">
      <c r="B551" s="19" t="str">
        <f>IF('DDF Original'!B551="","",'DDF Original'!B551)</f>
        <v/>
      </c>
      <c r="C551" s="19" t="e">
        <f t="shared" si="56"/>
        <v>#VALUE!</v>
      </c>
      <c r="D551" s="20" t="str">
        <f>IF('DDF Original'!C551="","",'DDF Original'!C551)</f>
        <v/>
      </c>
      <c r="E551" s="24" t="str">
        <f>IF('DDF Original'!B551="","",IF(TRIM('DDF Original'!I551)="",0,'DDF Original'!I551))</f>
        <v/>
      </c>
      <c r="F551" s="20" t="str">
        <f t="shared" si="57"/>
        <v/>
      </c>
      <c r="G551" s="37" t="str">
        <f>IF('DDF Original'!B551="","",IF(TRIM('DDF Original'!P551)="",0,'DDF Original'!P551))</f>
        <v/>
      </c>
      <c r="H551" s="20" t="str">
        <f t="shared" si="58"/>
        <v/>
      </c>
      <c r="I551" s="25" t="str">
        <f t="shared" si="59"/>
        <v/>
      </c>
      <c r="J551" s="20" t="str">
        <f t="shared" si="60"/>
        <v/>
      </c>
      <c r="K551" s="20" t="str">
        <f t="shared" si="61"/>
        <v/>
      </c>
      <c r="L551" s="20" t="str">
        <f>IF(B551="","",70*'DDF Original'!$Q$4)</f>
        <v/>
      </c>
      <c r="M551" s="20" t="str">
        <f t="shared" si="62"/>
        <v/>
      </c>
      <c r="N551" s="20" t="str">
        <f>IF(AND(OR(B551="",J551&gt;G551,M551&gt;G551),'DDF Original'!L551&lt;&gt; "MI"),G551,IF(M551&gt;J551,M551,J551))</f>
        <v/>
      </c>
    </row>
    <row r="552" spans="2:14" x14ac:dyDescent="0.2">
      <c r="B552" s="19" t="str">
        <f>IF('DDF Original'!B552="","",'DDF Original'!B552)</f>
        <v/>
      </c>
      <c r="C552" s="19" t="e">
        <f t="shared" si="56"/>
        <v>#VALUE!</v>
      </c>
      <c r="D552" s="20" t="str">
        <f>IF('DDF Original'!C552="","",'DDF Original'!C552)</f>
        <v/>
      </c>
      <c r="E552" s="24" t="str">
        <f>IF('DDF Original'!B552="","",IF(TRIM('DDF Original'!I552)="",0,'DDF Original'!I552))</f>
        <v/>
      </c>
      <c r="F552" s="20" t="str">
        <f t="shared" si="57"/>
        <v/>
      </c>
      <c r="G552" s="37" t="str">
        <f>IF('DDF Original'!B552="","",IF(TRIM('DDF Original'!P552)="",0,'DDF Original'!P552))</f>
        <v/>
      </c>
      <c r="H552" s="20" t="str">
        <f t="shared" si="58"/>
        <v/>
      </c>
      <c r="I552" s="25" t="str">
        <f t="shared" si="59"/>
        <v/>
      </c>
      <c r="J552" s="20" t="str">
        <f t="shared" si="60"/>
        <v/>
      </c>
      <c r="K552" s="20" t="str">
        <f t="shared" si="61"/>
        <v/>
      </c>
      <c r="L552" s="20" t="str">
        <f>IF(B552="","",70*'DDF Original'!$Q$4)</f>
        <v/>
      </c>
      <c r="M552" s="20" t="str">
        <f t="shared" si="62"/>
        <v/>
      </c>
      <c r="N552" s="20" t="str">
        <f>IF(AND(OR(B552="",J552&gt;G552,M552&gt;G552),'DDF Original'!L552&lt;&gt; "MI"),G552,IF(M552&gt;J552,M552,J552))</f>
        <v/>
      </c>
    </row>
    <row r="553" spans="2:14" x14ac:dyDescent="0.2">
      <c r="B553" s="19" t="str">
        <f>IF('DDF Original'!B553="","",'DDF Original'!B553)</f>
        <v/>
      </c>
      <c r="C553" s="19" t="e">
        <f t="shared" si="56"/>
        <v>#VALUE!</v>
      </c>
      <c r="D553" s="20" t="str">
        <f>IF('DDF Original'!C553="","",'DDF Original'!C553)</f>
        <v/>
      </c>
      <c r="E553" s="24" t="str">
        <f>IF('DDF Original'!B553="","",IF(TRIM('DDF Original'!I553)="",0,'DDF Original'!I553))</f>
        <v/>
      </c>
      <c r="F553" s="20" t="str">
        <f t="shared" si="57"/>
        <v/>
      </c>
      <c r="G553" s="37" t="str">
        <f>IF('DDF Original'!B553="","",IF(TRIM('DDF Original'!P553)="",0,'DDF Original'!P553))</f>
        <v/>
      </c>
      <c r="H553" s="20" t="str">
        <f t="shared" si="58"/>
        <v/>
      </c>
      <c r="I553" s="25" t="str">
        <f t="shared" si="59"/>
        <v/>
      </c>
      <c r="J553" s="20" t="str">
        <f t="shared" si="60"/>
        <v/>
      </c>
      <c r="K553" s="20" t="str">
        <f t="shared" si="61"/>
        <v/>
      </c>
      <c r="L553" s="20" t="str">
        <f>IF(B553="","",70*'DDF Original'!$Q$4)</f>
        <v/>
      </c>
      <c r="M553" s="20" t="str">
        <f t="shared" si="62"/>
        <v/>
      </c>
      <c r="N553" s="20" t="str">
        <f>IF(AND(OR(B553="",J553&gt;G553,M553&gt;G553),'DDF Original'!L553&lt;&gt; "MI"),G553,IF(M553&gt;J553,M553,J553))</f>
        <v/>
      </c>
    </row>
    <row r="554" spans="2:14" x14ac:dyDescent="0.2">
      <c r="B554" s="19" t="str">
        <f>IF('DDF Original'!B554="","",'DDF Original'!B554)</f>
        <v/>
      </c>
      <c r="C554" s="19" t="e">
        <f t="shared" si="56"/>
        <v>#VALUE!</v>
      </c>
      <c r="D554" s="20" t="str">
        <f>IF('DDF Original'!C554="","",'DDF Original'!C554)</f>
        <v/>
      </c>
      <c r="E554" s="24" t="str">
        <f>IF('DDF Original'!B554="","",IF(TRIM('DDF Original'!I554)="",0,'DDF Original'!I554))</f>
        <v/>
      </c>
      <c r="F554" s="20" t="str">
        <f t="shared" si="57"/>
        <v/>
      </c>
      <c r="G554" s="37" t="str">
        <f>IF('DDF Original'!B554="","",IF(TRIM('DDF Original'!P554)="",0,'DDF Original'!P554))</f>
        <v/>
      </c>
      <c r="H554" s="20" t="str">
        <f t="shared" si="58"/>
        <v/>
      </c>
      <c r="I554" s="25" t="str">
        <f t="shared" si="59"/>
        <v/>
      </c>
      <c r="J554" s="20" t="str">
        <f t="shared" si="60"/>
        <v/>
      </c>
      <c r="K554" s="20" t="str">
        <f t="shared" si="61"/>
        <v/>
      </c>
      <c r="L554" s="20" t="str">
        <f>IF(B554="","",70*'DDF Original'!$Q$4)</f>
        <v/>
      </c>
      <c r="M554" s="20" t="str">
        <f t="shared" si="62"/>
        <v/>
      </c>
      <c r="N554" s="20" t="str">
        <f>IF(AND(OR(B554="",J554&gt;G554,M554&gt;G554),'DDF Original'!L554&lt;&gt; "MI"),G554,IF(M554&gt;J554,M554,J554))</f>
        <v/>
      </c>
    </row>
    <row r="555" spans="2:14" x14ac:dyDescent="0.2">
      <c r="B555" s="19" t="str">
        <f>IF('DDF Original'!B555="","",'DDF Original'!B555)</f>
        <v/>
      </c>
      <c r="C555" s="19" t="e">
        <f t="shared" si="56"/>
        <v>#VALUE!</v>
      </c>
      <c r="D555" s="20" t="str">
        <f>IF('DDF Original'!C555="","",'DDF Original'!C555)</f>
        <v/>
      </c>
      <c r="E555" s="24" t="str">
        <f>IF('DDF Original'!B555="","",IF(TRIM('DDF Original'!I555)="",0,'DDF Original'!I555))</f>
        <v/>
      </c>
      <c r="F555" s="20" t="str">
        <f t="shared" si="57"/>
        <v/>
      </c>
      <c r="G555" s="37" t="str">
        <f>IF('DDF Original'!B555="","",IF(TRIM('DDF Original'!P555)="",0,'DDF Original'!P555))</f>
        <v/>
      </c>
      <c r="H555" s="20" t="str">
        <f t="shared" si="58"/>
        <v/>
      </c>
      <c r="I555" s="25" t="str">
        <f t="shared" si="59"/>
        <v/>
      </c>
      <c r="J555" s="20" t="str">
        <f t="shared" si="60"/>
        <v/>
      </c>
      <c r="K555" s="20" t="str">
        <f t="shared" si="61"/>
        <v/>
      </c>
      <c r="L555" s="20" t="str">
        <f>IF(B555="","",70*'DDF Original'!$Q$4)</f>
        <v/>
      </c>
      <c r="M555" s="20" t="str">
        <f t="shared" si="62"/>
        <v/>
      </c>
      <c r="N555" s="20" t="str">
        <f>IF(AND(OR(B555="",J555&gt;G555,M555&gt;G555),'DDF Original'!L555&lt;&gt; "MI"),G555,IF(M555&gt;J555,M555,J555))</f>
        <v/>
      </c>
    </row>
    <row r="556" spans="2:14" x14ac:dyDescent="0.2">
      <c r="B556" s="19" t="str">
        <f>IF('DDF Original'!B556="","",'DDF Original'!B556)</f>
        <v/>
      </c>
      <c r="C556" s="19" t="e">
        <f t="shared" si="56"/>
        <v>#VALUE!</v>
      </c>
      <c r="D556" s="20" t="str">
        <f>IF('DDF Original'!C556="","",'DDF Original'!C556)</f>
        <v/>
      </c>
      <c r="E556" s="24" t="str">
        <f>IF('DDF Original'!B556="","",IF(TRIM('DDF Original'!I556)="",0,'DDF Original'!I556))</f>
        <v/>
      </c>
      <c r="F556" s="20" t="str">
        <f t="shared" si="57"/>
        <v/>
      </c>
      <c r="G556" s="37" t="str">
        <f>IF('DDF Original'!B556="","",IF(TRIM('DDF Original'!P556)="",0,'DDF Original'!P556))</f>
        <v/>
      </c>
      <c r="H556" s="20" t="str">
        <f t="shared" si="58"/>
        <v/>
      </c>
      <c r="I556" s="25" t="str">
        <f t="shared" si="59"/>
        <v/>
      </c>
      <c r="J556" s="20" t="str">
        <f t="shared" si="60"/>
        <v/>
      </c>
      <c r="K556" s="20" t="str">
        <f t="shared" si="61"/>
        <v/>
      </c>
      <c r="L556" s="20" t="str">
        <f>IF(B556="","",70*'DDF Original'!$Q$4)</f>
        <v/>
      </c>
      <c r="M556" s="20" t="str">
        <f t="shared" si="62"/>
        <v/>
      </c>
      <c r="N556" s="20" t="str">
        <f>IF(AND(OR(B556="",J556&gt;G556,M556&gt;G556),'DDF Original'!L556&lt;&gt; "MI"),G556,IF(M556&gt;J556,M556,J556))</f>
        <v/>
      </c>
    </row>
    <row r="557" spans="2:14" x14ac:dyDescent="0.2">
      <c r="B557" s="19" t="str">
        <f>IF('DDF Original'!B557="","",'DDF Original'!B557)</f>
        <v/>
      </c>
      <c r="C557" s="19" t="e">
        <f t="shared" si="56"/>
        <v>#VALUE!</v>
      </c>
      <c r="D557" s="20" t="str">
        <f>IF('DDF Original'!C557="","",'DDF Original'!C557)</f>
        <v/>
      </c>
      <c r="E557" s="24" t="str">
        <f>IF('DDF Original'!B557="","",IF(TRIM('DDF Original'!I557)="",0,'DDF Original'!I557))</f>
        <v/>
      </c>
      <c r="F557" s="20" t="str">
        <f t="shared" si="57"/>
        <v/>
      </c>
      <c r="G557" s="37" t="str">
        <f>IF('DDF Original'!B557="","",IF(TRIM('DDF Original'!P557)="",0,'DDF Original'!P557))</f>
        <v/>
      </c>
      <c r="H557" s="20" t="str">
        <f t="shared" si="58"/>
        <v/>
      </c>
      <c r="I557" s="25" t="str">
        <f t="shared" si="59"/>
        <v/>
      </c>
      <c r="J557" s="20" t="str">
        <f t="shared" si="60"/>
        <v/>
      </c>
      <c r="K557" s="20" t="str">
        <f t="shared" si="61"/>
        <v/>
      </c>
      <c r="L557" s="20" t="str">
        <f>IF(B557="","",70*'DDF Original'!$Q$4)</f>
        <v/>
      </c>
      <c r="M557" s="20" t="str">
        <f t="shared" si="62"/>
        <v/>
      </c>
      <c r="N557" s="20" t="str">
        <f>IF(AND(OR(B557="",J557&gt;G557,M557&gt;G557),'DDF Original'!L557&lt;&gt; "MI"),G557,IF(M557&gt;J557,M557,J557))</f>
        <v/>
      </c>
    </row>
    <row r="558" spans="2:14" x14ac:dyDescent="0.2">
      <c r="B558" s="19" t="str">
        <f>IF('DDF Original'!B558="","",'DDF Original'!B558)</f>
        <v/>
      </c>
      <c r="C558" s="19" t="e">
        <f t="shared" si="56"/>
        <v>#VALUE!</v>
      </c>
      <c r="D558" s="20" t="str">
        <f>IF('DDF Original'!C558="","",'DDF Original'!C558)</f>
        <v/>
      </c>
      <c r="E558" s="24" t="str">
        <f>IF('DDF Original'!B558="","",IF(TRIM('DDF Original'!I558)="",0,'DDF Original'!I558))</f>
        <v/>
      </c>
      <c r="F558" s="20" t="str">
        <f t="shared" si="57"/>
        <v/>
      </c>
      <c r="G558" s="37" t="str">
        <f>IF('DDF Original'!B558="","",IF(TRIM('DDF Original'!P558)="",0,'DDF Original'!P558))</f>
        <v/>
      </c>
      <c r="H558" s="20" t="str">
        <f t="shared" si="58"/>
        <v/>
      </c>
      <c r="I558" s="25" t="str">
        <f t="shared" si="59"/>
        <v/>
      </c>
      <c r="J558" s="20" t="str">
        <f t="shared" si="60"/>
        <v/>
      </c>
      <c r="K558" s="20" t="str">
        <f t="shared" si="61"/>
        <v/>
      </c>
      <c r="L558" s="20" t="str">
        <f>IF(B558="","",70*'DDF Original'!$Q$4)</f>
        <v/>
      </c>
      <c r="M558" s="20" t="str">
        <f t="shared" si="62"/>
        <v/>
      </c>
      <c r="N558" s="20" t="str">
        <f>IF(AND(OR(B558="",J558&gt;G558,M558&gt;G558),'DDF Original'!L558&lt;&gt; "MI"),G558,IF(M558&gt;J558,M558,J558))</f>
        <v/>
      </c>
    </row>
    <row r="559" spans="2:14" x14ac:dyDescent="0.2">
      <c r="B559" s="19" t="str">
        <f>IF('DDF Original'!B559="","",'DDF Original'!B559)</f>
        <v/>
      </c>
      <c r="C559" s="19" t="e">
        <f t="shared" si="56"/>
        <v>#VALUE!</v>
      </c>
      <c r="D559" s="20" t="str">
        <f>IF('DDF Original'!C559="","",'DDF Original'!C559)</f>
        <v/>
      </c>
      <c r="E559" s="24" t="str">
        <f>IF('DDF Original'!B559="","",IF(TRIM('DDF Original'!I559)="",0,'DDF Original'!I559))</f>
        <v/>
      </c>
      <c r="F559" s="20" t="str">
        <f t="shared" si="57"/>
        <v/>
      </c>
      <c r="G559" s="37" t="str">
        <f>IF('DDF Original'!B559="","",IF(TRIM('DDF Original'!P559)="",0,'DDF Original'!P559))</f>
        <v/>
      </c>
      <c r="H559" s="20" t="str">
        <f t="shared" si="58"/>
        <v/>
      </c>
      <c r="I559" s="25" t="str">
        <f t="shared" si="59"/>
        <v/>
      </c>
      <c r="J559" s="20" t="str">
        <f t="shared" si="60"/>
        <v/>
      </c>
      <c r="K559" s="20" t="str">
        <f t="shared" si="61"/>
        <v/>
      </c>
      <c r="L559" s="20" t="str">
        <f>IF(B559="","",70*'DDF Original'!$Q$4)</f>
        <v/>
      </c>
      <c r="M559" s="20" t="str">
        <f t="shared" si="62"/>
        <v/>
      </c>
      <c r="N559" s="20" t="str">
        <f>IF(AND(OR(B559="",J559&gt;G559,M559&gt;G559),'DDF Original'!L559&lt;&gt; "MI"),G559,IF(M559&gt;J559,M559,J559))</f>
        <v/>
      </c>
    </row>
    <row r="560" spans="2:14" x14ac:dyDescent="0.2">
      <c r="B560" s="19" t="str">
        <f>IF('DDF Original'!B560="","",'DDF Original'!B560)</f>
        <v/>
      </c>
      <c r="C560" s="19" t="e">
        <f t="shared" si="56"/>
        <v>#VALUE!</v>
      </c>
      <c r="D560" s="20" t="str">
        <f>IF('DDF Original'!C560="","",'DDF Original'!C560)</f>
        <v/>
      </c>
      <c r="E560" s="24" t="str">
        <f>IF('DDF Original'!B560="","",IF(TRIM('DDF Original'!I560)="",0,'DDF Original'!I560))</f>
        <v/>
      </c>
      <c r="F560" s="20" t="str">
        <f t="shared" si="57"/>
        <v/>
      </c>
      <c r="G560" s="37" t="str">
        <f>IF('DDF Original'!B560="","",IF(TRIM('DDF Original'!P560)="",0,'DDF Original'!P560))</f>
        <v/>
      </c>
      <c r="H560" s="20" t="str">
        <f t="shared" si="58"/>
        <v/>
      </c>
      <c r="I560" s="25" t="str">
        <f t="shared" si="59"/>
        <v/>
      </c>
      <c r="J560" s="20" t="str">
        <f t="shared" si="60"/>
        <v/>
      </c>
      <c r="K560" s="20" t="str">
        <f t="shared" si="61"/>
        <v/>
      </c>
      <c r="L560" s="20" t="str">
        <f>IF(B560="","",70*'DDF Original'!$Q$4)</f>
        <v/>
      </c>
      <c r="M560" s="20" t="str">
        <f t="shared" si="62"/>
        <v/>
      </c>
      <c r="N560" s="20" t="str">
        <f>IF(AND(OR(B560="",J560&gt;G560,M560&gt;G560),'DDF Original'!L560&lt;&gt; "MI"),G560,IF(M560&gt;J560,M560,J560))</f>
        <v/>
      </c>
    </row>
    <row r="561" spans="2:14" x14ac:dyDescent="0.2">
      <c r="B561" s="19" t="str">
        <f>IF('DDF Original'!B561="","",'DDF Original'!B561)</f>
        <v/>
      </c>
      <c r="C561" s="19" t="e">
        <f t="shared" si="56"/>
        <v>#VALUE!</v>
      </c>
      <c r="D561" s="20" t="str">
        <f>IF('DDF Original'!C561="","",'DDF Original'!C561)</f>
        <v/>
      </c>
      <c r="E561" s="24" t="str">
        <f>IF('DDF Original'!B561="","",IF(TRIM('DDF Original'!I561)="",0,'DDF Original'!I561))</f>
        <v/>
      </c>
      <c r="F561" s="20" t="str">
        <f t="shared" si="57"/>
        <v/>
      </c>
      <c r="G561" s="37" t="str">
        <f>IF('DDF Original'!B561="","",IF(TRIM('DDF Original'!P561)="",0,'DDF Original'!P561))</f>
        <v/>
      </c>
      <c r="H561" s="20" t="str">
        <f t="shared" si="58"/>
        <v/>
      </c>
      <c r="I561" s="25" t="str">
        <f t="shared" si="59"/>
        <v/>
      </c>
      <c r="J561" s="20" t="str">
        <f t="shared" si="60"/>
        <v/>
      </c>
      <c r="K561" s="20" t="str">
        <f t="shared" si="61"/>
        <v/>
      </c>
      <c r="L561" s="20" t="str">
        <f>IF(B561="","",70*'DDF Original'!$Q$4)</f>
        <v/>
      </c>
      <c r="M561" s="20" t="str">
        <f t="shared" si="62"/>
        <v/>
      </c>
      <c r="N561" s="20" t="str">
        <f>IF(AND(OR(B561="",J561&gt;G561,M561&gt;G561),'DDF Original'!L561&lt;&gt; "MI"),G561,IF(M561&gt;J561,M561,J561))</f>
        <v/>
      </c>
    </row>
    <row r="562" spans="2:14" x14ac:dyDescent="0.2">
      <c r="B562" s="19" t="str">
        <f>IF('DDF Original'!B562="","",'DDF Original'!B562)</f>
        <v/>
      </c>
      <c r="C562" s="19" t="e">
        <f t="shared" si="56"/>
        <v>#VALUE!</v>
      </c>
      <c r="D562" s="20" t="str">
        <f>IF('DDF Original'!C562="","",'DDF Original'!C562)</f>
        <v/>
      </c>
      <c r="E562" s="24" t="str">
        <f>IF('DDF Original'!B562="","",IF(TRIM('DDF Original'!I562)="",0,'DDF Original'!I562))</f>
        <v/>
      </c>
      <c r="F562" s="20" t="str">
        <f t="shared" si="57"/>
        <v/>
      </c>
      <c r="G562" s="37" t="str">
        <f>IF('DDF Original'!B562="","",IF(TRIM('DDF Original'!P562)="",0,'DDF Original'!P562))</f>
        <v/>
      </c>
      <c r="H562" s="20" t="str">
        <f t="shared" si="58"/>
        <v/>
      </c>
      <c r="I562" s="25" t="str">
        <f t="shared" si="59"/>
        <v/>
      </c>
      <c r="J562" s="20" t="str">
        <f t="shared" si="60"/>
        <v/>
      </c>
      <c r="K562" s="20" t="str">
        <f t="shared" si="61"/>
        <v/>
      </c>
      <c r="L562" s="20" t="str">
        <f>IF(B562="","",70*'DDF Original'!$Q$4)</f>
        <v/>
      </c>
      <c r="M562" s="20" t="str">
        <f t="shared" si="62"/>
        <v/>
      </c>
      <c r="N562" s="20" t="str">
        <f>IF(AND(OR(B562="",J562&gt;G562,M562&gt;G562),'DDF Original'!L562&lt;&gt; "MI"),G562,IF(M562&gt;J562,M562,J562))</f>
        <v/>
      </c>
    </row>
    <row r="563" spans="2:14" x14ac:dyDescent="0.2">
      <c r="B563" s="19" t="str">
        <f>IF('DDF Original'!B563="","",'DDF Original'!B563)</f>
        <v/>
      </c>
      <c r="C563" s="19" t="e">
        <f t="shared" si="56"/>
        <v>#VALUE!</v>
      </c>
      <c r="D563" s="20" t="str">
        <f>IF('DDF Original'!C563="","",'DDF Original'!C563)</f>
        <v/>
      </c>
      <c r="E563" s="24" t="str">
        <f>IF('DDF Original'!B563="","",IF(TRIM('DDF Original'!I563)="",0,'DDF Original'!I563))</f>
        <v/>
      </c>
      <c r="F563" s="20" t="str">
        <f t="shared" si="57"/>
        <v/>
      </c>
      <c r="G563" s="37" t="str">
        <f>IF('DDF Original'!B563="","",IF(TRIM('DDF Original'!P563)="",0,'DDF Original'!P563))</f>
        <v/>
      </c>
      <c r="H563" s="20" t="str">
        <f t="shared" si="58"/>
        <v/>
      </c>
      <c r="I563" s="25" t="str">
        <f t="shared" si="59"/>
        <v/>
      </c>
      <c r="J563" s="20" t="str">
        <f t="shared" si="60"/>
        <v/>
      </c>
      <c r="K563" s="20" t="str">
        <f t="shared" si="61"/>
        <v/>
      </c>
      <c r="L563" s="20" t="str">
        <f>IF(B563="","",70*'DDF Original'!$Q$4)</f>
        <v/>
      </c>
      <c r="M563" s="20" t="str">
        <f t="shared" si="62"/>
        <v/>
      </c>
      <c r="N563" s="20" t="str">
        <f>IF(AND(OR(B563="",J563&gt;G563,M563&gt;G563),'DDF Original'!L563&lt;&gt; "MI"),G563,IF(M563&gt;J563,M563,J563))</f>
        <v/>
      </c>
    </row>
    <row r="564" spans="2:14" x14ac:dyDescent="0.2">
      <c r="B564" s="19" t="str">
        <f>IF('DDF Original'!B564="","",'DDF Original'!B564)</f>
        <v/>
      </c>
      <c r="C564" s="19" t="e">
        <f t="shared" si="56"/>
        <v>#VALUE!</v>
      </c>
      <c r="D564" s="20" t="str">
        <f>IF('DDF Original'!C564="","",'DDF Original'!C564)</f>
        <v/>
      </c>
      <c r="E564" s="24" t="str">
        <f>IF('DDF Original'!B564="","",IF(TRIM('DDF Original'!I564)="",0,'DDF Original'!I564))</f>
        <v/>
      </c>
      <c r="F564" s="20" t="str">
        <f t="shared" si="57"/>
        <v/>
      </c>
      <c r="G564" s="37" t="str">
        <f>IF('DDF Original'!B564="","",IF(TRIM('DDF Original'!P564)="",0,'DDF Original'!P564))</f>
        <v/>
      </c>
      <c r="H564" s="20" t="str">
        <f t="shared" si="58"/>
        <v/>
      </c>
      <c r="I564" s="25" t="str">
        <f t="shared" si="59"/>
        <v/>
      </c>
      <c r="J564" s="20" t="str">
        <f t="shared" si="60"/>
        <v/>
      </c>
      <c r="K564" s="20" t="str">
        <f t="shared" si="61"/>
        <v/>
      </c>
      <c r="L564" s="20" t="str">
        <f>IF(B564="","",70*'DDF Original'!$Q$4)</f>
        <v/>
      </c>
      <c r="M564" s="20" t="str">
        <f t="shared" si="62"/>
        <v/>
      </c>
      <c r="N564" s="20" t="str">
        <f>IF(AND(OR(B564="",J564&gt;G564,M564&gt;G564),'DDF Original'!L564&lt;&gt; "MI"),G564,IF(M564&gt;J564,M564,J564))</f>
        <v/>
      </c>
    </row>
    <row r="565" spans="2:14" x14ac:dyDescent="0.2">
      <c r="B565" s="19" t="str">
        <f>IF('DDF Original'!B565="","",'DDF Original'!B565)</f>
        <v/>
      </c>
      <c r="C565" s="19" t="e">
        <f t="shared" si="56"/>
        <v>#VALUE!</v>
      </c>
      <c r="D565" s="20" t="str">
        <f>IF('DDF Original'!C565="","",'DDF Original'!C565)</f>
        <v/>
      </c>
      <c r="E565" s="24" t="str">
        <f>IF('DDF Original'!B565="","",IF(TRIM('DDF Original'!I565)="",0,'DDF Original'!I565))</f>
        <v/>
      </c>
      <c r="F565" s="20" t="str">
        <f t="shared" si="57"/>
        <v/>
      </c>
      <c r="G565" s="37" t="str">
        <f>IF('DDF Original'!B565="","",IF(TRIM('DDF Original'!P565)="",0,'DDF Original'!P565))</f>
        <v/>
      </c>
      <c r="H565" s="20" t="str">
        <f t="shared" si="58"/>
        <v/>
      </c>
      <c r="I565" s="25" t="str">
        <f t="shared" si="59"/>
        <v/>
      </c>
      <c r="J565" s="20" t="str">
        <f t="shared" si="60"/>
        <v/>
      </c>
      <c r="K565" s="20" t="str">
        <f t="shared" si="61"/>
        <v/>
      </c>
      <c r="L565" s="20" t="str">
        <f>IF(B565="","",70*'DDF Original'!$Q$4)</f>
        <v/>
      </c>
      <c r="M565" s="20" t="str">
        <f t="shared" si="62"/>
        <v/>
      </c>
      <c r="N565" s="20" t="str">
        <f>IF(AND(OR(B565="",J565&gt;G565,M565&gt;G565),'DDF Original'!L565&lt;&gt; "MI"),G565,IF(M565&gt;J565,M565,J565))</f>
        <v/>
      </c>
    </row>
    <row r="566" spans="2:14" x14ac:dyDescent="0.2">
      <c r="B566" s="19" t="str">
        <f>IF('DDF Original'!B566="","",'DDF Original'!B566)</f>
        <v/>
      </c>
      <c r="C566" s="19" t="e">
        <f t="shared" si="56"/>
        <v>#VALUE!</v>
      </c>
      <c r="D566" s="20" t="str">
        <f>IF('DDF Original'!C566="","",'DDF Original'!C566)</f>
        <v/>
      </c>
      <c r="E566" s="24" t="str">
        <f>IF('DDF Original'!B566="","",IF(TRIM('DDF Original'!I566)="",0,'DDF Original'!I566))</f>
        <v/>
      </c>
      <c r="F566" s="20" t="str">
        <f t="shared" si="57"/>
        <v/>
      </c>
      <c r="G566" s="37" t="str">
        <f>IF('DDF Original'!B566="","",IF(TRIM('DDF Original'!P566)="",0,'DDF Original'!P566))</f>
        <v/>
      </c>
      <c r="H566" s="20" t="str">
        <f t="shared" si="58"/>
        <v/>
      </c>
      <c r="I566" s="25" t="str">
        <f t="shared" si="59"/>
        <v/>
      </c>
      <c r="J566" s="20" t="str">
        <f t="shared" si="60"/>
        <v/>
      </c>
      <c r="K566" s="20" t="str">
        <f t="shared" si="61"/>
        <v/>
      </c>
      <c r="L566" s="20" t="str">
        <f>IF(B566="","",70*'DDF Original'!$Q$4)</f>
        <v/>
      </c>
      <c r="M566" s="20" t="str">
        <f t="shared" si="62"/>
        <v/>
      </c>
      <c r="N566" s="20" t="str">
        <f>IF(AND(OR(B566="",J566&gt;G566,M566&gt;G566),'DDF Original'!L566&lt;&gt; "MI"),G566,IF(M566&gt;J566,M566,J566))</f>
        <v/>
      </c>
    </row>
    <row r="567" spans="2:14" x14ac:dyDescent="0.2">
      <c r="B567" s="19" t="str">
        <f>IF('DDF Original'!B567="","",'DDF Original'!B567)</f>
        <v/>
      </c>
      <c r="C567" s="19" t="e">
        <f t="shared" si="56"/>
        <v>#VALUE!</v>
      </c>
      <c r="D567" s="20" t="str">
        <f>IF('DDF Original'!C567="","",'DDF Original'!C567)</f>
        <v/>
      </c>
      <c r="E567" s="24" t="str">
        <f>IF('DDF Original'!B567="","",IF(TRIM('DDF Original'!I567)="",0,'DDF Original'!I567))</f>
        <v/>
      </c>
      <c r="F567" s="20" t="str">
        <f t="shared" si="57"/>
        <v/>
      </c>
      <c r="G567" s="37" t="str">
        <f>IF('DDF Original'!B567="","",IF(TRIM('DDF Original'!P567)="",0,'DDF Original'!P567))</f>
        <v/>
      </c>
      <c r="H567" s="20" t="str">
        <f t="shared" si="58"/>
        <v/>
      </c>
      <c r="I567" s="25" t="str">
        <f t="shared" si="59"/>
        <v/>
      </c>
      <c r="J567" s="20" t="str">
        <f t="shared" si="60"/>
        <v/>
      </c>
      <c r="K567" s="20" t="str">
        <f t="shared" si="61"/>
        <v/>
      </c>
      <c r="L567" s="20" t="str">
        <f>IF(B567="","",70*'DDF Original'!$Q$4)</f>
        <v/>
      </c>
      <c r="M567" s="20" t="str">
        <f t="shared" si="62"/>
        <v/>
      </c>
      <c r="N567" s="20" t="str">
        <f>IF(AND(OR(B567="",J567&gt;G567,M567&gt;G567),'DDF Original'!L567&lt;&gt; "MI"),G567,IF(M567&gt;J567,M567,J567))</f>
        <v/>
      </c>
    </row>
    <row r="568" spans="2:14" x14ac:dyDescent="0.2">
      <c r="B568" s="19" t="str">
        <f>IF('DDF Original'!B568="","",'DDF Original'!B568)</f>
        <v/>
      </c>
      <c r="C568" s="19" t="e">
        <f t="shared" si="56"/>
        <v>#VALUE!</v>
      </c>
      <c r="D568" s="20" t="str">
        <f>IF('DDF Original'!C568="","",'DDF Original'!C568)</f>
        <v/>
      </c>
      <c r="E568" s="24" t="str">
        <f>IF('DDF Original'!B568="","",IF(TRIM('DDF Original'!I568)="",0,'DDF Original'!I568))</f>
        <v/>
      </c>
      <c r="F568" s="20" t="str">
        <f t="shared" si="57"/>
        <v/>
      </c>
      <c r="G568" s="37" t="str">
        <f>IF('DDF Original'!B568="","",IF(TRIM('DDF Original'!P568)="",0,'DDF Original'!P568))</f>
        <v/>
      </c>
      <c r="H568" s="20" t="str">
        <f t="shared" si="58"/>
        <v/>
      </c>
      <c r="I568" s="25" t="str">
        <f t="shared" si="59"/>
        <v/>
      </c>
      <c r="J568" s="20" t="str">
        <f t="shared" si="60"/>
        <v/>
      </c>
      <c r="K568" s="20" t="str">
        <f t="shared" si="61"/>
        <v/>
      </c>
      <c r="L568" s="20" t="str">
        <f>IF(B568="","",70*'DDF Original'!$Q$4)</f>
        <v/>
      </c>
      <c r="M568" s="20" t="str">
        <f t="shared" si="62"/>
        <v/>
      </c>
      <c r="N568" s="20" t="str">
        <f>IF(AND(OR(B568="",J568&gt;G568,M568&gt;G568),'DDF Original'!L568&lt;&gt; "MI"),G568,IF(M568&gt;J568,M568,J568))</f>
        <v/>
      </c>
    </row>
    <row r="569" spans="2:14" x14ac:dyDescent="0.2">
      <c r="B569" s="19" t="str">
        <f>IF('DDF Original'!B569="","",'DDF Original'!B569)</f>
        <v/>
      </c>
      <c r="C569" s="19" t="e">
        <f t="shared" si="56"/>
        <v>#VALUE!</v>
      </c>
      <c r="D569" s="20" t="str">
        <f>IF('DDF Original'!C569="","",'DDF Original'!C569)</f>
        <v/>
      </c>
      <c r="E569" s="24" t="str">
        <f>IF('DDF Original'!B569="","",IF(TRIM('DDF Original'!I569)="",0,'DDF Original'!I569))</f>
        <v/>
      </c>
      <c r="F569" s="20" t="str">
        <f t="shared" si="57"/>
        <v/>
      </c>
      <c r="G569" s="37" t="str">
        <f>IF('DDF Original'!B569="","",IF(TRIM('DDF Original'!P569)="",0,'DDF Original'!P569))</f>
        <v/>
      </c>
      <c r="H569" s="20" t="str">
        <f t="shared" si="58"/>
        <v/>
      </c>
      <c r="I569" s="25" t="str">
        <f t="shared" si="59"/>
        <v/>
      </c>
      <c r="J569" s="20" t="str">
        <f t="shared" si="60"/>
        <v/>
      </c>
      <c r="K569" s="20" t="str">
        <f t="shared" si="61"/>
        <v/>
      </c>
      <c r="L569" s="20" t="str">
        <f>IF(B569="","",70*'DDF Original'!$Q$4)</f>
        <v/>
      </c>
      <c r="M569" s="20" t="str">
        <f t="shared" si="62"/>
        <v/>
      </c>
      <c r="N569" s="20" t="str">
        <f>IF(AND(OR(B569="",J569&gt;G569,M569&gt;G569),'DDF Original'!L569&lt;&gt; "MI"),G569,IF(M569&gt;J569,M569,J569))</f>
        <v/>
      </c>
    </row>
    <row r="570" spans="2:14" x14ac:dyDescent="0.2">
      <c r="B570" s="19" t="str">
        <f>IF('DDF Original'!B570="","",'DDF Original'!B570)</f>
        <v/>
      </c>
      <c r="C570" s="19" t="e">
        <f t="shared" si="56"/>
        <v>#VALUE!</v>
      </c>
      <c r="D570" s="20" t="str">
        <f>IF('DDF Original'!C570="","",'DDF Original'!C570)</f>
        <v/>
      </c>
      <c r="E570" s="24" t="str">
        <f>IF('DDF Original'!B570="","",IF(TRIM('DDF Original'!I570)="",0,'DDF Original'!I570))</f>
        <v/>
      </c>
      <c r="F570" s="20" t="str">
        <f t="shared" si="57"/>
        <v/>
      </c>
      <c r="G570" s="37" t="str">
        <f>IF('DDF Original'!B570="","",IF(TRIM('DDF Original'!P570)="",0,'DDF Original'!P570))</f>
        <v/>
      </c>
      <c r="H570" s="20" t="str">
        <f t="shared" si="58"/>
        <v/>
      </c>
      <c r="I570" s="25" t="str">
        <f t="shared" si="59"/>
        <v/>
      </c>
      <c r="J570" s="20" t="str">
        <f t="shared" si="60"/>
        <v/>
      </c>
      <c r="K570" s="20" t="str">
        <f t="shared" si="61"/>
        <v/>
      </c>
      <c r="L570" s="20" t="str">
        <f>IF(B570="","",70*'DDF Original'!$Q$4)</f>
        <v/>
      </c>
      <c r="M570" s="20" t="str">
        <f t="shared" si="62"/>
        <v/>
      </c>
      <c r="N570" s="20" t="str">
        <f>IF(AND(OR(B570="",J570&gt;G570,M570&gt;G570),'DDF Original'!L570&lt;&gt; "MI"),G570,IF(M570&gt;J570,M570,J570))</f>
        <v/>
      </c>
    </row>
    <row r="571" spans="2:14" x14ac:dyDescent="0.2">
      <c r="B571" s="19" t="str">
        <f>IF('DDF Original'!B571="","",'DDF Original'!B571)</f>
        <v/>
      </c>
      <c r="C571" s="19" t="e">
        <f t="shared" si="56"/>
        <v>#VALUE!</v>
      </c>
      <c r="D571" s="20" t="str">
        <f>IF('DDF Original'!C571="","",'DDF Original'!C571)</f>
        <v/>
      </c>
      <c r="E571" s="24" t="str">
        <f>IF('DDF Original'!B571="","",IF(TRIM('DDF Original'!I571)="",0,'DDF Original'!I571))</f>
        <v/>
      </c>
      <c r="F571" s="20" t="str">
        <f t="shared" si="57"/>
        <v/>
      </c>
      <c r="G571" s="37" t="str">
        <f>IF('DDF Original'!B571="","",IF(TRIM('DDF Original'!P571)="",0,'DDF Original'!P571))</f>
        <v/>
      </c>
      <c r="H571" s="20" t="str">
        <f t="shared" si="58"/>
        <v/>
      </c>
      <c r="I571" s="25" t="str">
        <f t="shared" si="59"/>
        <v/>
      </c>
      <c r="J571" s="20" t="str">
        <f t="shared" si="60"/>
        <v/>
      </c>
      <c r="K571" s="20" t="str">
        <f t="shared" si="61"/>
        <v/>
      </c>
      <c r="L571" s="20" t="str">
        <f>IF(B571="","",70*'DDF Original'!$Q$4)</f>
        <v/>
      </c>
      <c r="M571" s="20" t="str">
        <f t="shared" si="62"/>
        <v/>
      </c>
      <c r="N571" s="20" t="str">
        <f>IF(AND(OR(B571="",J571&gt;G571,M571&gt;G571),'DDF Original'!L571&lt;&gt; "MI"),G571,IF(M571&gt;J571,M571,J571))</f>
        <v/>
      </c>
    </row>
    <row r="572" spans="2:14" x14ac:dyDescent="0.2">
      <c r="B572" s="19" t="str">
        <f>IF('DDF Original'!B572="","",'DDF Original'!B572)</f>
        <v/>
      </c>
      <c r="C572" s="19" t="e">
        <f t="shared" si="56"/>
        <v>#VALUE!</v>
      </c>
      <c r="D572" s="20" t="str">
        <f>IF('DDF Original'!C572="","",'DDF Original'!C572)</f>
        <v/>
      </c>
      <c r="E572" s="24" t="str">
        <f>IF('DDF Original'!B572="","",IF(TRIM('DDF Original'!I572)="",0,'DDF Original'!I572))</f>
        <v/>
      </c>
      <c r="F572" s="20" t="str">
        <f t="shared" si="57"/>
        <v/>
      </c>
      <c r="G572" s="37" t="str">
        <f>IF('DDF Original'!B572="","",IF(TRIM('DDF Original'!P572)="",0,'DDF Original'!P572))</f>
        <v/>
      </c>
      <c r="H572" s="20" t="str">
        <f t="shared" si="58"/>
        <v/>
      </c>
      <c r="I572" s="25" t="str">
        <f t="shared" si="59"/>
        <v/>
      </c>
      <c r="J572" s="20" t="str">
        <f t="shared" si="60"/>
        <v/>
      </c>
      <c r="K572" s="20" t="str">
        <f t="shared" si="61"/>
        <v/>
      </c>
      <c r="L572" s="20" t="str">
        <f>IF(B572="","",70*'DDF Original'!$Q$4)</f>
        <v/>
      </c>
      <c r="M572" s="20" t="str">
        <f t="shared" si="62"/>
        <v/>
      </c>
      <c r="N572" s="20" t="str">
        <f>IF(AND(OR(B572="",J572&gt;G572,M572&gt;G572),'DDF Original'!L572&lt;&gt; "MI"),G572,IF(M572&gt;J572,M572,J572))</f>
        <v/>
      </c>
    </row>
    <row r="573" spans="2:14" x14ac:dyDescent="0.2">
      <c r="B573" s="19" t="str">
        <f>IF('DDF Original'!B573="","",'DDF Original'!B573)</f>
        <v/>
      </c>
      <c r="C573" s="19" t="e">
        <f t="shared" ref="C573:C636" si="63">LEFT(B573,FIND(".",B573)-1)</f>
        <v>#VALUE!</v>
      </c>
      <c r="D573" s="20" t="str">
        <f>IF('DDF Original'!C573="","",'DDF Original'!C573)</f>
        <v/>
      </c>
      <c r="E573" s="24" t="str">
        <f>IF('DDF Original'!B573="","",IF(TRIM('DDF Original'!I573)="",0,'DDF Original'!I573))</f>
        <v/>
      </c>
      <c r="F573" s="20" t="str">
        <f t="shared" ref="F573:F636" si="64">IF(D573="",D573,ROUND(D573*(1+E573/100),2))</f>
        <v/>
      </c>
      <c r="G573" s="37" t="str">
        <f>IF('DDF Original'!B573="","",IF(TRIM('DDF Original'!P573)="",0,'DDF Original'!P573))</f>
        <v/>
      </c>
      <c r="H573" s="20" t="str">
        <f t="shared" ref="H573:H636" si="65">IF(OR(D573=0,D573=""),G573,F573)</f>
        <v/>
      </c>
      <c r="I573" s="25" t="str">
        <f t="shared" ref="I573:I636" si="66">IF(B573="","",IF(OR(D573=0,D573=""),50,35))</f>
        <v/>
      </c>
      <c r="J573" s="20" t="str">
        <f t="shared" ref="J573:J636" si="67">IF(B573="","",ROUND(H573*I573/100,2))</f>
        <v/>
      </c>
      <c r="K573" s="20" t="str">
        <f t="shared" ref="K573:K636" si="68">IF(B573="","",SUMIFS($J$9:$J$508,$C$9:$C$508,"="&amp;C573))</f>
        <v/>
      </c>
      <c r="L573" s="20" t="str">
        <f>IF(B573="","",70*'DDF Original'!$Q$4)</f>
        <v/>
      </c>
      <c r="M573" s="20" t="str">
        <f t="shared" ref="M573:M636" si="69">IF(B573="","",ROUND(J573/K573*L573,2))</f>
        <v/>
      </c>
      <c r="N573" s="20" t="str">
        <f>IF(AND(OR(B573="",J573&gt;G573,M573&gt;G573),'DDF Original'!L573&lt;&gt; "MI"),G573,IF(M573&gt;J573,M573,J573))</f>
        <v/>
      </c>
    </row>
    <row r="574" spans="2:14" x14ac:dyDescent="0.2">
      <c r="B574" s="19" t="str">
        <f>IF('DDF Original'!B574="","",'DDF Original'!B574)</f>
        <v/>
      </c>
      <c r="C574" s="19" t="e">
        <f t="shared" si="63"/>
        <v>#VALUE!</v>
      </c>
      <c r="D574" s="20" t="str">
        <f>IF('DDF Original'!C574="","",'DDF Original'!C574)</f>
        <v/>
      </c>
      <c r="E574" s="24" t="str">
        <f>IF('DDF Original'!B574="","",IF(TRIM('DDF Original'!I574)="",0,'DDF Original'!I574))</f>
        <v/>
      </c>
      <c r="F574" s="20" t="str">
        <f t="shared" si="64"/>
        <v/>
      </c>
      <c r="G574" s="37" t="str">
        <f>IF('DDF Original'!B574="","",IF(TRIM('DDF Original'!P574)="",0,'DDF Original'!P574))</f>
        <v/>
      </c>
      <c r="H574" s="20" t="str">
        <f t="shared" si="65"/>
        <v/>
      </c>
      <c r="I574" s="25" t="str">
        <f t="shared" si="66"/>
        <v/>
      </c>
      <c r="J574" s="20" t="str">
        <f t="shared" si="67"/>
        <v/>
      </c>
      <c r="K574" s="20" t="str">
        <f t="shared" si="68"/>
        <v/>
      </c>
      <c r="L574" s="20" t="str">
        <f>IF(B574="","",70*'DDF Original'!$Q$4)</f>
        <v/>
      </c>
      <c r="M574" s="20" t="str">
        <f t="shared" si="69"/>
        <v/>
      </c>
      <c r="N574" s="20" t="str">
        <f>IF(AND(OR(B574="",J574&gt;G574,M574&gt;G574),'DDF Original'!L574&lt;&gt; "MI"),G574,IF(M574&gt;J574,M574,J574))</f>
        <v/>
      </c>
    </row>
    <row r="575" spans="2:14" x14ac:dyDescent="0.2">
      <c r="B575" s="19" t="str">
        <f>IF('DDF Original'!B575="","",'DDF Original'!B575)</f>
        <v/>
      </c>
      <c r="C575" s="19" t="e">
        <f t="shared" si="63"/>
        <v>#VALUE!</v>
      </c>
      <c r="D575" s="20" t="str">
        <f>IF('DDF Original'!C575="","",'DDF Original'!C575)</f>
        <v/>
      </c>
      <c r="E575" s="24" t="str">
        <f>IF('DDF Original'!B575="","",IF(TRIM('DDF Original'!I575)="",0,'DDF Original'!I575))</f>
        <v/>
      </c>
      <c r="F575" s="20" t="str">
        <f t="shared" si="64"/>
        <v/>
      </c>
      <c r="G575" s="37" t="str">
        <f>IF('DDF Original'!B575="","",IF(TRIM('DDF Original'!P575)="",0,'DDF Original'!P575))</f>
        <v/>
      </c>
      <c r="H575" s="20" t="str">
        <f t="shared" si="65"/>
        <v/>
      </c>
      <c r="I575" s="25" t="str">
        <f t="shared" si="66"/>
        <v/>
      </c>
      <c r="J575" s="20" t="str">
        <f t="shared" si="67"/>
        <v/>
      </c>
      <c r="K575" s="20" t="str">
        <f t="shared" si="68"/>
        <v/>
      </c>
      <c r="L575" s="20" t="str">
        <f>IF(B575="","",70*'DDF Original'!$Q$4)</f>
        <v/>
      </c>
      <c r="M575" s="20" t="str">
        <f t="shared" si="69"/>
        <v/>
      </c>
      <c r="N575" s="20" t="str">
        <f>IF(AND(OR(B575="",J575&gt;G575,M575&gt;G575),'DDF Original'!L575&lt;&gt; "MI"),G575,IF(M575&gt;J575,M575,J575))</f>
        <v/>
      </c>
    </row>
    <row r="576" spans="2:14" x14ac:dyDescent="0.2">
      <c r="B576" s="19" t="str">
        <f>IF('DDF Original'!B576="","",'DDF Original'!B576)</f>
        <v/>
      </c>
      <c r="C576" s="19" t="e">
        <f t="shared" si="63"/>
        <v>#VALUE!</v>
      </c>
      <c r="D576" s="20" t="str">
        <f>IF('DDF Original'!C576="","",'DDF Original'!C576)</f>
        <v/>
      </c>
      <c r="E576" s="24" t="str">
        <f>IF('DDF Original'!B576="","",IF(TRIM('DDF Original'!I576)="",0,'DDF Original'!I576))</f>
        <v/>
      </c>
      <c r="F576" s="20" t="str">
        <f t="shared" si="64"/>
        <v/>
      </c>
      <c r="G576" s="37" t="str">
        <f>IF('DDF Original'!B576="","",IF(TRIM('DDF Original'!P576)="",0,'DDF Original'!P576))</f>
        <v/>
      </c>
      <c r="H576" s="20" t="str">
        <f t="shared" si="65"/>
        <v/>
      </c>
      <c r="I576" s="25" t="str">
        <f t="shared" si="66"/>
        <v/>
      </c>
      <c r="J576" s="20" t="str">
        <f t="shared" si="67"/>
        <v/>
      </c>
      <c r="K576" s="20" t="str">
        <f t="shared" si="68"/>
        <v/>
      </c>
      <c r="L576" s="20" t="str">
        <f>IF(B576="","",70*'DDF Original'!$Q$4)</f>
        <v/>
      </c>
      <c r="M576" s="20" t="str">
        <f t="shared" si="69"/>
        <v/>
      </c>
      <c r="N576" s="20" t="str">
        <f>IF(AND(OR(B576="",J576&gt;G576,M576&gt;G576),'DDF Original'!L576&lt;&gt; "MI"),G576,IF(M576&gt;J576,M576,J576))</f>
        <v/>
      </c>
    </row>
    <row r="577" spans="2:14" x14ac:dyDescent="0.2">
      <c r="B577" s="19" t="str">
        <f>IF('DDF Original'!B577="","",'DDF Original'!B577)</f>
        <v/>
      </c>
      <c r="C577" s="19" t="e">
        <f t="shared" si="63"/>
        <v>#VALUE!</v>
      </c>
      <c r="D577" s="20" t="str">
        <f>IF('DDF Original'!C577="","",'DDF Original'!C577)</f>
        <v/>
      </c>
      <c r="E577" s="24" t="str">
        <f>IF('DDF Original'!B577="","",IF(TRIM('DDF Original'!I577)="",0,'DDF Original'!I577))</f>
        <v/>
      </c>
      <c r="F577" s="20" t="str">
        <f t="shared" si="64"/>
        <v/>
      </c>
      <c r="G577" s="37" t="str">
        <f>IF('DDF Original'!B577="","",IF(TRIM('DDF Original'!P577)="",0,'DDF Original'!P577))</f>
        <v/>
      </c>
      <c r="H577" s="20" t="str">
        <f t="shared" si="65"/>
        <v/>
      </c>
      <c r="I577" s="25" t="str">
        <f t="shared" si="66"/>
        <v/>
      </c>
      <c r="J577" s="20" t="str">
        <f t="shared" si="67"/>
        <v/>
      </c>
      <c r="K577" s="20" t="str">
        <f t="shared" si="68"/>
        <v/>
      </c>
      <c r="L577" s="20" t="str">
        <f>IF(B577="","",70*'DDF Original'!$Q$4)</f>
        <v/>
      </c>
      <c r="M577" s="20" t="str">
        <f t="shared" si="69"/>
        <v/>
      </c>
      <c r="N577" s="20" t="str">
        <f>IF(AND(OR(B577="",J577&gt;G577,M577&gt;G577),'DDF Original'!L577&lt;&gt; "MI"),G577,IF(M577&gt;J577,M577,J577))</f>
        <v/>
      </c>
    </row>
    <row r="578" spans="2:14" x14ac:dyDescent="0.2">
      <c r="B578" s="19" t="str">
        <f>IF('DDF Original'!B578="","",'DDF Original'!B578)</f>
        <v/>
      </c>
      <c r="C578" s="19" t="e">
        <f t="shared" si="63"/>
        <v>#VALUE!</v>
      </c>
      <c r="D578" s="20" t="str">
        <f>IF('DDF Original'!C578="","",'DDF Original'!C578)</f>
        <v/>
      </c>
      <c r="E578" s="24" t="str">
        <f>IF('DDF Original'!B578="","",IF(TRIM('DDF Original'!I578)="",0,'DDF Original'!I578))</f>
        <v/>
      </c>
      <c r="F578" s="20" t="str">
        <f t="shared" si="64"/>
        <v/>
      </c>
      <c r="G578" s="37" t="str">
        <f>IF('DDF Original'!B578="","",IF(TRIM('DDF Original'!P578)="",0,'DDF Original'!P578))</f>
        <v/>
      </c>
      <c r="H578" s="20" t="str">
        <f t="shared" si="65"/>
        <v/>
      </c>
      <c r="I578" s="25" t="str">
        <f t="shared" si="66"/>
        <v/>
      </c>
      <c r="J578" s="20" t="str">
        <f t="shared" si="67"/>
        <v/>
      </c>
      <c r="K578" s="20" t="str">
        <f t="shared" si="68"/>
        <v/>
      </c>
      <c r="L578" s="20" t="str">
        <f>IF(B578="","",70*'DDF Original'!$Q$4)</f>
        <v/>
      </c>
      <c r="M578" s="20" t="str">
        <f t="shared" si="69"/>
        <v/>
      </c>
      <c r="N578" s="20" t="str">
        <f>IF(AND(OR(B578="",J578&gt;G578,M578&gt;G578),'DDF Original'!L578&lt;&gt; "MI"),G578,IF(M578&gt;J578,M578,J578))</f>
        <v/>
      </c>
    </row>
    <row r="579" spans="2:14" x14ac:dyDescent="0.2">
      <c r="B579" s="19" t="str">
        <f>IF('DDF Original'!B579="","",'DDF Original'!B579)</f>
        <v/>
      </c>
      <c r="C579" s="19" t="e">
        <f t="shared" si="63"/>
        <v>#VALUE!</v>
      </c>
      <c r="D579" s="20" t="str">
        <f>IF('DDF Original'!C579="","",'DDF Original'!C579)</f>
        <v/>
      </c>
      <c r="E579" s="24" t="str">
        <f>IF('DDF Original'!B579="","",IF(TRIM('DDF Original'!I579)="",0,'DDF Original'!I579))</f>
        <v/>
      </c>
      <c r="F579" s="20" t="str">
        <f t="shared" si="64"/>
        <v/>
      </c>
      <c r="G579" s="37" t="str">
        <f>IF('DDF Original'!B579="","",IF(TRIM('DDF Original'!P579)="",0,'DDF Original'!P579))</f>
        <v/>
      </c>
      <c r="H579" s="20" t="str">
        <f t="shared" si="65"/>
        <v/>
      </c>
      <c r="I579" s="25" t="str">
        <f t="shared" si="66"/>
        <v/>
      </c>
      <c r="J579" s="20" t="str">
        <f t="shared" si="67"/>
        <v/>
      </c>
      <c r="K579" s="20" t="str">
        <f t="shared" si="68"/>
        <v/>
      </c>
      <c r="L579" s="20" t="str">
        <f>IF(B579="","",70*'DDF Original'!$Q$4)</f>
        <v/>
      </c>
      <c r="M579" s="20" t="str">
        <f t="shared" si="69"/>
        <v/>
      </c>
      <c r="N579" s="20" t="str">
        <f>IF(AND(OR(B579="",J579&gt;G579,M579&gt;G579),'DDF Original'!L579&lt;&gt; "MI"),G579,IF(M579&gt;J579,M579,J579))</f>
        <v/>
      </c>
    </row>
    <row r="580" spans="2:14" x14ac:dyDescent="0.2">
      <c r="B580" s="19" t="str">
        <f>IF('DDF Original'!B580="","",'DDF Original'!B580)</f>
        <v/>
      </c>
      <c r="C580" s="19" t="e">
        <f t="shared" si="63"/>
        <v>#VALUE!</v>
      </c>
      <c r="D580" s="20" t="str">
        <f>IF('DDF Original'!C580="","",'DDF Original'!C580)</f>
        <v/>
      </c>
      <c r="E580" s="24" t="str">
        <f>IF('DDF Original'!B580="","",IF(TRIM('DDF Original'!I580)="",0,'DDF Original'!I580))</f>
        <v/>
      </c>
      <c r="F580" s="20" t="str">
        <f t="shared" si="64"/>
        <v/>
      </c>
      <c r="G580" s="37" t="str">
        <f>IF('DDF Original'!B580="","",IF(TRIM('DDF Original'!P580)="",0,'DDF Original'!P580))</f>
        <v/>
      </c>
      <c r="H580" s="20" t="str">
        <f t="shared" si="65"/>
        <v/>
      </c>
      <c r="I580" s="25" t="str">
        <f t="shared" si="66"/>
        <v/>
      </c>
      <c r="J580" s="20" t="str">
        <f t="shared" si="67"/>
        <v/>
      </c>
      <c r="K580" s="20" t="str">
        <f t="shared" si="68"/>
        <v/>
      </c>
      <c r="L580" s="20" t="str">
        <f>IF(B580="","",70*'DDF Original'!$Q$4)</f>
        <v/>
      </c>
      <c r="M580" s="20" t="str">
        <f t="shared" si="69"/>
        <v/>
      </c>
      <c r="N580" s="20" t="str">
        <f>IF(AND(OR(B580="",J580&gt;G580,M580&gt;G580),'DDF Original'!L580&lt;&gt; "MI"),G580,IF(M580&gt;J580,M580,J580))</f>
        <v/>
      </c>
    </row>
    <row r="581" spans="2:14" x14ac:dyDescent="0.2">
      <c r="B581" s="19" t="str">
        <f>IF('DDF Original'!B581="","",'DDF Original'!B581)</f>
        <v/>
      </c>
      <c r="C581" s="19" t="e">
        <f t="shared" si="63"/>
        <v>#VALUE!</v>
      </c>
      <c r="D581" s="20" t="str">
        <f>IF('DDF Original'!C581="","",'DDF Original'!C581)</f>
        <v/>
      </c>
      <c r="E581" s="24" t="str">
        <f>IF('DDF Original'!B581="","",IF(TRIM('DDF Original'!I581)="",0,'DDF Original'!I581))</f>
        <v/>
      </c>
      <c r="F581" s="20" t="str">
        <f t="shared" si="64"/>
        <v/>
      </c>
      <c r="G581" s="37" t="str">
        <f>IF('DDF Original'!B581="","",IF(TRIM('DDF Original'!P581)="",0,'DDF Original'!P581))</f>
        <v/>
      </c>
      <c r="H581" s="20" t="str">
        <f t="shared" si="65"/>
        <v/>
      </c>
      <c r="I581" s="25" t="str">
        <f t="shared" si="66"/>
        <v/>
      </c>
      <c r="J581" s="20" t="str">
        <f t="shared" si="67"/>
        <v/>
      </c>
      <c r="K581" s="20" t="str">
        <f t="shared" si="68"/>
        <v/>
      </c>
      <c r="L581" s="20" t="str">
        <f>IF(B581="","",70*'DDF Original'!$Q$4)</f>
        <v/>
      </c>
      <c r="M581" s="20" t="str">
        <f t="shared" si="69"/>
        <v/>
      </c>
      <c r="N581" s="20" t="str">
        <f>IF(AND(OR(B581="",J581&gt;G581,M581&gt;G581),'DDF Original'!L581&lt;&gt; "MI"),G581,IF(M581&gt;J581,M581,J581))</f>
        <v/>
      </c>
    </row>
    <row r="582" spans="2:14" x14ac:dyDescent="0.2">
      <c r="B582" s="19" t="str">
        <f>IF('DDF Original'!B582="","",'DDF Original'!B582)</f>
        <v/>
      </c>
      <c r="C582" s="19" t="e">
        <f t="shared" si="63"/>
        <v>#VALUE!</v>
      </c>
      <c r="D582" s="20" t="str">
        <f>IF('DDF Original'!C582="","",'DDF Original'!C582)</f>
        <v/>
      </c>
      <c r="E582" s="24" t="str">
        <f>IF('DDF Original'!B582="","",IF(TRIM('DDF Original'!I582)="",0,'DDF Original'!I582))</f>
        <v/>
      </c>
      <c r="F582" s="20" t="str">
        <f t="shared" si="64"/>
        <v/>
      </c>
      <c r="G582" s="37" t="str">
        <f>IF('DDF Original'!B582="","",IF(TRIM('DDF Original'!P582)="",0,'DDF Original'!P582))</f>
        <v/>
      </c>
      <c r="H582" s="20" t="str">
        <f t="shared" si="65"/>
        <v/>
      </c>
      <c r="I582" s="25" t="str">
        <f t="shared" si="66"/>
        <v/>
      </c>
      <c r="J582" s="20" t="str">
        <f t="shared" si="67"/>
        <v/>
      </c>
      <c r="K582" s="20" t="str">
        <f t="shared" si="68"/>
        <v/>
      </c>
      <c r="L582" s="20" t="str">
        <f>IF(B582="","",70*'DDF Original'!$Q$4)</f>
        <v/>
      </c>
      <c r="M582" s="20" t="str">
        <f t="shared" si="69"/>
        <v/>
      </c>
      <c r="N582" s="20" t="str">
        <f>IF(AND(OR(B582="",J582&gt;G582,M582&gt;G582),'DDF Original'!L582&lt;&gt; "MI"),G582,IF(M582&gt;J582,M582,J582))</f>
        <v/>
      </c>
    </row>
    <row r="583" spans="2:14" x14ac:dyDescent="0.2">
      <c r="B583" s="19" t="str">
        <f>IF('DDF Original'!B583="","",'DDF Original'!B583)</f>
        <v/>
      </c>
      <c r="C583" s="19" t="e">
        <f t="shared" si="63"/>
        <v>#VALUE!</v>
      </c>
      <c r="D583" s="20" t="str">
        <f>IF('DDF Original'!C583="","",'DDF Original'!C583)</f>
        <v/>
      </c>
      <c r="E583" s="24" t="str">
        <f>IF('DDF Original'!B583="","",IF(TRIM('DDF Original'!I583)="",0,'DDF Original'!I583))</f>
        <v/>
      </c>
      <c r="F583" s="20" t="str">
        <f t="shared" si="64"/>
        <v/>
      </c>
      <c r="G583" s="37" t="str">
        <f>IF('DDF Original'!B583="","",IF(TRIM('DDF Original'!P583)="",0,'DDF Original'!P583))</f>
        <v/>
      </c>
      <c r="H583" s="20" t="str">
        <f t="shared" si="65"/>
        <v/>
      </c>
      <c r="I583" s="25" t="str">
        <f t="shared" si="66"/>
        <v/>
      </c>
      <c r="J583" s="20" t="str">
        <f t="shared" si="67"/>
        <v/>
      </c>
      <c r="K583" s="20" t="str">
        <f t="shared" si="68"/>
        <v/>
      </c>
      <c r="L583" s="20" t="str">
        <f>IF(B583="","",70*'DDF Original'!$Q$4)</f>
        <v/>
      </c>
      <c r="M583" s="20" t="str">
        <f t="shared" si="69"/>
        <v/>
      </c>
      <c r="N583" s="20" t="str">
        <f>IF(AND(OR(B583="",J583&gt;G583,M583&gt;G583),'DDF Original'!L583&lt;&gt; "MI"),G583,IF(M583&gt;J583,M583,J583))</f>
        <v/>
      </c>
    </row>
    <row r="584" spans="2:14" x14ac:dyDescent="0.2">
      <c r="B584" s="19" t="str">
        <f>IF('DDF Original'!B584="","",'DDF Original'!B584)</f>
        <v/>
      </c>
      <c r="C584" s="19" t="e">
        <f t="shared" si="63"/>
        <v>#VALUE!</v>
      </c>
      <c r="D584" s="20" t="str">
        <f>IF('DDF Original'!C584="","",'DDF Original'!C584)</f>
        <v/>
      </c>
      <c r="E584" s="24" t="str">
        <f>IF('DDF Original'!B584="","",IF(TRIM('DDF Original'!I584)="",0,'DDF Original'!I584))</f>
        <v/>
      </c>
      <c r="F584" s="20" t="str">
        <f t="shared" si="64"/>
        <v/>
      </c>
      <c r="G584" s="37" t="str">
        <f>IF('DDF Original'!B584="","",IF(TRIM('DDF Original'!P584)="",0,'DDF Original'!P584))</f>
        <v/>
      </c>
      <c r="H584" s="20" t="str">
        <f t="shared" si="65"/>
        <v/>
      </c>
      <c r="I584" s="25" t="str">
        <f t="shared" si="66"/>
        <v/>
      </c>
      <c r="J584" s="20" t="str">
        <f t="shared" si="67"/>
        <v/>
      </c>
      <c r="K584" s="20" t="str">
        <f t="shared" si="68"/>
        <v/>
      </c>
      <c r="L584" s="20" t="str">
        <f>IF(B584="","",70*'DDF Original'!$Q$4)</f>
        <v/>
      </c>
      <c r="M584" s="20" t="str">
        <f t="shared" si="69"/>
        <v/>
      </c>
      <c r="N584" s="20" t="str">
        <f>IF(AND(OR(B584="",J584&gt;G584,M584&gt;G584),'DDF Original'!L584&lt;&gt; "MI"),G584,IF(M584&gt;J584,M584,J584))</f>
        <v/>
      </c>
    </row>
    <row r="585" spans="2:14" x14ac:dyDescent="0.2">
      <c r="B585" s="19" t="str">
        <f>IF('DDF Original'!B585="","",'DDF Original'!B585)</f>
        <v/>
      </c>
      <c r="C585" s="19" t="e">
        <f t="shared" si="63"/>
        <v>#VALUE!</v>
      </c>
      <c r="D585" s="20" t="str">
        <f>IF('DDF Original'!C585="","",'DDF Original'!C585)</f>
        <v/>
      </c>
      <c r="E585" s="24" t="str">
        <f>IF('DDF Original'!B585="","",IF(TRIM('DDF Original'!I585)="",0,'DDF Original'!I585))</f>
        <v/>
      </c>
      <c r="F585" s="20" t="str">
        <f t="shared" si="64"/>
        <v/>
      </c>
      <c r="G585" s="37" t="str">
        <f>IF('DDF Original'!B585="","",IF(TRIM('DDF Original'!P585)="",0,'DDF Original'!P585))</f>
        <v/>
      </c>
      <c r="H585" s="20" t="str">
        <f t="shared" si="65"/>
        <v/>
      </c>
      <c r="I585" s="25" t="str">
        <f t="shared" si="66"/>
        <v/>
      </c>
      <c r="J585" s="20" t="str">
        <f t="shared" si="67"/>
        <v/>
      </c>
      <c r="K585" s="20" t="str">
        <f t="shared" si="68"/>
        <v/>
      </c>
      <c r="L585" s="20" t="str">
        <f>IF(B585="","",70*'DDF Original'!$Q$4)</f>
        <v/>
      </c>
      <c r="M585" s="20" t="str">
        <f t="shared" si="69"/>
        <v/>
      </c>
      <c r="N585" s="20" t="str">
        <f>IF(AND(OR(B585="",J585&gt;G585,M585&gt;G585),'DDF Original'!L585&lt;&gt; "MI"),G585,IF(M585&gt;J585,M585,J585))</f>
        <v/>
      </c>
    </row>
    <row r="586" spans="2:14" x14ac:dyDescent="0.2">
      <c r="B586" s="19" t="str">
        <f>IF('DDF Original'!B586="","",'DDF Original'!B586)</f>
        <v/>
      </c>
      <c r="C586" s="19" t="e">
        <f t="shared" si="63"/>
        <v>#VALUE!</v>
      </c>
      <c r="D586" s="20" t="str">
        <f>IF('DDF Original'!C586="","",'DDF Original'!C586)</f>
        <v/>
      </c>
      <c r="E586" s="24" t="str">
        <f>IF('DDF Original'!B586="","",IF(TRIM('DDF Original'!I586)="",0,'DDF Original'!I586))</f>
        <v/>
      </c>
      <c r="F586" s="20" t="str">
        <f t="shared" si="64"/>
        <v/>
      </c>
      <c r="G586" s="37" t="str">
        <f>IF('DDF Original'!B586="","",IF(TRIM('DDF Original'!P586)="",0,'DDF Original'!P586))</f>
        <v/>
      </c>
      <c r="H586" s="20" t="str">
        <f t="shared" si="65"/>
        <v/>
      </c>
      <c r="I586" s="25" t="str">
        <f t="shared" si="66"/>
        <v/>
      </c>
      <c r="J586" s="20" t="str">
        <f t="shared" si="67"/>
        <v/>
      </c>
      <c r="K586" s="20" t="str">
        <f t="shared" si="68"/>
        <v/>
      </c>
      <c r="L586" s="20" t="str">
        <f>IF(B586="","",70*'DDF Original'!$Q$4)</f>
        <v/>
      </c>
      <c r="M586" s="20" t="str">
        <f t="shared" si="69"/>
        <v/>
      </c>
      <c r="N586" s="20" t="str">
        <f>IF(AND(OR(B586="",J586&gt;G586,M586&gt;G586),'DDF Original'!L586&lt;&gt; "MI"),G586,IF(M586&gt;J586,M586,J586))</f>
        <v/>
      </c>
    </row>
    <row r="587" spans="2:14" x14ac:dyDescent="0.2">
      <c r="B587" s="19" t="str">
        <f>IF('DDF Original'!B587="","",'DDF Original'!B587)</f>
        <v/>
      </c>
      <c r="C587" s="19" t="e">
        <f t="shared" si="63"/>
        <v>#VALUE!</v>
      </c>
      <c r="D587" s="20" t="str">
        <f>IF('DDF Original'!C587="","",'DDF Original'!C587)</f>
        <v/>
      </c>
      <c r="E587" s="24" t="str">
        <f>IF('DDF Original'!B587="","",IF(TRIM('DDF Original'!I587)="",0,'DDF Original'!I587))</f>
        <v/>
      </c>
      <c r="F587" s="20" t="str">
        <f t="shared" si="64"/>
        <v/>
      </c>
      <c r="G587" s="37" t="str">
        <f>IF('DDF Original'!B587="","",IF(TRIM('DDF Original'!P587)="",0,'DDF Original'!P587))</f>
        <v/>
      </c>
      <c r="H587" s="20" t="str">
        <f t="shared" si="65"/>
        <v/>
      </c>
      <c r="I587" s="25" t="str">
        <f t="shared" si="66"/>
        <v/>
      </c>
      <c r="J587" s="20" t="str">
        <f t="shared" si="67"/>
        <v/>
      </c>
      <c r="K587" s="20" t="str">
        <f t="shared" si="68"/>
        <v/>
      </c>
      <c r="L587" s="20" t="str">
        <f>IF(B587="","",70*'DDF Original'!$Q$4)</f>
        <v/>
      </c>
      <c r="M587" s="20" t="str">
        <f t="shared" si="69"/>
        <v/>
      </c>
      <c r="N587" s="20" t="str">
        <f>IF(AND(OR(B587="",J587&gt;G587,M587&gt;G587),'DDF Original'!L587&lt;&gt; "MI"),G587,IF(M587&gt;J587,M587,J587))</f>
        <v/>
      </c>
    </row>
    <row r="588" spans="2:14" x14ac:dyDescent="0.2">
      <c r="B588" s="19" t="str">
        <f>IF('DDF Original'!B588="","",'DDF Original'!B588)</f>
        <v/>
      </c>
      <c r="C588" s="19" t="e">
        <f t="shared" si="63"/>
        <v>#VALUE!</v>
      </c>
      <c r="D588" s="20" t="str">
        <f>IF('DDF Original'!C588="","",'DDF Original'!C588)</f>
        <v/>
      </c>
      <c r="E588" s="24" t="str">
        <f>IF('DDF Original'!B588="","",IF(TRIM('DDF Original'!I588)="",0,'DDF Original'!I588))</f>
        <v/>
      </c>
      <c r="F588" s="20" t="str">
        <f t="shared" si="64"/>
        <v/>
      </c>
      <c r="G588" s="37" t="str">
        <f>IF('DDF Original'!B588="","",IF(TRIM('DDF Original'!P588)="",0,'DDF Original'!P588))</f>
        <v/>
      </c>
      <c r="H588" s="20" t="str">
        <f t="shared" si="65"/>
        <v/>
      </c>
      <c r="I588" s="25" t="str">
        <f t="shared" si="66"/>
        <v/>
      </c>
      <c r="J588" s="20" t="str">
        <f t="shared" si="67"/>
        <v/>
      </c>
      <c r="K588" s="20" t="str">
        <f t="shared" si="68"/>
        <v/>
      </c>
      <c r="L588" s="20" t="str">
        <f>IF(B588="","",70*'DDF Original'!$Q$4)</f>
        <v/>
      </c>
      <c r="M588" s="20" t="str">
        <f t="shared" si="69"/>
        <v/>
      </c>
      <c r="N588" s="20" t="str">
        <f>IF(AND(OR(B588="",J588&gt;G588,M588&gt;G588),'DDF Original'!L588&lt;&gt; "MI"),G588,IF(M588&gt;J588,M588,J588))</f>
        <v/>
      </c>
    </row>
    <row r="589" spans="2:14" x14ac:dyDescent="0.2">
      <c r="B589" s="19" t="str">
        <f>IF('DDF Original'!B589="","",'DDF Original'!B589)</f>
        <v/>
      </c>
      <c r="C589" s="19" t="e">
        <f t="shared" si="63"/>
        <v>#VALUE!</v>
      </c>
      <c r="D589" s="20" t="str">
        <f>IF('DDF Original'!C589="","",'DDF Original'!C589)</f>
        <v/>
      </c>
      <c r="E589" s="24" t="str">
        <f>IF('DDF Original'!B589="","",IF(TRIM('DDF Original'!I589)="",0,'DDF Original'!I589))</f>
        <v/>
      </c>
      <c r="F589" s="20" t="str">
        <f t="shared" si="64"/>
        <v/>
      </c>
      <c r="G589" s="37" t="str">
        <f>IF('DDF Original'!B589="","",IF(TRIM('DDF Original'!P589)="",0,'DDF Original'!P589))</f>
        <v/>
      </c>
      <c r="H589" s="20" t="str">
        <f t="shared" si="65"/>
        <v/>
      </c>
      <c r="I589" s="25" t="str">
        <f t="shared" si="66"/>
        <v/>
      </c>
      <c r="J589" s="20" t="str">
        <f t="shared" si="67"/>
        <v/>
      </c>
      <c r="K589" s="20" t="str">
        <f t="shared" si="68"/>
        <v/>
      </c>
      <c r="L589" s="20" t="str">
        <f>IF(B589="","",70*'DDF Original'!$Q$4)</f>
        <v/>
      </c>
      <c r="M589" s="20" t="str">
        <f t="shared" si="69"/>
        <v/>
      </c>
      <c r="N589" s="20" t="str">
        <f>IF(AND(OR(B589="",J589&gt;G589,M589&gt;G589),'DDF Original'!L589&lt;&gt; "MI"),G589,IF(M589&gt;J589,M589,J589))</f>
        <v/>
      </c>
    </row>
    <row r="590" spans="2:14" x14ac:dyDescent="0.2">
      <c r="B590" s="19" t="str">
        <f>IF('DDF Original'!B590="","",'DDF Original'!B590)</f>
        <v/>
      </c>
      <c r="C590" s="19" t="e">
        <f t="shared" si="63"/>
        <v>#VALUE!</v>
      </c>
      <c r="D590" s="20" t="str">
        <f>IF('DDF Original'!C590="","",'DDF Original'!C590)</f>
        <v/>
      </c>
      <c r="E590" s="24" t="str">
        <f>IF('DDF Original'!B590="","",IF(TRIM('DDF Original'!I590)="",0,'DDF Original'!I590))</f>
        <v/>
      </c>
      <c r="F590" s="20" t="str">
        <f t="shared" si="64"/>
        <v/>
      </c>
      <c r="G590" s="37" t="str">
        <f>IF('DDF Original'!B590="","",IF(TRIM('DDF Original'!P590)="",0,'DDF Original'!P590))</f>
        <v/>
      </c>
      <c r="H590" s="20" t="str">
        <f t="shared" si="65"/>
        <v/>
      </c>
      <c r="I590" s="25" t="str">
        <f t="shared" si="66"/>
        <v/>
      </c>
      <c r="J590" s="20" t="str">
        <f t="shared" si="67"/>
        <v/>
      </c>
      <c r="K590" s="20" t="str">
        <f t="shared" si="68"/>
        <v/>
      </c>
      <c r="L590" s="20" t="str">
        <f>IF(B590="","",70*'DDF Original'!$Q$4)</f>
        <v/>
      </c>
      <c r="M590" s="20" t="str">
        <f t="shared" si="69"/>
        <v/>
      </c>
      <c r="N590" s="20" t="str">
        <f>IF(AND(OR(B590="",J590&gt;G590,M590&gt;G590),'DDF Original'!L590&lt;&gt; "MI"),G590,IF(M590&gt;J590,M590,J590))</f>
        <v/>
      </c>
    </row>
    <row r="591" spans="2:14" x14ac:dyDescent="0.2">
      <c r="B591" s="19" t="str">
        <f>IF('DDF Original'!B591="","",'DDF Original'!B591)</f>
        <v/>
      </c>
      <c r="C591" s="19" t="e">
        <f t="shared" si="63"/>
        <v>#VALUE!</v>
      </c>
      <c r="D591" s="20" t="str">
        <f>IF('DDF Original'!C591="","",'DDF Original'!C591)</f>
        <v/>
      </c>
      <c r="E591" s="24" t="str">
        <f>IF('DDF Original'!B591="","",IF(TRIM('DDF Original'!I591)="",0,'DDF Original'!I591))</f>
        <v/>
      </c>
      <c r="F591" s="20" t="str">
        <f t="shared" si="64"/>
        <v/>
      </c>
      <c r="G591" s="37" t="str">
        <f>IF('DDF Original'!B591="","",IF(TRIM('DDF Original'!P591)="",0,'DDF Original'!P591))</f>
        <v/>
      </c>
      <c r="H591" s="20" t="str">
        <f t="shared" si="65"/>
        <v/>
      </c>
      <c r="I591" s="25" t="str">
        <f t="shared" si="66"/>
        <v/>
      </c>
      <c r="J591" s="20" t="str">
        <f t="shared" si="67"/>
        <v/>
      </c>
      <c r="K591" s="20" t="str">
        <f t="shared" si="68"/>
        <v/>
      </c>
      <c r="L591" s="20" t="str">
        <f>IF(B591="","",70*'DDF Original'!$Q$4)</f>
        <v/>
      </c>
      <c r="M591" s="20" t="str">
        <f t="shared" si="69"/>
        <v/>
      </c>
      <c r="N591" s="20" t="str">
        <f>IF(AND(OR(B591="",J591&gt;G591,M591&gt;G591),'DDF Original'!L591&lt;&gt; "MI"),G591,IF(M591&gt;J591,M591,J591))</f>
        <v/>
      </c>
    </row>
    <row r="592" spans="2:14" x14ac:dyDescent="0.2">
      <c r="B592" s="19" t="str">
        <f>IF('DDF Original'!B592="","",'DDF Original'!B592)</f>
        <v/>
      </c>
      <c r="C592" s="19" t="e">
        <f t="shared" si="63"/>
        <v>#VALUE!</v>
      </c>
      <c r="D592" s="20" t="str">
        <f>IF('DDF Original'!C592="","",'DDF Original'!C592)</f>
        <v/>
      </c>
      <c r="E592" s="24" t="str">
        <f>IF('DDF Original'!B592="","",IF(TRIM('DDF Original'!I592)="",0,'DDF Original'!I592))</f>
        <v/>
      </c>
      <c r="F592" s="20" t="str">
        <f t="shared" si="64"/>
        <v/>
      </c>
      <c r="G592" s="37" t="str">
        <f>IF('DDF Original'!B592="","",IF(TRIM('DDF Original'!P592)="",0,'DDF Original'!P592))</f>
        <v/>
      </c>
      <c r="H592" s="20" t="str">
        <f t="shared" si="65"/>
        <v/>
      </c>
      <c r="I592" s="25" t="str">
        <f t="shared" si="66"/>
        <v/>
      </c>
      <c r="J592" s="20" t="str">
        <f t="shared" si="67"/>
        <v/>
      </c>
      <c r="K592" s="20" t="str">
        <f t="shared" si="68"/>
        <v/>
      </c>
      <c r="L592" s="20" t="str">
        <f>IF(B592="","",70*'DDF Original'!$Q$4)</f>
        <v/>
      </c>
      <c r="M592" s="20" t="str">
        <f t="shared" si="69"/>
        <v/>
      </c>
      <c r="N592" s="20" t="str">
        <f>IF(AND(OR(B592="",J592&gt;G592,M592&gt;G592),'DDF Original'!L592&lt;&gt; "MI"),G592,IF(M592&gt;J592,M592,J592))</f>
        <v/>
      </c>
    </row>
    <row r="593" spans="2:14" x14ac:dyDescent="0.2">
      <c r="B593" s="19" t="str">
        <f>IF('DDF Original'!B593="","",'DDF Original'!B593)</f>
        <v/>
      </c>
      <c r="C593" s="19" t="e">
        <f t="shared" si="63"/>
        <v>#VALUE!</v>
      </c>
      <c r="D593" s="20" t="str">
        <f>IF('DDF Original'!C593="","",'DDF Original'!C593)</f>
        <v/>
      </c>
      <c r="E593" s="24" t="str">
        <f>IF('DDF Original'!B593="","",IF(TRIM('DDF Original'!I593)="",0,'DDF Original'!I593))</f>
        <v/>
      </c>
      <c r="F593" s="20" t="str">
        <f t="shared" si="64"/>
        <v/>
      </c>
      <c r="G593" s="37" t="str">
        <f>IF('DDF Original'!B593="","",IF(TRIM('DDF Original'!P593)="",0,'DDF Original'!P593))</f>
        <v/>
      </c>
      <c r="H593" s="20" t="str">
        <f t="shared" si="65"/>
        <v/>
      </c>
      <c r="I593" s="25" t="str">
        <f t="shared" si="66"/>
        <v/>
      </c>
      <c r="J593" s="20" t="str">
        <f t="shared" si="67"/>
        <v/>
      </c>
      <c r="K593" s="20" t="str">
        <f t="shared" si="68"/>
        <v/>
      </c>
      <c r="L593" s="20" t="str">
        <f>IF(B593="","",70*'DDF Original'!$Q$4)</f>
        <v/>
      </c>
      <c r="M593" s="20" t="str">
        <f t="shared" si="69"/>
        <v/>
      </c>
      <c r="N593" s="20" t="str">
        <f>IF(AND(OR(B593="",J593&gt;G593,M593&gt;G593),'DDF Original'!L593&lt;&gt; "MI"),G593,IF(M593&gt;J593,M593,J593))</f>
        <v/>
      </c>
    </row>
    <row r="594" spans="2:14" x14ac:dyDescent="0.2">
      <c r="B594" s="19" t="str">
        <f>IF('DDF Original'!B594="","",'DDF Original'!B594)</f>
        <v/>
      </c>
      <c r="C594" s="19" t="e">
        <f t="shared" si="63"/>
        <v>#VALUE!</v>
      </c>
      <c r="D594" s="20" t="str">
        <f>IF('DDF Original'!C594="","",'DDF Original'!C594)</f>
        <v/>
      </c>
      <c r="E594" s="24" t="str">
        <f>IF('DDF Original'!B594="","",IF(TRIM('DDF Original'!I594)="",0,'DDF Original'!I594))</f>
        <v/>
      </c>
      <c r="F594" s="20" t="str">
        <f t="shared" si="64"/>
        <v/>
      </c>
      <c r="G594" s="37" t="str">
        <f>IF('DDF Original'!B594="","",IF(TRIM('DDF Original'!P594)="",0,'DDF Original'!P594))</f>
        <v/>
      </c>
      <c r="H594" s="20" t="str">
        <f t="shared" si="65"/>
        <v/>
      </c>
      <c r="I594" s="25" t="str">
        <f t="shared" si="66"/>
        <v/>
      </c>
      <c r="J594" s="20" t="str">
        <f t="shared" si="67"/>
        <v/>
      </c>
      <c r="K594" s="20" t="str">
        <f t="shared" si="68"/>
        <v/>
      </c>
      <c r="L594" s="20" t="str">
        <f>IF(B594="","",70*'DDF Original'!$Q$4)</f>
        <v/>
      </c>
      <c r="M594" s="20" t="str">
        <f t="shared" si="69"/>
        <v/>
      </c>
      <c r="N594" s="20" t="str">
        <f>IF(AND(OR(B594="",J594&gt;G594,M594&gt;G594),'DDF Original'!L594&lt;&gt; "MI"),G594,IF(M594&gt;J594,M594,J594))</f>
        <v/>
      </c>
    </row>
    <row r="595" spans="2:14" x14ac:dyDescent="0.2">
      <c r="B595" s="19" t="str">
        <f>IF('DDF Original'!B595="","",'DDF Original'!B595)</f>
        <v/>
      </c>
      <c r="C595" s="19" t="e">
        <f t="shared" si="63"/>
        <v>#VALUE!</v>
      </c>
      <c r="D595" s="20" t="str">
        <f>IF('DDF Original'!C595="","",'DDF Original'!C595)</f>
        <v/>
      </c>
      <c r="E595" s="24" t="str">
        <f>IF('DDF Original'!B595="","",IF(TRIM('DDF Original'!I595)="",0,'DDF Original'!I595))</f>
        <v/>
      </c>
      <c r="F595" s="20" t="str">
        <f t="shared" si="64"/>
        <v/>
      </c>
      <c r="G595" s="37" t="str">
        <f>IF('DDF Original'!B595="","",IF(TRIM('DDF Original'!P595)="",0,'DDF Original'!P595))</f>
        <v/>
      </c>
      <c r="H595" s="20" t="str">
        <f t="shared" si="65"/>
        <v/>
      </c>
      <c r="I595" s="25" t="str">
        <f t="shared" si="66"/>
        <v/>
      </c>
      <c r="J595" s="20" t="str">
        <f t="shared" si="67"/>
        <v/>
      </c>
      <c r="K595" s="20" t="str">
        <f t="shared" si="68"/>
        <v/>
      </c>
      <c r="L595" s="20" t="str">
        <f>IF(B595="","",70*'DDF Original'!$Q$4)</f>
        <v/>
      </c>
      <c r="M595" s="20" t="str">
        <f t="shared" si="69"/>
        <v/>
      </c>
      <c r="N595" s="20" t="str">
        <f>IF(AND(OR(B595="",J595&gt;G595,M595&gt;G595),'DDF Original'!L595&lt;&gt; "MI"),G595,IF(M595&gt;J595,M595,J595))</f>
        <v/>
      </c>
    </row>
    <row r="596" spans="2:14" x14ac:dyDescent="0.2">
      <c r="B596" s="19" t="str">
        <f>IF('DDF Original'!B596="","",'DDF Original'!B596)</f>
        <v/>
      </c>
      <c r="C596" s="19" t="e">
        <f t="shared" si="63"/>
        <v>#VALUE!</v>
      </c>
      <c r="D596" s="20" t="str">
        <f>IF('DDF Original'!C596="","",'DDF Original'!C596)</f>
        <v/>
      </c>
      <c r="E596" s="24" t="str">
        <f>IF('DDF Original'!B596="","",IF(TRIM('DDF Original'!I596)="",0,'DDF Original'!I596))</f>
        <v/>
      </c>
      <c r="F596" s="20" t="str">
        <f t="shared" si="64"/>
        <v/>
      </c>
      <c r="G596" s="37" t="str">
        <f>IF('DDF Original'!B596="","",IF(TRIM('DDF Original'!P596)="",0,'DDF Original'!P596))</f>
        <v/>
      </c>
      <c r="H596" s="20" t="str">
        <f t="shared" si="65"/>
        <v/>
      </c>
      <c r="I596" s="25" t="str">
        <f t="shared" si="66"/>
        <v/>
      </c>
      <c r="J596" s="20" t="str">
        <f t="shared" si="67"/>
        <v/>
      </c>
      <c r="K596" s="20" t="str">
        <f t="shared" si="68"/>
        <v/>
      </c>
      <c r="L596" s="20" t="str">
        <f>IF(B596="","",70*'DDF Original'!$Q$4)</f>
        <v/>
      </c>
      <c r="M596" s="20" t="str">
        <f t="shared" si="69"/>
        <v/>
      </c>
      <c r="N596" s="20" t="str">
        <f>IF(AND(OR(B596="",J596&gt;G596,M596&gt;G596),'DDF Original'!L596&lt;&gt; "MI"),G596,IF(M596&gt;J596,M596,J596))</f>
        <v/>
      </c>
    </row>
    <row r="597" spans="2:14" x14ac:dyDescent="0.2">
      <c r="B597" s="19" t="str">
        <f>IF('DDF Original'!B597="","",'DDF Original'!B597)</f>
        <v/>
      </c>
      <c r="C597" s="19" t="e">
        <f t="shared" si="63"/>
        <v>#VALUE!</v>
      </c>
      <c r="D597" s="20" t="str">
        <f>IF('DDF Original'!C597="","",'DDF Original'!C597)</f>
        <v/>
      </c>
      <c r="E597" s="24" t="str">
        <f>IF('DDF Original'!B597="","",IF(TRIM('DDF Original'!I597)="",0,'DDF Original'!I597))</f>
        <v/>
      </c>
      <c r="F597" s="20" t="str">
        <f t="shared" si="64"/>
        <v/>
      </c>
      <c r="G597" s="37" t="str">
        <f>IF('DDF Original'!B597="","",IF(TRIM('DDF Original'!P597)="",0,'DDF Original'!P597))</f>
        <v/>
      </c>
      <c r="H597" s="20" t="str">
        <f t="shared" si="65"/>
        <v/>
      </c>
      <c r="I597" s="25" t="str">
        <f t="shared" si="66"/>
        <v/>
      </c>
      <c r="J597" s="20" t="str">
        <f t="shared" si="67"/>
        <v/>
      </c>
      <c r="K597" s="20" t="str">
        <f t="shared" si="68"/>
        <v/>
      </c>
      <c r="L597" s="20" t="str">
        <f>IF(B597="","",70*'DDF Original'!$Q$4)</f>
        <v/>
      </c>
      <c r="M597" s="20" t="str">
        <f t="shared" si="69"/>
        <v/>
      </c>
      <c r="N597" s="20" t="str">
        <f>IF(AND(OR(B597="",J597&gt;G597,M597&gt;G597),'DDF Original'!L597&lt;&gt; "MI"),G597,IF(M597&gt;J597,M597,J597))</f>
        <v/>
      </c>
    </row>
    <row r="598" spans="2:14" x14ac:dyDescent="0.2">
      <c r="B598" s="19" t="str">
        <f>IF('DDF Original'!B598="","",'DDF Original'!B598)</f>
        <v/>
      </c>
      <c r="C598" s="19" t="e">
        <f t="shared" si="63"/>
        <v>#VALUE!</v>
      </c>
      <c r="D598" s="20" t="str">
        <f>IF('DDF Original'!C598="","",'DDF Original'!C598)</f>
        <v/>
      </c>
      <c r="E598" s="24" t="str">
        <f>IF('DDF Original'!B598="","",IF(TRIM('DDF Original'!I598)="",0,'DDF Original'!I598))</f>
        <v/>
      </c>
      <c r="F598" s="20" t="str">
        <f t="shared" si="64"/>
        <v/>
      </c>
      <c r="G598" s="37" t="str">
        <f>IF('DDF Original'!B598="","",IF(TRIM('DDF Original'!P598)="",0,'DDF Original'!P598))</f>
        <v/>
      </c>
      <c r="H598" s="20" t="str">
        <f t="shared" si="65"/>
        <v/>
      </c>
      <c r="I598" s="25" t="str">
        <f t="shared" si="66"/>
        <v/>
      </c>
      <c r="J598" s="20" t="str">
        <f t="shared" si="67"/>
        <v/>
      </c>
      <c r="K598" s="20" t="str">
        <f t="shared" si="68"/>
        <v/>
      </c>
      <c r="L598" s="20" t="str">
        <f>IF(B598="","",70*'DDF Original'!$Q$4)</f>
        <v/>
      </c>
      <c r="M598" s="20" t="str">
        <f t="shared" si="69"/>
        <v/>
      </c>
      <c r="N598" s="20" t="str">
        <f>IF(AND(OR(B598="",J598&gt;G598,M598&gt;G598),'DDF Original'!L598&lt;&gt; "MI"),G598,IF(M598&gt;J598,M598,J598))</f>
        <v/>
      </c>
    </row>
    <row r="599" spans="2:14" x14ac:dyDescent="0.2">
      <c r="B599" s="19" t="str">
        <f>IF('DDF Original'!B599="","",'DDF Original'!B599)</f>
        <v/>
      </c>
      <c r="C599" s="19" t="e">
        <f t="shared" si="63"/>
        <v>#VALUE!</v>
      </c>
      <c r="D599" s="20" t="str">
        <f>IF('DDF Original'!C599="","",'DDF Original'!C599)</f>
        <v/>
      </c>
      <c r="E599" s="24" t="str">
        <f>IF('DDF Original'!B599="","",IF(TRIM('DDF Original'!I599)="",0,'DDF Original'!I599))</f>
        <v/>
      </c>
      <c r="F599" s="20" t="str">
        <f t="shared" si="64"/>
        <v/>
      </c>
      <c r="G599" s="37" t="str">
        <f>IF('DDF Original'!B599="","",IF(TRIM('DDF Original'!P599)="",0,'DDF Original'!P599))</f>
        <v/>
      </c>
      <c r="H599" s="20" t="str">
        <f t="shared" si="65"/>
        <v/>
      </c>
      <c r="I599" s="25" t="str">
        <f t="shared" si="66"/>
        <v/>
      </c>
      <c r="J599" s="20" t="str">
        <f t="shared" si="67"/>
        <v/>
      </c>
      <c r="K599" s="20" t="str">
        <f t="shared" si="68"/>
        <v/>
      </c>
      <c r="L599" s="20" t="str">
        <f>IF(B599="","",70*'DDF Original'!$Q$4)</f>
        <v/>
      </c>
      <c r="M599" s="20" t="str">
        <f t="shared" si="69"/>
        <v/>
      </c>
      <c r="N599" s="20" t="str">
        <f>IF(AND(OR(B599="",J599&gt;G599,M599&gt;G599),'DDF Original'!L599&lt;&gt; "MI"),G599,IF(M599&gt;J599,M599,J599))</f>
        <v/>
      </c>
    </row>
    <row r="600" spans="2:14" x14ac:dyDescent="0.2">
      <c r="B600" s="19" t="str">
        <f>IF('DDF Original'!B600="","",'DDF Original'!B600)</f>
        <v/>
      </c>
      <c r="C600" s="19" t="e">
        <f t="shared" si="63"/>
        <v>#VALUE!</v>
      </c>
      <c r="D600" s="20" t="str">
        <f>IF('DDF Original'!C600="","",'DDF Original'!C600)</f>
        <v/>
      </c>
      <c r="E600" s="24" t="str">
        <f>IF('DDF Original'!B600="","",IF(TRIM('DDF Original'!I600)="",0,'DDF Original'!I600))</f>
        <v/>
      </c>
      <c r="F600" s="20" t="str">
        <f t="shared" si="64"/>
        <v/>
      </c>
      <c r="G600" s="37" t="str">
        <f>IF('DDF Original'!B600="","",IF(TRIM('DDF Original'!P600)="",0,'DDF Original'!P600))</f>
        <v/>
      </c>
      <c r="H600" s="20" t="str">
        <f t="shared" si="65"/>
        <v/>
      </c>
      <c r="I600" s="25" t="str">
        <f t="shared" si="66"/>
        <v/>
      </c>
      <c r="J600" s="20" t="str">
        <f t="shared" si="67"/>
        <v/>
      </c>
      <c r="K600" s="20" t="str">
        <f t="shared" si="68"/>
        <v/>
      </c>
      <c r="L600" s="20" t="str">
        <f>IF(B600="","",70*'DDF Original'!$Q$4)</f>
        <v/>
      </c>
      <c r="M600" s="20" t="str">
        <f t="shared" si="69"/>
        <v/>
      </c>
      <c r="N600" s="20" t="str">
        <f>IF(AND(OR(B600="",J600&gt;G600,M600&gt;G600),'DDF Original'!L600&lt;&gt; "MI"),G600,IF(M600&gt;J600,M600,J600))</f>
        <v/>
      </c>
    </row>
    <row r="601" spans="2:14" x14ac:dyDescent="0.2">
      <c r="B601" s="19" t="str">
        <f>IF('DDF Original'!B601="","",'DDF Original'!B601)</f>
        <v/>
      </c>
      <c r="C601" s="19" t="e">
        <f t="shared" si="63"/>
        <v>#VALUE!</v>
      </c>
      <c r="D601" s="20" t="str">
        <f>IF('DDF Original'!C601="","",'DDF Original'!C601)</f>
        <v/>
      </c>
      <c r="E601" s="24" t="str">
        <f>IF('DDF Original'!B601="","",IF(TRIM('DDF Original'!I601)="",0,'DDF Original'!I601))</f>
        <v/>
      </c>
      <c r="F601" s="20" t="str">
        <f t="shared" si="64"/>
        <v/>
      </c>
      <c r="G601" s="37" t="str">
        <f>IF('DDF Original'!B601="","",IF(TRIM('DDF Original'!P601)="",0,'DDF Original'!P601))</f>
        <v/>
      </c>
      <c r="H601" s="20" t="str">
        <f t="shared" si="65"/>
        <v/>
      </c>
      <c r="I601" s="25" t="str">
        <f t="shared" si="66"/>
        <v/>
      </c>
      <c r="J601" s="20" t="str">
        <f t="shared" si="67"/>
        <v/>
      </c>
      <c r="K601" s="20" t="str">
        <f t="shared" si="68"/>
        <v/>
      </c>
      <c r="L601" s="20" t="str">
        <f>IF(B601="","",70*'DDF Original'!$Q$4)</f>
        <v/>
      </c>
      <c r="M601" s="20" t="str">
        <f t="shared" si="69"/>
        <v/>
      </c>
      <c r="N601" s="20" t="str">
        <f>IF(AND(OR(B601="",J601&gt;G601,M601&gt;G601),'DDF Original'!L601&lt;&gt; "MI"),G601,IF(M601&gt;J601,M601,J601))</f>
        <v/>
      </c>
    </row>
    <row r="602" spans="2:14" x14ac:dyDescent="0.2">
      <c r="B602" s="19" t="str">
        <f>IF('DDF Original'!B602="","",'DDF Original'!B602)</f>
        <v/>
      </c>
      <c r="C602" s="19" t="e">
        <f t="shared" si="63"/>
        <v>#VALUE!</v>
      </c>
      <c r="D602" s="20" t="str">
        <f>IF('DDF Original'!C602="","",'DDF Original'!C602)</f>
        <v/>
      </c>
      <c r="E602" s="24" t="str">
        <f>IF('DDF Original'!B602="","",IF(TRIM('DDF Original'!I602)="",0,'DDF Original'!I602))</f>
        <v/>
      </c>
      <c r="F602" s="20" t="str">
        <f t="shared" si="64"/>
        <v/>
      </c>
      <c r="G602" s="37" t="str">
        <f>IF('DDF Original'!B602="","",IF(TRIM('DDF Original'!P602)="",0,'DDF Original'!P602))</f>
        <v/>
      </c>
      <c r="H602" s="20" t="str">
        <f t="shared" si="65"/>
        <v/>
      </c>
      <c r="I602" s="25" t="str">
        <f t="shared" si="66"/>
        <v/>
      </c>
      <c r="J602" s="20" t="str">
        <f t="shared" si="67"/>
        <v/>
      </c>
      <c r="K602" s="20" t="str">
        <f t="shared" si="68"/>
        <v/>
      </c>
      <c r="L602" s="20" t="str">
        <f>IF(B602="","",70*'DDF Original'!$Q$4)</f>
        <v/>
      </c>
      <c r="M602" s="20" t="str">
        <f t="shared" si="69"/>
        <v/>
      </c>
      <c r="N602" s="20" t="str">
        <f>IF(AND(OR(B602="",J602&gt;G602,M602&gt;G602),'DDF Original'!L602&lt;&gt; "MI"),G602,IF(M602&gt;J602,M602,J602))</f>
        <v/>
      </c>
    </row>
    <row r="603" spans="2:14" x14ac:dyDescent="0.2">
      <c r="B603" s="19" t="str">
        <f>IF('DDF Original'!B603="","",'DDF Original'!B603)</f>
        <v/>
      </c>
      <c r="C603" s="19" t="e">
        <f t="shared" si="63"/>
        <v>#VALUE!</v>
      </c>
      <c r="D603" s="20" t="str">
        <f>IF('DDF Original'!C603="","",'DDF Original'!C603)</f>
        <v/>
      </c>
      <c r="E603" s="24" t="str">
        <f>IF('DDF Original'!B603="","",IF(TRIM('DDF Original'!I603)="",0,'DDF Original'!I603))</f>
        <v/>
      </c>
      <c r="F603" s="20" t="str">
        <f t="shared" si="64"/>
        <v/>
      </c>
      <c r="G603" s="37" t="str">
        <f>IF('DDF Original'!B603="","",IF(TRIM('DDF Original'!P603)="",0,'DDF Original'!P603))</f>
        <v/>
      </c>
      <c r="H603" s="20" t="str">
        <f t="shared" si="65"/>
        <v/>
      </c>
      <c r="I603" s="25" t="str">
        <f t="shared" si="66"/>
        <v/>
      </c>
      <c r="J603" s="20" t="str">
        <f t="shared" si="67"/>
        <v/>
      </c>
      <c r="K603" s="20" t="str">
        <f t="shared" si="68"/>
        <v/>
      </c>
      <c r="L603" s="20" t="str">
        <f>IF(B603="","",70*'DDF Original'!$Q$4)</f>
        <v/>
      </c>
      <c r="M603" s="20" t="str">
        <f t="shared" si="69"/>
        <v/>
      </c>
      <c r="N603" s="20" t="str">
        <f>IF(AND(OR(B603="",J603&gt;G603,M603&gt;G603),'DDF Original'!L603&lt;&gt; "MI"),G603,IF(M603&gt;J603,M603,J603))</f>
        <v/>
      </c>
    </row>
    <row r="604" spans="2:14" x14ac:dyDescent="0.2">
      <c r="B604" s="19" t="str">
        <f>IF('DDF Original'!B604="","",'DDF Original'!B604)</f>
        <v/>
      </c>
      <c r="C604" s="19" t="e">
        <f t="shared" si="63"/>
        <v>#VALUE!</v>
      </c>
      <c r="D604" s="20" t="str">
        <f>IF('DDF Original'!C604="","",'DDF Original'!C604)</f>
        <v/>
      </c>
      <c r="E604" s="24" t="str">
        <f>IF('DDF Original'!B604="","",IF(TRIM('DDF Original'!I604)="",0,'DDF Original'!I604))</f>
        <v/>
      </c>
      <c r="F604" s="20" t="str">
        <f t="shared" si="64"/>
        <v/>
      </c>
      <c r="G604" s="37" t="str">
        <f>IF('DDF Original'!B604="","",IF(TRIM('DDF Original'!P604)="",0,'DDF Original'!P604))</f>
        <v/>
      </c>
      <c r="H604" s="20" t="str">
        <f t="shared" si="65"/>
        <v/>
      </c>
      <c r="I604" s="25" t="str">
        <f t="shared" si="66"/>
        <v/>
      </c>
      <c r="J604" s="20" t="str">
        <f t="shared" si="67"/>
        <v/>
      </c>
      <c r="K604" s="20" t="str">
        <f t="shared" si="68"/>
        <v/>
      </c>
      <c r="L604" s="20" t="str">
        <f>IF(B604="","",70*'DDF Original'!$Q$4)</f>
        <v/>
      </c>
      <c r="M604" s="20" t="str">
        <f t="shared" si="69"/>
        <v/>
      </c>
      <c r="N604" s="20" t="str">
        <f>IF(AND(OR(B604="",J604&gt;G604,M604&gt;G604),'DDF Original'!L604&lt;&gt; "MI"),G604,IF(M604&gt;J604,M604,J604))</f>
        <v/>
      </c>
    </row>
    <row r="605" spans="2:14" x14ac:dyDescent="0.2">
      <c r="B605" s="19" t="str">
        <f>IF('DDF Original'!B605="","",'DDF Original'!B605)</f>
        <v/>
      </c>
      <c r="C605" s="19" t="e">
        <f t="shared" si="63"/>
        <v>#VALUE!</v>
      </c>
      <c r="D605" s="20" t="str">
        <f>IF('DDF Original'!C605="","",'DDF Original'!C605)</f>
        <v/>
      </c>
      <c r="E605" s="24" t="str">
        <f>IF('DDF Original'!B605="","",IF(TRIM('DDF Original'!I605)="",0,'DDF Original'!I605))</f>
        <v/>
      </c>
      <c r="F605" s="20" t="str">
        <f t="shared" si="64"/>
        <v/>
      </c>
      <c r="G605" s="37" t="str">
        <f>IF('DDF Original'!B605="","",IF(TRIM('DDF Original'!P605)="",0,'DDF Original'!P605))</f>
        <v/>
      </c>
      <c r="H605" s="20" t="str">
        <f t="shared" si="65"/>
        <v/>
      </c>
      <c r="I605" s="25" t="str">
        <f t="shared" si="66"/>
        <v/>
      </c>
      <c r="J605" s="20" t="str">
        <f t="shared" si="67"/>
        <v/>
      </c>
      <c r="K605" s="20" t="str">
        <f t="shared" si="68"/>
        <v/>
      </c>
      <c r="L605" s="20" t="str">
        <f>IF(B605="","",70*'DDF Original'!$Q$4)</f>
        <v/>
      </c>
      <c r="M605" s="20" t="str">
        <f t="shared" si="69"/>
        <v/>
      </c>
      <c r="N605" s="20" t="str">
        <f>IF(AND(OR(B605="",J605&gt;G605,M605&gt;G605),'DDF Original'!L605&lt;&gt; "MI"),G605,IF(M605&gt;J605,M605,J605))</f>
        <v/>
      </c>
    </row>
    <row r="606" spans="2:14" x14ac:dyDescent="0.2">
      <c r="B606" s="19" t="str">
        <f>IF('DDF Original'!B606="","",'DDF Original'!B606)</f>
        <v/>
      </c>
      <c r="C606" s="19" t="e">
        <f t="shared" si="63"/>
        <v>#VALUE!</v>
      </c>
      <c r="D606" s="20" t="str">
        <f>IF('DDF Original'!C606="","",'DDF Original'!C606)</f>
        <v/>
      </c>
      <c r="E606" s="24" t="str">
        <f>IF('DDF Original'!B606="","",IF(TRIM('DDF Original'!I606)="",0,'DDF Original'!I606))</f>
        <v/>
      </c>
      <c r="F606" s="20" t="str">
        <f t="shared" si="64"/>
        <v/>
      </c>
      <c r="G606" s="37" t="str">
        <f>IF('DDF Original'!B606="","",IF(TRIM('DDF Original'!P606)="",0,'DDF Original'!P606))</f>
        <v/>
      </c>
      <c r="H606" s="20" t="str">
        <f t="shared" si="65"/>
        <v/>
      </c>
      <c r="I606" s="25" t="str">
        <f t="shared" si="66"/>
        <v/>
      </c>
      <c r="J606" s="20" t="str">
        <f t="shared" si="67"/>
        <v/>
      </c>
      <c r="K606" s="20" t="str">
        <f t="shared" si="68"/>
        <v/>
      </c>
      <c r="L606" s="20" t="str">
        <f>IF(B606="","",70*'DDF Original'!$Q$4)</f>
        <v/>
      </c>
      <c r="M606" s="20" t="str">
        <f t="shared" si="69"/>
        <v/>
      </c>
      <c r="N606" s="20" t="str">
        <f>IF(AND(OR(B606="",J606&gt;G606,M606&gt;G606),'DDF Original'!L606&lt;&gt; "MI"),G606,IF(M606&gt;J606,M606,J606))</f>
        <v/>
      </c>
    </row>
    <row r="607" spans="2:14" x14ac:dyDescent="0.2">
      <c r="B607" s="19" t="str">
        <f>IF('DDF Original'!B607="","",'DDF Original'!B607)</f>
        <v/>
      </c>
      <c r="C607" s="19" t="e">
        <f t="shared" si="63"/>
        <v>#VALUE!</v>
      </c>
      <c r="D607" s="20" t="str">
        <f>IF('DDF Original'!C607="","",'DDF Original'!C607)</f>
        <v/>
      </c>
      <c r="E607" s="24" t="str">
        <f>IF('DDF Original'!B607="","",IF(TRIM('DDF Original'!I607)="",0,'DDF Original'!I607))</f>
        <v/>
      </c>
      <c r="F607" s="20" t="str">
        <f t="shared" si="64"/>
        <v/>
      </c>
      <c r="G607" s="37" t="str">
        <f>IF('DDF Original'!B607="","",IF(TRIM('DDF Original'!P607)="",0,'DDF Original'!P607))</f>
        <v/>
      </c>
      <c r="H607" s="20" t="str">
        <f t="shared" si="65"/>
        <v/>
      </c>
      <c r="I607" s="25" t="str">
        <f t="shared" si="66"/>
        <v/>
      </c>
      <c r="J607" s="20" t="str">
        <f t="shared" si="67"/>
        <v/>
      </c>
      <c r="K607" s="20" t="str">
        <f t="shared" si="68"/>
        <v/>
      </c>
      <c r="L607" s="20" t="str">
        <f>IF(B607="","",70*'DDF Original'!$Q$4)</f>
        <v/>
      </c>
      <c r="M607" s="20" t="str">
        <f t="shared" si="69"/>
        <v/>
      </c>
      <c r="N607" s="20" t="str">
        <f>IF(AND(OR(B607="",J607&gt;G607,M607&gt;G607),'DDF Original'!L607&lt;&gt; "MI"),G607,IF(M607&gt;J607,M607,J607))</f>
        <v/>
      </c>
    </row>
    <row r="608" spans="2:14" x14ac:dyDescent="0.2">
      <c r="B608" s="19" t="str">
        <f>IF('DDF Original'!B608="","",'DDF Original'!B608)</f>
        <v/>
      </c>
      <c r="C608" s="19" t="e">
        <f t="shared" si="63"/>
        <v>#VALUE!</v>
      </c>
      <c r="D608" s="20" t="str">
        <f>IF('DDF Original'!C608="","",'DDF Original'!C608)</f>
        <v/>
      </c>
      <c r="E608" s="24" t="str">
        <f>IF('DDF Original'!B608="","",IF(TRIM('DDF Original'!I608)="",0,'DDF Original'!I608))</f>
        <v/>
      </c>
      <c r="F608" s="20" t="str">
        <f t="shared" si="64"/>
        <v/>
      </c>
      <c r="G608" s="37" t="str">
        <f>IF('DDF Original'!B608="","",IF(TRIM('DDF Original'!P608)="",0,'DDF Original'!P608))</f>
        <v/>
      </c>
      <c r="H608" s="20" t="str">
        <f t="shared" si="65"/>
        <v/>
      </c>
      <c r="I608" s="25" t="str">
        <f t="shared" si="66"/>
        <v/>
      </c>
      <c r="J608" s="20" t="str">
        <f t="shared" si="67"/>
        <v/>
      </c>
      <c r="K608" s="20" t="str">
        <f t="shared" si="68"/>
        <v/>
      </c>
      <c r="L608" s="20" t="str">
        <f>IF(B608="","",70*'DDF Original'!$Q$4)</f>
        <v/>
      </c>
      <c r="M608" s="20" t="str">
        <f t="shared" si="69"/>
        <v/>
      </c>
      <c r="N608" s="20" t="str">
        <f>IF(AND(OR(B608="",J608&gt;G608,M608&gt;G608),'DDF Original'!L608&lt;&gt; "MI"),G608,IF(M608&gt;J608,M608,J608))</f>
        <v/>
      </c>
    </row>
    <row r="609" spans="2:14" x14ac:dyDescent="0.2">
      <c r="B609" s="19" t="str">
        <f>IF('DDF Original'!B609="","",'DDF Original'!B609)</f>
        <v/>
      </c>
      <c r="C609" s="19" t="e">
        <f t="shared" si="63"/>
        <v>#VALUE!</v>
      </c>
      <c r="D609" s="20" t="str">
        <f>IF('DDF Original'!C609="","",'DDF Original'!C609)</f>
        <v/>
      </c>
      <c r="E609" s="24" t="str">
        <f>IF('DDF Original'!B609="","",IF(TRIM('DDF Original'!I609)="",0,'DDF Original'!I609))</f>
        <v/>
      </c>
      <c r="F609" s="20" t="str">
        <f t="shared" si="64"/>
        <v/>
      </c>
      <c r="G609" s="37" t="str">
        <f>IF('DDF Original'!B609="","",IF(TRIM('DDF Original'!P609)="",0,'DDF Original'!P609))</f>
        <v/>
      </c>
      <c r="H609" s="20" t="str">
        <f t="shared" si="65"/>
        <v/>
      </c>
      <c r="I609" s="25" t="str">
        <f t="shared" si="66"/>
        <v/>
      </c>
      <c r="J609" s="20" t="str">
        <f t="shared" si="67"/>
        <v/>
      </c>
      <c r="K609" s="20" t="str">
        <f t="shared" si="68"/>
        <v/>
      </c>
      <c r="L609" s="20" t="str">
        <f>IF(B609="","",70*'DDF Original'!$Q$4)</f>
        <v/>
      </c>
      <c r="M609" s="20" t="str">
        <f t="shared" si="69"/>
        <v/>
      </c>
      <c r="N609" s="20" t="str">
        <f>IF(AND(OR(B609="",J609&gt;G609,M609&gt;G609),'DDF Original'!L609&lt;&gt; "MI"),G609,IF(M609&gt;J609,M609,J609))</f>
        <v/>
      </c>
    </row>
    <row r="610" spans="2:14" x14ac:dyDescent="0.2">
      <c r="B610" s="19" t="str">
        <f>IF('DDF Original'!B610="","",'DDF Original'!B610)</f>
        <v/>
      </c>
      <c r="C610" s="19" t="e">
        <f t="shared" si="63"/>
        <v>#VALUE!</v>
      </c>
      <c r="D610" s="20" t="str">
        <f>IF('DDF Original'!C610="","",'DDF Original'!C610)</f>
        <v/>
      </c>
      <c r="E610" s="24" t="str">
        <f>IF('DDF Original'!B610="","",IF(TRIM('DDF Original'!I610)="",0,'DDF Original'!I610))</f>
        <v/>
      </c>
      <c r="F610" s="20" t="str">
        <f t="shared" si="64"/>
        <v/>
      </c>
      <c r="G610" s="37" t="str">
        <f>IF('DDF Original'!B610="","",IF(TRIM('DDF Original'!P610)="",0,'DDF Original'!P610))</f>
        <v/>
      </c>
      <c r="H610" s="20" t="str">
        <f t="shared" si="65"/>
        <v/>
      </c>
      <c r="I610" s="25" t="str">
        <f t="shared" si="66"/>
        <v/>
      </c>
      <c r="J610" s="20" t="str">
        <f t="shared" si="67"/>
        <v/>
      </c>
      <c r="K610" s="20" t="str">
        <f t="shared" si="68"/>
        <v/>
      </c>
      <c r="L610" s="20" t="str">
        <f>IF(B610="","",70*'DDF Original'!$Q$4)</f>
        <v/>
      </c>
      <c r="M610" s="20" t="str">
        <f t="shared" si="69"/>
        <v/>
      </c>
      <c r="N610" s="20" t="str">
        <f>IF(AND(OR(B610="",J610&gt;G610,M610&gt;G610),'DDF Original'!L610&lt;&gt; "MI"),G610,IF(M610&gt;J610,M610,J610))</f>
        <v/>
      </c>
    </row>
    <row r="611" spans="2:14" x14ac:dyDescent="0.2">
      <c r="B611" s="19" t="str">
        <f>IF('DDF Original'!B611="","",'DDF Original'!B611)</f>
        <v/>
      </c>
      <c r="C611" s="19" t="e">
        <f t="shared" si="63"/>
        <v>#VALUE!</v>
      </c>
      <c r="D611" s="20" t="str">
        <f>IF('DDF Original'!C611="","",'DDF Original'!C611)</f>
        <v/>
      </c>
      <c r="E611" s="24" t="str">
        <f>IF('DDF Original'!B611="","",IF(TRIM('DDF Original'!I611)="",0,'DDF Original'!I611))</f>
        <v/>
      </c>
      <c r="F611" s="20" t="str">
        <f t="shared" si="64"/>
        <v/>
      </c>
      <c r="G611" s="37" t="str">
        <f>IF('DDF Original'!B611="","",IF(TRIM('DDF Original'!P611)="",0,'DDF Original'!P611))</f>
        <v/>
      </c>
      <c r="H611" s="20" t="str">
        <f t="shared" si="65"/>
        <v/>
      </c>
      <c r="I611" s="25" t="str">
        <f t="shared" si="66"/>
        <v/>
      </c>
      <c r="J611" s="20" t="str">
        <f t="shared" si="67"/>
        <v/>
      </c>
      <c r="K611" s="20" t="str">
        <f t="shared" si="68"/>
        <v/>
      </c>
      <c r="L611" s="20" t="str">
        <f>IF(B611="","",70*'DDF Original'!$Q$4)</f>
        <v/>
      </c>
      <c r="M611" s="20" t="str">
        <f t="shared" si="69"/>
        <v/>
      </c>
      <c r="N611" s="20" t="str">
        <f>IF(AND(OR(B611="",J611&gt;G611,M611&gt;G611),'DDF Original'!L611&lt;&gt; "MI"),G611,IF(M611&gt;J611,M611,J611))</f>
        <v/>
      </c>
    </row>
    <row r="612" spans="2:14" x14ac:dyDescent="0.2">
      <c r="B612" s="19" t="str">
        <f>IF('DDF Original'!B612="","",'DDF Original'!B612)</f>
        <v/>
      </c>
      <c r="C612" s="19" t="e">
        <f t="shared" si="63"/>
        <v>#VALUE!</v>
      </c>
      <c r="D612" s="20" t="str">
        <f>IF('DDF Original'!C612="","",'DDF Original'!C612)</f>
        <v/>
      </c>
      <c r="E612" s="24" t="str">
        <f>IF('DDF Original'!B612="","",IF(TRIM('DDF Original'!I612)="",0,'DDF Original'!I612))</f>
        <v/>
      </c>
      <c r="F612" s="20" t="str">
        <f t="shared" si="64"/>
        <v/>
      </c>
      <c r="G612" s="37" t="str">
        <f>IF('DDF Original'!B612="","",IF(TRIM('DDF Original'!P612)="",0,'DDF Original'!P612))</f>
        <v/>
      </c>
      <c r="H612" s="20" t="str">
        <f t="shared" si="65"/>
        <v/>
      </c>
      <c r="I612" s="25" t="str">
        <f t="shared" si="66"/>
        <v/>
      </c>
      <c r="J612" s="20" t="str">
        <f t="shared" si="67"/>
        <v/>
      </c>
      <c r="K612" s="20" t="str">
        <f t="shared" si="68"/>
        <v/>
      </c>
      <c r="L612" s="20" t="str">
        <f>IF(B612="","",70*'DDF Original'!$Q$4)</f>
        <v/>
      </c>
      <c r="M612" s="20" t="str">
        <f t="shared" si="69"/>
        <v/>
      </c>
      <c r="N612" s="20" t="str">
        <f>IF(AND(OR(B612="",J612&gt;G612,M612&gt;G612),'DDF Original'!L612&lt;&gt; "MI"),G612,IF(M612&gt;J612,M612,J612))</f>
        <v/>
      </c>
    </row>
    <row r="613" spans="2:14" x14ac:dyDescent="0.2">
      <c r="B613" s="19" t="str">
        <f>IF('DDF Original'!B613="","",'DDF Original'!B613)</f>
        <v/>
      </c>
      <c r="C613" s="19" t="e">
        <f t="shared" si="63"/>
        <v>#VALUE!</v>
      </c>
      <c r="D613" s="20" t="str">
        <f>IF('DDF Original'!C613="","",'DDF Original'!C613)</f>
        <v/>
      </c>
      <c r="E613" s="24" t="str">
        <f>IF('DDF Original'!B613="","",IF(TRIM('DDF Original'!I613)="",0,'DDF Original'!I613))</f>
        <v/>
      </c>
      <c r="F613" s="20" t="str">
        <f t="shared" si="64"/>
        <v/>
      </c>
      <c r="G613" s="37" t="str">
        <f>IF('DDF Original'!B613="","",IF(TRIM('DDF Original'!P613)="",0,'DDF Original'!P613))</f>
        <v/>
      </c>
      <c r="H613" s="20" t="str">
        <f t="shared" si="65"/>
        <v/>
      </c>
      <c r="I613" s="25" t="str">
        <f t="shared" si="66"/>
        <v/>
      </c>
      <c r="J613" s="20" t="str">
        <f t="shared" si="67"/>
        <v/>
      </c>
      <c r="K613" s="20" t="str">
        <f t="shared" si="68"/>
        <v/>
      </c>
      <c r="L613" s="20" t="str">
        <f>IF(B613="","",70*'DDF Original'!$Q$4)</f>
        <v/>
      </c>
      <c r="M613" s="20" t="str">
        <f t="shared" si="69"/>
        <v/>
      </c>
      <c r="N613" s="20" t="str">
        <f>IF(AND(OR(B613="",J613&gt;G613,M613&gt;G613),'DDF Original'!L613&lt;&gt; "MI"),G613,IF(M613&gt;J613,M613,J613))</f>
        <v/>
      </c>
    </row>
    <row r="614" spans="2:14" x14ac:dyDescent="0.2">
      <c r="B614" s="19" t="str">
        <f>IF('DDF Original'!B614="","",'DDF Original'!B614)</f>
        <v/>
      </c>
      <c r="C614" s="19" t="e">
        <f t="shared" si="63"/>
        <v>#VALUE!</v>
      </c>
      <c r="D614" s="20" t="str">
        <f>IF('DDF Original'!C614="","",'DDF Original'!C614)</f>
        <v/>
      </c>
      <c r="E614" s="24" t="str">
        <f>IF('DDF Original'!B614="","",IF(TRIM('DDF Original'!I614)="",0,'DDF Original'!I614))</f>
        <v/>
      </c>
      <c r="F614" s="20" t="str">
        <f t="shared" si="64"/>
        <v/>
      </c>
      <c r="G614" s="37" t="str">
        <f>IF('DDF Original'!B614="","",IF(TRIM('DDF Original'!P614)="",0,'DDF Original'!P614))</f>
        <v/>
      </c>
      <c r="H614" s="20" t="str">
        <f t="shared" si="65"/>
        <v/>
      </c>
      <c r="I614" s="25" t="str">
        <f t="shared" si="66"/>
        <v/>
      </c>
      <c r="J614" s="20" t="str">
        <f t="shared" si="67"/>
        <v/>
      </c>
      <c r="K614" s="20" t="str">
        <f t="shared" si="68"/>
        <v/>
      </c>
      <c r="L614" s="20" t="str">
        <f>IF(B614="","",70*'DDF Original'!$Q$4)</f>
        <v/>
      </c>
      <c r="M614" s="20" t="str">
        <f t="shared" si="69"/>
        <v/>
      </c>
      <c r="N614" s="20" t="str">
        <f>IF(AND(OR(B614="",J614&gt;G614,M614&gt;G614),'DDF Original'!L614&lt;&gt; "MI"),G614,IF(M614&gt;J614,M614,J614))</f>
        <v/>
      </c>
    </row>
    <row r="615" spans="2:14" x14ac:dyDescent="0.2">
      <c r="B615" s="19" t="str">
        <f>IF('DDF Original'!B615="","",'DDF Original'!B615)</f>
        <v/>
      </c>
      <c r="C615" s="19" t="e">
        <f t="shared" si="63"/>
        <v>#VALUE!</v>
      </c>
      <c r="D615" s="20" t="str">
        <f>IF('DDF Original'!C615="","",'DDF Original'!C615)</f>
        <v/>
      </c>
      <c r="E615" s="24" t="str">
        <f>IF('DDF Original'!B615="","",IF(TRIM('DDF Original'!I615)="",0,'DDF Original'!I615))</f>
        <v/>
      </c>
      <c r="F615" s="20" t="str">
        <f t="shared" si="64"/>
        <v/>
      </c>
      <c r="G615" s="37" t="str">
        <f>IF('DDF Original'!B615="","",IF(TRIM('DDF Original'!P615)="",0,'DDF Original'!P615))</f>
        <v/>
      </c>
      <c r="H615" s="20" t="str">
        <f t="shared" si="65"/>
        <v/>
      </c>
      <c r="I615" s="25" t="str">
        <f t="shared" si="66"/>
        <v/>
      </c>
      <c r="J615" s="20" t="str">
        <f t="shared" si="67"/>
        <v/>
      </c>
      <c r="K615" s="20" t="str">
        <f t="shared" si="68"/>
        <v/>
      </c>
      <c r="L615" s="20" t="str">
        <f>IF(B615="","",70*'DDF Original'!$Q$4)</f>
        <v/>
      </c>
      <c r="M615" s="20" t="str">
        <f t="shared" si="69"/>
        <v/>
      </c>
      <c r="N615" s="20" t="str">
        <f>IF(AND(OR(B615="",J615&gt;G615,M615&gt;G615),'DDF Original'!L615&lt;&gt; "MI"),G615,IF(M615&gt;J615,M615,J615))</f>
        <v/>
      </c>
    </row>
    <row r="616" spans="2:14" x14ac:dyDescent="0.2">
      <c r="B616" s="19" t="str">
        <f>IF('DDF Original'!B616="","",'DDF Original'!B616)</f>
        <v/>
      </c>
      <c r="C616" s="19" t="e">
        <f t="shared" si="63"/>
        <v>#VALUE!</v>
      </c>
      <c r="D616" s="20" t="str">
        <f>IF('DDF Original'!C616="","",'DDF Original'!C616)</f>
        <v/>
      </c>
      <c r="E616" s="24" t="str">
        <f>IF('DDF Original'!B616="","",IF(TRIM('DDF Original'!I616)="",0,'DDF Original'!I616))</f>
        <v/>
      </c>
      <c r="F616" s="20" t="str">
        <f t="shared" si="64"/>
        <v/>
      </c>
      <c r="G616" s="37" t="str">
        <f>IF('DDF Original'!B616="","",IF(TRIM('DDF Original'!P616)="",0,'DDF Original'!P616))</f>
        <v/>
      </c>
      <c r="H616" s="20" t="str">
        <f t="shared" si="65"/>
        <v/>
      </c>
      <c r="I616" s="25" t="str">
        <f t="shared" si="66"/>
        <v/>
      </c>
      <c r="J616" s="20" t="str">
        <f t="shared" si="67"/>
        <v/>
      </c>
      <c r="K616" s="20" t="str">
        <f t="shared" si="68"/>
        <v/>
      </c>
      <c r="L616" s="20" t="str">
        <f>IF(B616="","",70*'DDF Original'!$Q$4)</f>
        <v/>
      </c>
      <c r="M616" s="20" t="str">
        <f t="shared" si="69"/>
        <v/>
      </c>
      <c r="N616" s="20" t="str">
        <f>IF(AND(OR(B616="",J616&gt;G616,M616&gt;G616),'DDF Original'!L616&lt;&gt; "MI"),G616,IF(M616&gt;J616,M616,J616))</f>
        <v/>
      </c>
    </row>
    <row r="617" spans="2:14" x14ac:dyDescent="0.2">
      <c r="B617" s="19" t="str">
        <f>IF('DDF Original'!B617="","",'DDF Original'!B617)</f>
        <v/>
      </c>
      <c r="C617" s="19" t="e">
        <f t="shared" si="63"/>
        <v>#VALUE!</v>
      </c>
      <c r="D617" s="20" t="str">
        <f>IF('DDF Original'!C617="","",'DDF Original'!C617)</f>
        <v/>
      </c>
      <c r="E617" s="24" t="str">
        <f>IF('DDF Original'!B617="","",IF(TRIM('DDF Original'!I617)="",0,'DDF Original'!I617))</f>
        <v/>
      </c>
      <c r="F617" s="20" t="str">
        <f t="shared" si="64"/>
        <v/>
      </c>
      <c r="G617" s="37" t="str">
        <f>IF('DDF Original'!B617="","",IF(TRIM('DDF Original'!P617)="",0,'DDF Original'!P617))</f>
        <v/>
      </c>
      <c r="H617" s="20" t="str">
        <f t="shared" si="65"/>
        <v/>
      </c>
      <c r="I617" s="25" t="str">
        <f t="shared" si="66"/>
        <v/>
      </c>
      <c r="J617" s="20" t="str">
        <f t="shared" si="67"/>
        <v/>
      </c>
      <c r="K617" s="20" t="str">
        <f t="shared" si="68"/>
        <v/>
      </c>
      <c r="L617" s="20" t="str">
        <f>IF(B617="","",70*'DDF Original'!$Q$4)</f>
        <v/>
      </c>
      <c r="M617" s="20" t="str">
        <f t="shared" si="69"/>
        <v/>
      </c>
      <c r="N617" s="20" t="str">
        <f>IF(AND(OR(B617="",J617&gt;G617,M617&gt;G617),'DDF Original'!L617&lt;&gt; "MI"),G617,IF(M617&gt;J617,M617,J617))</f>
        <v/>
      </c>
    </row>
    <row r="618" spans="2:14" x14ac:dyDescent="0.2">
      <c r="B618" s="19" t="str">
        <f>IF('DDF Original'!B618="","",'DDF Original'!B618)</f>
        <v/>
      </c>
      <c r="C618" s="19" t="e">
        <f t="shared" si="63"/>
        <v>#VALUE!</v>
      </c>
      <c r="D618" s="20" t="str">
        <f>IF('DDF Original'!C618="","",'DDF Original'!C618)</f>
        <v/>
      </c>
      <c r="E618" s="24" t="str">
        <f>IF('DDF Original'!B618="","",IF(TRIM('DDF Original'!I618)="",0,'DDF Original'!I618))</f>
        <v/>
      </c>
      <c r="F618" s="20" t="str">
        <f t="shared" si="64"/>
        <v/>
      </c>
      <c r="G618" s="37" t="str">
        <f>IF('DDF Original'!B618="","",IF(TRIM('DDF Original'!P618)="",0,'DDF Original'!P618))</f>
        <v/>
      </c>
      <c r="H618" s="20" t="str">
        <f t="shared" si="65"/>
        <v/>
      </c>
      <c r="I618" s="25" t="str">
        <f t="shared" si="66"/>
        <v/>
      </c>
      <c r="J618" s="20" t="str">
        <f t="shared" si="67"/>
        <v/>
      </c>
      <c r="K618" s="20" t="str">
        <f t="shared" si="68"/>
        <v/>
      </c>
      <c r="L618" s="20" t="str">
        <f>IF(B618="","",70*'DDF Original'!$Q$4)</f>
        <v/>
      </c>
      <c r="M618" s="20" t="str">
        <f t="shared" si="69"/>
        <v/>
      </c>
      <c r="N618" s="20" t="str">
        <f>IF(AND(OR(B618="",J618&gt;G618,M618&gt;G618),'DDF Original'!L618&lt;&gt; "MI"),G618,IF(M618&gt;J618,M618,J618))</f>
        <v/>
      </c>
    </row>
    <row r="619" spans="2:14" x14ac:dyDescent="0.2">
      <c r="B619" s="19" t="str">
        <f>IF('DDF Original'!B619="","",'DDF Original'!B619)</f>
        <v/>
      </c>
      <c r="C619" s="19" t="e">
        <f t="shared" si="63"/>
        <v>#VALUE!</v>
      </c>
      <c r="D619" s="20" t="str">
        <f>IF('DDF Original'!C619="","",'DDF Original'!C619)</f>
        <v/>
      </c>
      <c r="E619" s="24" t="str">
        <f>IF('DDF Original'!B619="","",IF(TRIM('DDF Original'!I619)="",0,'DDF Original'!I619))</f>
        <v/>
      </c>
      <c r="F619" s="20" t="str">
        <f t="shared" si="64"/>
        <v/>
      </c>
      <c r="G619" s="37" t="str">
        <f>IF('DDF Original'!B619="","",IF(TRIM('DDF Original'!P619)="",0,'DDF Original'!P619))</f>
        <v/>
      </c>
      <c r="H619" s="20" t="str">
        <f t="shared" si="65"/>
        <v/>
      </c>
      <c r="I619" s="25" t="str">
        <f t="shared" si="66"/>
        <v/>
      </c>
      <c r="J619" s="20" t="str">
        <f t="shared" si="67"/>
        <v/>
      </c>
      <c r="K619" s="20" t="str">
        <f t="shared" si="68"/>
        <v/>
      </c>
      <c r="L619" s="20" t="str">
        <f>IF(B619="","",70*'DDF Original'!$Q$4)</f>
        <v/>
      </c>
      <c r="M619" s="20" t="str">
        <f t="shared" si="69"/>
        <v/>
      </c>
      <c r="N619" s="20" t="str">
        <f>IF(AND(OR(B619="",J619&gt;G619,M619&gt;G619),'DDF Original'!L619&lt;&gt; "MI"),G619,IF(M619&gt;J619,M619,J619))</f>
        <v/>
      </c>
    </row>
    <row r="620" spans="2:14" x14ac:dyDescent="0.2">
      <c r="B620" s="19" t="str">
        <f>IF('DDF Original'!B620="","",'DDF Original'!B620)</f>
        <v/>
      </c>
      <c r="C620" s="19" t="e">
        <f t="shared" si="63"/>
        <v>#VALUE!</v>
      </c>
      <c r="D620" s="20" t="str">
        <f>IF('DDF Original'!C620="","",'DDF Original'!C620)</f>
        <v/>
      </c>
      <c r="E620" s="24" t="str">
        <f>IF('DDF Original'!B620="","",IF(TRIM('DDF Original'!I620)="",0,'DDF Original'!I620))</f>
        <v/>
      </c>
      <c r="F620" s="20" t="str">
        <f t="shared" si="64"/>
        <v/>
      </c>
      <c r="G620" s="37" t="str">
        <f>IF('DDF Original'!B620="","",IF(TRIM('DDF Original'!P620)="",0,'DDF Original'!P620))</f>
        <v/>
      </c>
      <c r="H620" s="20" t="str">
        <f t="shared" si="65"/>
        <v/>
      </c>
      <c r="I620" s="25" t="str">
        <f t="shared" si="66"/>
        <v/>
      </c>
      <c r="J620" s="20" t="str">
        <f t="shared" si="67"/>
        <v/>
      </c>
      <c r="K620" s="20" t="str">
        <f t="shared" si="68"/>
        <v/>
      </c>
      <c r="L620" s="20" t="str">
        <f>IF(B620="","",70*'DDF Original'!$Q$4)</f>
        <v/>
      </c>
      <c r="M620" s="20" t="str">
        <f t="shared" si="69"/>
        <v/>
      </c>
      <c r="N620" s="20" t="str">
        <f>IF(AND(OR(B620="",J620&gt;G620,M620&gt;G620),'DDF Original'!L620&lt;&gt; "MI"),G620,IF(M620&gt;J620,M620,J620))</f>
        <v/>
      </c>
    </row>
    <row r="621" spans="2:14" x14ac:dyDescent="0.2">
      <c r="B621" s="19" t="str">
        <f>IF('DDF Original'!B621="","",'DDF Original'!B621)</f>
        <v/>
      </c>
      <c r="C621" s="19" t="e">
        <f t="shared" si="63"/>
        <v>#VALUE!</v>
      </c>
      <c r="D621" s="20" t="str">
        <f>IF('DDF Original'!C621="","",'DDF Original'!C621)</f>
        <v/>
      </c>
      <c r="E621" s="24" t="str">
        <f>IF('DDF Original'!B621="","",IF(TRIM('DDF Original'!I621)="",0,'DDF Original'!I621))</f>
        <v/>
      </c>
      <c r="F621" s="20" t="str">
        <f t="shared" si="64"/>
        <v/>
      </c>
      <c r="G621" s="37" t="str">
        <f>IF('DDF Original'!B621="","",IF(TRIM('DDF Original'!P621)="",0,'DDF Original'!P621))</f>
        <v/>
      </c>
      <c r="H621" s="20" t="str">
        <f t="shared" si="65"/>
        <v/>
      </c>
      <c r="I621" s="25" t="str">
        <f t="shared" si="66"/>
        <v/>
      </c>
      <c r="J621" s="20" t="str">
        <f t="shared" si="67"/>
        <v/>
      </c>
      <c r="K621" s="20" t="str">
        <f t="shared" si="68"/>
        <v/>
      </c>
      <c r="L621" s="20" t="str">
        <f>IF(B621="","",70*'DDF Original'!$Q$4)</f>
        <v/>
      </c>
      <c r="M621" s="20" t="str">
        <f t="shared" si="69"/>
        <v/>
      </c>
      <c r="N621" s="20" t="str">
        <f>IF(AND(OR(B621="",J621&gt;G621,M621&gt;G621),'DDF Original'!L621&lt;&gt; "MI"),G621,IF(M621&gt;J621,M621,J621))</f>
        <v/>
      </c>
    </row>
    <row r="622" spans="2:14" x14ac:dyDescent="0.2">
      <c r="B622" s="19" t="str">
        <f>IF('DDF Original'!B622="","",'DDF Original'!B622)</f>
        <v/>
      </c>
      <c r="C622" s="19" t="e">
        <f t="shared" si="63"/>
        <v>#VALUE!</v>
      </c>
      <c r="D622" s="20" t="str">
        <f>IF('DDF Original'!C622="","",'DDF Original'!C622)</f>
        <v/>
      </c>
      <c r="E622" s="24" t="str">
        <f>IF('DDF Original'!B622="","",IF(TRIM('DDF Original'!I622)="",0,'DDF Original'!I622))</f>
        <v/>
      </c>
      <c r="F622" s="20" t="str">
        <f t="shared" si="64"/>
        <v/>
      </c>
      <c r="G622" s="37" t="str">
        <f>IF('DDF Original'!B622="","",IF(TRIM('DDF Original'!P622)="",0,'DDF Original'!P622))</f>
        <v/>
      </c>
      <c r="H622" s="20" t="str">
        <f t="shared" si="65"/>
        <v/>
      </c>
      <c r="I622" s="25" t="str">
        <f t="shared" si="66"/>
        <v/>
      </c>
      <c r="J622" s="20" t="str">
        <f t="shared" si="67"/>
        <v/>
      </c>
      <c r="K622" s="20" t="str">
        <f t="shared" si="68"/>
        <v/>
      </c>
      <c r="L622" s="20" t="str">
        <f>IF(B622="","",70*'DDF Original'!$Q$4)</f>
        <v/>
      </c>
      <c r="M622" s="20" t="str">
        <f t="shared" si="69"/>
        <v/>
      </c>
      <c r="N622" s="20" t="str">
        <f>IF(AND(OR(B622="",J622&gt;G622,M622&gt;G622),'DDF Original'!L622&lt;&gt; "MI"),G622,IF(M622&gt;J622,M622,J622))</f>
        <v/>
      </c>
    </row>
    <row r="623" spans="2:14" x14ac:dyDescent="0.2">
      <c r="B623" s="19" t="str">
        <f>IF('DDF Original'!B623="","",'DDF Original'!B623)</f>
        <v/>
      </c>
      <c r="C623" s="19" t="e">
        <f t="shared" si="63"/>
        <v>#VALUE!</v>
      </c>
      <c r="D623" s="20" t="str">
        <f>IF('DDF Original'!C623="","",'DDF Original'!C623)</f>
        <v/>
      </c>
      <c r="E623" s="24" t="str">
        <f>IF('DDF Original'!B623="","",IF(TRIM('DDF Original'!I623)="",0,'DDF Original'!I623))</f>
        <v/>
      </c>
      <c r="F623" s="20" t="str">
        <f t="shared" si="64"/>
        <v/>
      </c>
      <c r="G623" s="37" t="str">
        <f>IF('DDF Original'!B623="","",IF(TRIM('DDF Original'!P623)="",0,'DDF Original'!P623))</f>
        <v/>
      </c>
      <c r="H623" s="20" t="str">
        <f t="shared" si="65"/>
        <v/>
      </c>
      <c r="I623" s="25" t="str">
        <f t="shared" si="66"/>
        <v/>
      </c>
      <c r="J623" s="20" t="str">
        <f t="shared" si="67"/>
        <v/>
      </c>
      <c r="K623" s="20" t="str">
        <f t="shared" si="68"/>
        <v/>
      </c>
      <c r="L623" s="20" t="str">
        <f>IF(B623="","",70*'DDF Original'!$Q$4)</f>
        <v/>
      </c>
      <c r="M623" s="20" t="str">
        <f t="shared" si="69"/>
        <v/>
      </c>
      <c r="N623" s="20" t="str">
        <f>IF(AND(OR(B623="",J623&gt;G623,M623&gt;G623),'DDF Original'!L623&lt;&gt; "MI"),G623,IF(M623&gt;J623,M623,J623))</f>
        <v/>
      </c>
    </row>
    <row r="624" spans="2:14" x14ac:dyDescent="0.2">
      <c r="B624" s="19" t="str">
        <f>IF('DDF Original'!B624="","",'DDF Original'!B624)</f>
        <v/>
      </c>
      <c r="C624" s="19" t="e">
        <f t="shared" si="63"/>
        <v>#VALUE!</v>
      </c>
      <c r="D624" s="20" t="str">
        <f>IF('DDF Original'!C624="","",'DDF Original'!C624)</f>
        <v/>
      </c>
      <c r="E624" s="24" t="str">
        <f>IF('DDF Original'!B624="","",IF(TRIM('DDF Original'!I624)="",0,'DDF Original'!I624))</f>
        <v/>
      </c>
      <c r="F624" s="20" t="str">
        <f t="shared" si="64"/>
        <v/>
      </c>
      <c r="G624" s="37" t="str">
        <f>IF('DDF Original'!B624="","",IF(TRIM('DDF Original'!P624)="",0,'DDF Original'!P624))</f>
        <v/>
      </c>
      <c r="H624" s="20" t="str">
        <f t="shared" si="65"/>
        <v/>
      </c>
      <c r="I624" s="25" t="str">
        <f t="shared" si="66"/>
        <v/>
      </c>
      <c r="J624" s="20" t="str">
        <f t="shared" si="67"/>
        <v/>
      </c>
      <c r="K624" s="20" t="str">
        <f t="shared" si="68"/>
        <v/>
      </c>
      <c r="L624" s="20" t="str">
        <f>IF(B624="","",70*'DDF Original'!$Q$4)</f>
        <v/>
      </c>
      <c r="M624" s="20" t="str">
        <f t="shared" si="69"/>
        <v/>
      </c>
      <c r="N624" s="20" t="str">
        <f>IF(AND(OR(B624="",J624&gt;G624,M624&gt;G624),'DDF Original'!L624&lt;&gt; "MI"),G624,IF(M624&gt;J624,M624,J624))</f>
        <v/>
      </c>
    </row>
    <row r="625" spans="2:14" x14ac:dyDescent="0.2">
      <c r="B625" s="19" t="str">
        <f>IF('DDF Original'!B625="","",'DDF Original'!B625)</f>
        <v/>
      </c>
      <c r="C625" s="19" t="e">
        <f t="shared" si="63"/>
        <v>#VALUE!</v>
      </c>
      <c r="D625" s="20" t="str">
        <f>IF('DDF Original'!C625="","",'DDF Original'!C625)</f>
        <v/>
      </c>
      <c r="E625" s="24" t="str">
        <f>IF('DDF Original'!B625="","",IF(TRIM('DDF Original'!I625)="",0,'DDF Original'!I625))</f>
        <v/>
      </c>
      <c r="F625" s="20" t="str">
        <f t="shared" si="64"/>
        <v/>
      </c>
      <c r="G625" s="37" t="str">
        <f>IF('DDF Original'!B625="","",IF(TRIM('DDF Original'!P625)="",0,'DDF Original'!P625))</f>
        <v/>
      </c>
      <c r="H625" s="20" t="str">
        <f t="shared" si="65"/>
        <v/>
      </c>
      <c r="I625" s="25" t="str">
        <f t="shared" si="66"/>
        <v/>
      </c>
      <c r="J625" s="20" t="str">
        <f t="shared" si="67"/>
        <v/>
      </c>
      <c r="K625" s="20" t="str">
        <f t="shared" si="68"/>
        <v/>
      </c>
      <c r="L625" s="20" t="str">
        <f>IF(B625="","",70*'DDF Original'!$Q$4)</f>
        <v/>
      </c>
      <c r="M625" s="20" t="str">
        <f t="shared" si="69"/>
        <v/>
      </c>
      <c r="N625" s="20" t="str">
        <f>IF(AND(OR(B625="",J625&gt;G625,M625&gt;G625),'DDF Original'!L625&lt;&gt; "MI"),G625,IF(M625&gt;J625,M625,J625))</f>
        <v/>
      </c>
    </row>
    <row r="626" spans="2:14" x14ac:dyDescent="0.2">
      <c r="B626" s="19" t="str">
        <f>IF('DDF Original'!B626="","",'DDF Original'!B626)</f>
        <v/>
      </c>
      <c r="C626" s="19" t="e">
        <f t="shared" si="63"/>
        <v>#VALUE!</v>
      </c>
      <c r="D626" s="20" t="str">
        <f>IF('DDF Original'!C626="","",'DDF Original'!C626)</f>
        <v/>
      </c>
      <c r="E626" s="24" t="str">
        <f>IF('DDF Original'!B626="","",IF(TRIM('DDF Original'!I626)="",0,'DDF Original'!I626))</f>
        <v/>
      </c>
      <c r="F626" s="20" t="str">
        <f t="shared" si="64"/>
        <v/>
      </c>
      <c r="G626" s="37" t="str">
        <f>IF('DDF Original'!B626="","",IF(TRIM('DDF Original'!P626)="",0,'DDF Original'!P626))</f>
        <v/>
      </c>
      <c r="H626" s="20" t="str">
        <f t="shared" si="65"/>
        <v/>
      </c>
      <c r="I626" s="25" t="str">
        <f t="shared" si="66"/>
        <v/>
      </c>
      <c r="J626" s="20" t="str">
        <f t="shared" si="67"/>
        <v/>
      </c>
      <c r="K626" s="20" t="str">
        <f t="shared" si="68"/>
        <v/>
      </c>
      <c r="L626" s="20" t="str">
        <f>IF(B626="","",70*'DDF Original'!$Q$4)</f>
        <v/>
      </c>
      <c r="M626" s="20" t="str">
        <f t="shared" si="69"/>
        <v/>
      </c>
      <c r="N626" s="20" t="str">
        <f>IF(AND(OR(B626="",J626&gt;G626,M626&gt;G626),'DDF Original'!L626&lt;&gt; "MI"),G626,IF(M626&gt;J626,M626,J626))</f>
        <v/>
      </c>
    </row>
    <row r="627" spans="2:14" x14ac:dyDescent="0.2">
      <c r="B627" s="19" t="str">
        <f>IF('DDF Original'!B627="","",'DDF Original'!B627)</f>
        <v/>
      </c>
      <c r="C627" s="19" t="e">
        <f t="shared" si="63"/>
        <v>#VALUE!</v>
      </c>
      <c r="D627" s="20" t="str">
        <f>IF('DDF Original'!C627="","",'DDF Original'!C627)</f>
        <v/>
      </c>
      <c r="E627" s="24" t="str">
        <f>IF('DDF Original'!B627="","",IF(TRIM('DDF Original'!I627)="",0,'DDF Original'!I627))</f>
        <v/>
      </c>
      <c r="F627" s="20" t="str">
        <f t="shared" si="64"/>
        <v/>
      </c>
      <c r="G627" s="37" t="str">
        <f>IF('DDF Original'!B627="","",IF(TRIM('DDF Original'!P627)="",0,'DDF Original'!P627))</f>
        <v/>
      </c>
      <c r="H627" s="20" t="str">
        <f t="shared" si="65"/>
        <v/>
      </c>
      <c r="I627" s="25" t="str">
        <f t="shared" si="66"/>
        <v/>
      </c>
      <c r="J627" s="20" t="str">
        <f t="shared" si="67"/>
        <v/>
      </c>
      <c r="K627" s="20" t="str">
        <f t="shared" si="68"/>
        <v/>
      </c>
      <c r="L627" s="20" t="str">
        <f>IF(B627="","",70*'DDF Original'!$Q$4)</f>
        <v/>
      </c>
      <c r="M627" s="20" t="str">
        <f t="shared" si="69"/>
        <v/>
      </c>
      <c r="N627" s="20" t="str">
        <f>IF(AND(OR(B627="",J627&gt;G627,M627&gt;G627),'DDF Original'!L627&lt;&gt; "MI"),G627,IF(M627&gt;J627,M627,J627))</f>
        <v/>
      </c>
    </row>
    <row r="628" spans="2:14" x14ac:dyDescent="0.2">
      <c r="B628" s="19" t="str">
        <f>IF('DDF Original'!B628="","",'DDF Original'!B628)</f>
        <v/>
      </c>
      <c r="C628" s="19" t="e">
        <f t="shared" si="63"/>
        <v>#VALUE!</v>
      </c>
      <c r="D628" s="20" t="str">
        <f>IF('DDF Original'!C628="","",'DDF Original'!C628)</f>
        <v/>
      </c>
      <c r="E628" s="24" t="str">
        <f>IF('DDF Original'!B628="","",IF(TRIM('DDF Original'!I628)="",0,'DDF Original'!I628))</f>
        <v/>
      </c>
      <c r="F628" s="20" t="str">
        <f t="shared" si="64"/>
        <v/>
      </c>
      <c r="G628" s="37" t="str">
        <f>IF('DDF Original'!B628="","",IF(TRIM('DDF Original'!P628)="",0,'DDF Original'!P628))</f>
        <v/>
      </c>
      <c r="H628" s="20" t="str">
        <f t="shared" si="65"/>
        <v/>
      </c>
      <c r="I628" s="25" t="str">
        <f t="shared" si="66"/>
        <v/>
      </c>
      <c r="J628" s="20" t="str">
        <f t="shared" si="67"/>
        <v/>
      </c>
      <c r="K628" s="20" t="str">
        <f t="shared" si="68"/>
        <v/>
      </c>
      <c r="L628" s="20" t="str">
        <f>IF(B628="","",70*'DDF Original'!$Q$4)</f>
        <v/>
      </c>
      <c r="M628" s="20" t="str">
        <f t="shared" si="69"/>
        <v/>
      </c>
      <c r="N628" s="20" t="str">
        <f>IF(AND(OR(B628="",J628&gt;G628,M628&gt;G628),'DDF Original'!L628&lt;&gt; "MI"),G628,IF(M628&gt;J628,M628,J628))</f>
        <v/>
      </c>
    </row>
    <row r="629" spans="2:14" x14ac:dyDescent="0.2">
      <c r="B629" s="19" t="str">
        <f>IF('DDF Original'!B629="","",'DDF Original'!B629)</f>
        <v/>
      </c>
      <c r="C629" s="19" t="e">
        <f t="shared" si="63"/>
        <v>#VALUE!</v>
      </c>
      <c r="D629" s="20" t="str">
        <f>IF('DDF Original'!C629="","",'DDF Original'!C629)</f>
        <v/>
      </c>
      <c r="E629" s="24" t="str">
        <f>IF('DDF Original'!B629="","",IF(TRIM('DDF Original'!I629)="",0,'DDF Original'!I629))</f>
        <v/>
      </c>
      <c r="F629" s="20" t="str">
        <f t="shared" si="64"/>
        <v/>
      </c>
      <c r="G629" s="37" t="str">
        <f>IF('DDF Original'!B629="","",IF(TRIM('DDF Original'!P629)="",0,'DDF Original'!P629))</f>
        <v/>
      </c>
      <c r="H629" s="20" t="str">
        <f t="shared" si="65"/>
        <v/>
      </c>
      <c r="I629" s="25" t="str">
        <f t="shared" si="66"/>
        <v/>
      </c>
      <c r="J629" s="20" t="str">
        <f t="shared" si="67"/>
        <v/>
      </c>
      <c r="K629" s="20" t="str">
        <f t="shared" si="68"/>
        <v/>
      </c>
      <c r="L629" s="20" t="str">
        <f>IF(B629="","",70*'DDF Original'!$Q$4)</f>
        <v/>
      </c>
      <c r="M629" s="20" t="str">
        <f t="shared" si="69"/>
        <v/>
      </c>
      <c r="N629" s="20" t="str">
        <f>IF(AND(OR(B629="",J629&gt;G629,M629&gt;G629),'DDF Original'!L629&lt;&gt; "MI"),G629,IF(M629&gt;J629,M629,J629))</f>
        <v/>
      </c>
    </row>
    <row r="630" spans="2:14" x14ac:dyDescent="0.2">
      <c r="B630" s="19" t="str">
        <f>IF('DDF Original'!B630="","",'DDF Original'!B630)</f>
        <v/>
      </c>
      <c r="C630" s="19" t="e">
        <f t="shared" si="63"/>
        <v>#VALUE!</v>
      </c>
      <c r="D630" s="20" t="str">
        <f>IF('DDF Original'!C630="","",'DDF Original'!C630)</f>
        <v/>
      </c>
      <c r="E630" s="24" t="str">
        <f>IF('DDF Original'!B630="","",IF(TRIM('DDF Original'!I630)="",0,'DDF Original'!I630))</f>
        <v/>
      </c>
      <c r="F630" s="20" t="str">
        <f t="shared" si="64"/>
        <v/>
      </c>
      <c r="G630" s="37" t="str">
        <f>IF('DDF Original'!B630="","",IF(TRIM('DDF Original'!P630)="",0,'DDF Original'!P630))</f>
        <v/>
      </c>
      <c r="H630" s="20" t="str">
        <f t="shared" si="65"/>
        <v/>
      </c>
      <c r="I630" s="25" t="str">
        <f t="shared" si="66"/>
        <v/>
      </c>
      <c r="J630" s="20" t="str">
        <f t="shared" si="67"/>
        <v/>
      </c>
      <c r="K630" s="20" t="str">
        <f t="shared" si="68"/>
        <v/>
      </c>
      <c r="L630" s="20" t="str">
        <f>IF(B630="","",70*'DDF Original'!$Q$4)</f>
        <v/>
      </c>
      <c r="M630" s="20" t="str">
        <f t="shared" si="69"/>
        <v/>
      </c>
      <c r="N630" s="20" t="str">
        <f>IF(AND(OR(B630="",J630&gt;G630,M630&gt;G630),'DDF Original'!L630&lt;&gt; "MI"),G630,IF(M630&gt;J630,M630,J630))</f>
        <v/>
      </c>
    </row>
    <row r="631" spans="2:14" x14ac:dyDescent="0.2">
      <c r="B631" s="19" t="str">
        <f>IF('DDF Original'!B631="","",'DDF Original'!B631)</f>
        <v/>
      </c>
      <c r="C631" s="19" t="e">
        <f t="shared" si="63"/>
        <v>#VALUE!</v>
      </c>
      <c r="D631" s="20" t="str">
        <f>IF('DDF Original'!C631="","",'DDF Original'!C631)</f>
        <v/>
      </c>
      <c r="E631" s="24" t="str">
        <f>IF('DDF Original'!B631="","",IF(TRIM('DDF Original'!I631)="",0,'DDF Original'!I631))</f>
        <v/>
      </c>
      <c r="F631" s="20" t="str">
        <f t="shared" si="64"/>
        <v/>
      </c>
      <c r="G631" s="37" t="str">
        <f>IF('DDF Original'!B631="","",IF(TRIM('DDF Original'!P631)="",0,'DDF Original'!P631))</f>
        <v/>
      </c>
      <c r="H631" s="20" t="str">
        <f t="shared" si="65"/>
        <v/>
      </c>
      <c r="I631" s="25" t="str">
        <f t="shared" si="66"/>
        <v/>
      </c>
      <c r="J631" s="20" t="str">
        <f t="shared" si="67"/>
        <v/>
      </c>
      <c r="K631" s="20" t="str">
        <f t="shared" si="68"/>
        <v/>
      </c>
      <c r="L631" s="20" t="str">
        <f>IF(B631="","",70*'DDF Original'!$Q$4)</f>
        <v/>
      </c>
      <c r="M631" s="20" t="str">
        <f t="shared" si="69"/>
        <v/>
      </c>
      <c r="N631" s="20" t="str">
        <f>IF(AND(OR(B631="",J631&gt;G631,M631&gt;G631),'DDF Original'!L631&lt;&gt; "MI"),G631,IF(M631&gt;J631,M631,J631))</f>
        <v/>
      </c>
    </row>
    <row r="632" spans="2:14" x14ac:dyDescent="0.2">
      <c r="B632" s="19" t="str">
        <f>IF('DDF Original'!B632="","",'DDF Original'!B632)</f>
        <v/>
      </c>
      <c r="C632" s="19" t="e">
        <f t="shared" si="63"/>
        <v>#VALUE!</v>
      </c>
      <c r="D632" s="20" t="str">
        <f>IF('DDF Original'!C632="","",'DDF Original'!C632)</f>
        <v/>
      </c>
      <c r="E632" s="24" t="str">
        <f>IF('DDF Original'!B632="","",IF(TRIM('DDF Original'!I632)="",0,'DDF Original'!I632))</f>
        <v/>
      </c>
      <c r="F632" s="20" t="str">
        <f t="shared" si="64"/>
        <v/>
      </c>
      <c r="G632" s="37" t="str">
        <f>IF('DDF Original'!B632="","",IF(TRIM('DDF Original'!P632)="",0,'DDF Original'!P632))</f>
        <v/>
      </c>
      <c r="H632" s="20" t="str">
        <f t="shared" si="65"/>
        <v/>
      </c>
      <c r="I632" s="25" t="str">
        <f t="shared" si="66"/>
        <v/>
      </c>
      <c r="J632" s="20" t="str">
        <f t="shared" si="67"/>
        <v/>
      </c>
      <c r="K632" s="20" t="str">
        <f t="shared" si="68"/>
        <v/>
      </c>
      <c r="L632" s="20" t="str">
        <f>IF(B632="","",70*'DDF Original'!$Q$4)</f>
        <v/>
      </c>
      <c r="M632" s="20" t="str">
        <f t="shared" si="69"/>
        <v/>
      </c>
      <c r="N632" s="20" t="str">
        <f>IF(AND(OR(B632="",J632&gt;G632,M632&gt;G632),'DDF Original'!L632&lt;&gt; "MI"),G632,IF(M632&gt;J632,M632,J632))</f>
        <v/>
      </c>
    </row>
    <row r="633" spans="2:14" x14ac:dyDescent="0.2">
      <c r="B633" s="19" t="str">
        <f>IF('DDF Original'!B633="","",'DDF Original'!B633)</f>
        <v/>
      </c>
      <c r="C633" s="19" t="e">
        <f t="shared" si="63"/>
        <v>#VALUE!</v>
      </c>
      <c r="D633" s="20" t="str">
        <f>IF('DDF Original'!C633="","",'DDF Original'!C633)</f>
        <v/>
      </c>
      <c r="E633" s="24" t="str">
        <f>IF('DDF Original'!B633="","",IF(TRIM('DDF Original'!I633)="",0,'DDF Original'!I633))</f>
        <v/>
      </c>
      <c r="F633" s="20" t="str">
        <f t="shared" si="64"/>
        <v/>
      </c>
      <c r="G633" s="37" t="str">
        <f>IF('DDF Original'!B633="","",IF(TRIM('DDF Original'!P633)="",0,'DDF Original'!P633))</f>
        <v/>
      </c>
      <c r="H633" s="20" t="str">
        <f t="shared" si="65"/>
        <v/>
      </c>
      <c r="I633" s="25" t="str">
        <f t="shared" si="66"/>
        <v/>
      </c>
      <c r="J633" s="20" t="str">
        <f t="shared" si="67"/>
        <v/>
      </c>
      <c r="K633" s="20" t="str">
        <f t="shared" si="68"/>
        <v/>
      </c>
      <c r="L633" s="20" t="str">
        <f>IF(B633="","",70*'DDF Original'!$Q$4)</f>
        <v/>
      </c>
      <c r="M633" s="20" t="str">
        <f t="shared" si="69"/>
        <v/>
      </c>
      <c r="N633" s="20" t="str">
        <f>IF(AND(OR(B633="",J633&gt;G633,M633&gt;G633),'DDF Original'!L633&lt;&gt; "MI"),G633,IF(M633&gt;J633,M633,J633))</f>
        <v/>
      </c>
    </row>
    <row r="634" spans="2:14" x14ac:dyDescent="0.2">
      <c r="B634" s="19" t="str">
        <f>IF('DDF Original'!B634="","",'DDF Original'!B634)</f>
        <v/>
      </c>
      <c r="C634" s="19" t="e">
        <f t="shared" si="63"/>
        <v>#VALUE!</v>
      </c>
      <c r="D634" s="20" t="str">
        <f>IF('DDF Original'!C634="","",'DDF Original'!C634)</f>
        <v/>
      </c>
      <c r="E634" s="24" t="str">
        <f>IF('DDF Original'!B634="","",IF(TRIM('DDF Original'!I634)="",0,'DDF Original'!I634))</f>
        <v/>
      </c>
      <c r="F634" s="20" t="str">
        <f t="shared" si="64"/>
        <v/>
      </c>
      <c r="G634" s="37" t="str">
        <f>IF('DDF Original'!B634="","",IF(TRIM('DDF Original'!P634)="",0,'DDF Original'!P634))</f>
        <v/>
      </c>
      <c r="H634" s="20" t="str">
        <f t="shared" si="65"/>
        <v/>
      </c>
      <c r="I634" s="25" t="str">
        <f t="shared" si="66"/>
        <v/>
      </c>
      <c r="J634" s="20" t="str">
        <f t="shared" si="67"/>
        <v/>
      </c>
      <c r="K634" s="20" t="str">
        <f t="shared" si="68"/>
        <v/>
      </c>
      <c r="L634" s="20" t="str">
        <f>IF(B634="","",70*'DDF Original'!$Q$4)</f>
        <v/>
      </c>
      <c r="M634" s="20" t="str">
        <f t="shared" si="69"/>
        <v/>
      </c>
      <c r="N634" s="20" t="str">
        <f>IF(AND(OR(B634="",J634&gt;G634,M634&gt;G634),'DDF Original'!L634&lt;&gt; "MI"),G634,IF(M634&gt;J634,M634,J634))</f>
        <v/>
      </c>
    </row>
    <row r="635" spans="2:14" x14ac:dyDescent="0.2">
      <c r="B635" s="19" t="str">
        <f>IF('DDF Original'!B635="","",'DDF Original'!B635)</f>
        <v/>
      </c>
      <c r="C635" s="19" t="e">
        <f t="shared" si="63"/>
        <v>#VALUE!</v>
      </c>
      <c r="D635" s="20" t="str">
        <f>IF('DDF Original'!C635="","",'DDF Original'!C635)</f>
        <v/>
      </c>
      <c r="E635" s="24" t="str">
        <f>IF('DDF Original'!B635="","",IF(TRIM('DDF Original'!I635)="",0,'DDF Original'!I635))</f>
        <v/>
      </c>
      <c r="F635" s="20" t="str">
        <f t="shared" si="64"/>
        <v/>
      </c>
      <c r="G635" s="37" t="str">
        <f>IF('DDF Original'!B635="","",IF(TRIM('DDF Original'!P635)="",0,'DDF Original'!P635))</f>
        <v/>
      </c>
      <c r="H635" s="20" t="str">
        <f t="shared" si="65"/>
        <v/>
      </c>
      <c r="I635" s="25" t="str">
        <f t="shared" si="66"/>
        <v/>
      </c>
      <c r="J635" s="20" t="str">
        <f t="shared" si="67"/>
        <v/>
      </c>
      <c r="K635" s="20" t="str">
        <f t="shared" si="68"/>
        <v/>
      </c>
      <c r="L635" s="20" t="str">
        <f>IF(B635="","",70*'DDF Original'!$Q$4)</f>
        <v/>
      </c>
      <c r="M635" s="20" t="str">
        <f t="shared" si="69"/>
        <v/>
      </c>
      <c r="N635" s="20" t="str">
        <f>IF(AND(OR(B635="",J635&gt;G635,M635&gt;G635),'DDF Original'!L635&lt;&gt; "MI"),G635,IF(M635&gt;J635,M635,J635))</f>
        <v/>
      </c>
    </row>
    <row r="636" spans="2:14" x14ac:dyDescent="0.2">
      <c r="B636" s="19" t="str">
        <f>IF('DDF Original'!B636="","",'DDF Original'!B636)</f>
        <v/>
      </c>
      <c r="C636" s="19" t="e">
        <f t="shared" si="63"/>
        <v>#VALUE!</v>
      </c>
      <c r="D636" s="20" t="str">
        <f>IF('DDF Original'!C636="","",'DDF Original'!C636)</f>
        <v/>
      </c>
      <c r="E636" s="24" t="str">
        <f>IF('DDF Original'!B636="","",IF(TRIM('DDF Original'!I636)="",0,'DDF Original'!I636))</f>
        <v/>
      </c>
      <c r="F636" s="20" t="str">
        <f t="shared" si="64"/>
        <v/>
      </c>
      <c r="G636" s="37" t="str">
        <f>IF('DDF Original'!B636="","",IF(TRIM('DDF Original'!P636)="",0,'DDF Original'!P636))</f>
        <v/>
      </c>
      <c r="H636" s="20" t="str">
        <f t="shared" si="65"/>
        <v/>
      </c>
      <c r="I636" s="25" t="str">
        <f t="shared" si="66"/>
        <v/>
      </c>
      <c r="J636" s="20" t="str">
        <f t="shared" si="67"/>
        <v/>
      </c>
      <c r="K636" s="20" t="str">
        <f t="shared" si="68"/>
        <v/>
      </c>
      <c r="L636" s="20" t="str">
        <f>IF(B636="","",70*'DDF Original'!$Q$4)</f>
        <v/>
      </c>
      <c r="M636" s="20" t="str">
        <f t="shared" si="69"/>
        <v/>
      </c>
      <c r="N636" s="20" t="str">
        <f>IF(AND(OR(B636="",J636&gt;G636,M636&gt;G636),'DDF Original'!L636&lt;&gt; "MI"),G636,IF(M636&gt;J636,M636,J636))</f>
        <v/>
      </c>
    </row>
    <row r="637" spans="2:14" x14ac:dyDescent="0.2">
      <c r="B637" s="19" t="str">
        <f>IF('DDF Original'!B637="","",'DDF Original'!B637)</f>
        <v/>
      </c>
      <c r="C637" s="19" t="e">
        <f t="shared" ref="C637:C700" si="70">LEFT(B637,FIND(".",B637)-1)</f>
        <v>#VALUE!</v>
      </c>
      <c r="D637" s="20" t="str">
        <f>IF('DDF Original'!C637="","",'DDF Original'!C637)</f>
        <v/>
      </c>
      <c r="E637" s="24" t="str">
        <f>IF('DDF Original'!B637="","",IF(TRIM('DDF Original'!I637)="",0,'DDF Original'!I637))</f>
        <v/>
      </c>
      <c r="F637" s="20" t="str">
        <f t="shared" ref="F637:F700" si="71">IF(D637="",D637,ROUND(D637*(1+E637/100),2))</f>
        <v/>
      </c>
      <c r="G637" s="37" t="str">
        <f>IF('DDF Original'!B637="","",IF(TRIM('DDF Original'!P637)="",0,'DDF Original'!P637))</f>
        <v/>
      </c>
      <c r="H637" s="20" t="str">
        <f t="shared" ref="H637:H700" si="72">IF(OR(D637=0,D637=""),G637,F637)</f>
        <v/>
      </c>
      <c r="I637" s="25" t="str">
        <f t="shared" ref="I637:I700" si="73">IF(B637="","",IF(OR(D637=0,D637=""),50,35))</f>
        <v/>
      </c>
      <c r="J637" s="20" t="str">
        <f t="shared" ref="J637:J700" si="74">IF(B637="","",ROUND(H637*I637/100,2))</f>
        <v/>
      </c>
      <c r="K637" s="20" t="str">
        <f t="shared" ref="K637:K700" si="75">IF(B637="","",SUMIFS($J$9:$J$508,$C$9:$C$508,"="&amp;C637))</f>
        <v/>
      </c>
      <c r="L637" s="20" t="str">
        <f>IF(B637="","",70*'DDF Original'!$Q$4)</f>
        <v/>
      </c>
      <c r="M637" s="20" t="str">
        <f t="shared" ref="M637:M700" si="76">IF(B637="","",ROUND(J637/K637*L637,2))</f>
        <v/>
      </c>
      <c r="N637" s="20" t="str">
        <f>IF(AND(OR(B637="",J637&gt;G637,M637&gt;G637),'DDF Original'!L637&lt;&gt; "MI"),G637,IF(M637&gt;J637,M637,J637))</f>
        <v/>
      </c>
    </row>
    <row r="638" spans="2:14" x14ac:dyDescent="0.2">
      <c r="B638" s="19" t="str">
        <f>IF('DDF Original'!B638="","",'DDF Original'!B638)</f>
        <v/>
      </c>
      <c r="C638" s="19" t="e">
        <f t="shared" si="70"/>
        <v>#VALUE!</v>
      </c>
      <c r="D638" s="20" t="str">
        <f>IF('DDF Original'!C638="","",'DDF Original'!C638)</f>
        <v/>
      </c>
      <c r="E638" s="24" t="str">
        <f>IF('DDF Original'!B638="","",IF(TRIM('DDF Original'!I638)="",0,'DDF Original'!I638))</f>
        <v/>
      </c>
      <c r="F638" s="20" t="str">
        <f t="shared" si="71"/>
        <v/>
      </c>
      <c r="G638" s="37" t="str">
        <f>IF('DDF Original'!B638="","",IF(TRIM('DDF Original'!P638)="",0,'DDF Original'!P638))</f>
        <v/>
      </c>
      <c r="H638" s="20" t="str">
        <f t="shared" si="72"/>
        <v/>
      </c>
      <c r="I638" s="25" t="str">
        <f t="shared" si="73"/>
        <v/>
      </c>
      <c r="J638" s="20" t="str">
        <f t="shared" si="74"/>
        <v/>
      </c>
      <c r="K638" s="20" t="str">
        <f t="shared" si="75"/>
        <v/>
      </c>
      <c r="L638" s="20" t="str">
        <f>IF(B638="","",70*'DDF Original'!$Q$4)</f>
        <v/>
      </c>
      <c r="M638" s="20" t="str">
        <f t="shared" si="76"/>
        <v/>
      </c>
      <c r="N638" s="20" t="str">
        <f>IF(AND(OR(B638="",J638&gt;G638,M638&gt;G638),'DDF Original'!L638&lt;&gt; "MI"),G638,IF(M638&gt;J638,M638,J638))</f>
        <v/>
      </c>
    </row>
    <row r="639" spans="2:14" x14ac:dyDescent="0.2">
      <c r="B639" s="19" t="str">
        <f>IF('DDF Original'!B639="","",'DDF Original'!B639)</f>
        <v/>
      </c>
      <c r="C639" s="19" t="e">
        <f t="shared" si="70"/>
        <v>#VALUE!</v>
      </c>
      <c r="D639" s="20" t="str">
        <f>IF('DDF Original'!C639="","",'DDF Original'!C639)</f>
        <v/>
      </c>
      <c r="E639" s="24" t="str">
        <f>IF('DDF Original'!B639="","",IF(TRIM('DDF Original'!I639)="",0,'DDF Original'!I639))</f>
        <v/>
      </c>
      <c r="F639" s="20" t="str">
        <f t="shared" si="71"/>
        <v/>
      </c>
      <c r="G639" s="37" t="str">
        <f>IF('DDF Original'!B639="","",IF(TRIM('DDF Original'!P639)="",0,'DDF Original'!P639))</f>
        <v/>
      </c>
      <c r="H639" s="20" t="str">
        <f t="shared" si="72"/>
        <v/>
      </c>
      <c r="I639" s="25" t="str">
        <f t="shared" si="73"/>
        <v/>
      </c>
      <c r="J639" s="20" t="str">
        <f t="shared" si="74"/>
        <v/>
      </c>
      <c r="K639" s="20" t="str">
        <f t="shared" si="75"/>
        <v/>
      </c>
      <c r="L639" s="20" t="str">
        <f>IF(B639="","",70*'DDF Original'!$Q$4)</f>
        <v/>
      </c>
      <c r="M639" s="20" t="str">
        <f t="shared" si="76"/>
        <v/>
      </c>
      <c r="N639" s="20" t="str">
        <f>IF(AND(OR(B639="",J639&gt;G639,M639&gt;G639),'DDF Original'!L639&lt;&gt; "MI"),G639,IF(M639&gt;J639,M639,J639))</f>
        <v/>
      </c>
    </row>
    <row r="640" spans="2:14" x14ac:dyDescent="0.2">
      <c r="B640" s="19" t="str">
        <f>IF('DDF Original'!B640="","",'DDF Original'!B640)</f>
        <v/>
      </c>
      <c r="C640" s="19" t="e">
        <f t="shared" si="70"/>
        <v>#VALUE!</v>
      </c>
      <c r="D640" s="20" t="str">
        <f>IF('DDF Original'!C640="","",'DDF Original'!C640)</f>
        <v/>
      </c>
      <c r="E640" s="24" t="str">
        <f>IF('DDF Original'!B640="","",IF(TRIM('DDF Original'!I640)="",0,'DDF Original'!I640))</f>
        <v/>
      </c>
      <c r="F640" s="20" t="str">
        <f t="shared" si="71"/>
        <v/>
      </c>
      <c r="G640" s="37" t="str">
        <f>IF('DDF Original'!B640="","",IF(TRIM('DDF Original'!P640)="",0,'DDF Original'!P640))</f>
        <v/>
      </c>
      <c r="H640" s="20" t="str">
        <f t="shared" si="72"/>
        <v/>
      </c>
      <c r="I640" s="25" t="str">
        <f t="shared" si="73"/>
        <v/>
      </c>
      <c r="J640" s="20" t="str">
        <f t="shared" si="74"/>
        <v/>
      </c>
      <c r="K640" s="20" t="str">
        <f t="shared" si="75"/>
        <v/>
      </c>
      <c r="L640" s="20" t="str">
        <f>IF(B640="","",70*'DDF Original'!$Q$4)</f>
        <v/>
      </c>
      <c r="M640" s="20" t="str">
        <f t="shared" si="76"/>
        <v/>
      </c>
      <c r="N640" s="20" t="str">
        <f>IF(AND(OR(B640="",J640&gt;G640,M640&gt;G640),'DDF Original'!L640&lt;&gt; "MI"),G640,IF(M640&gt;J640,M640,J640))</f>
        <v/>
      </c>
    </row>
    <row r="641" spans="2:14" x14ac:dyDescent="0.2">
      <c r="B641" s="19" t="str">
        <f>IF('DDF Original'!B641="","",'DDF Original'!B641)</f>
        <v/>
      </c>
      <c r="C641" s="19" t="e">
        <f t="shared" si="70"/>
        <v>#VALUE!</v>
      </c>
      <c r="D641" s="20" t="str">
        <f>IF('DDF Original'!C641="","",'DDF Original'!C641)</f>
        <v/>
      </c>
      <c r="E641" s="24" t="str">
        <f>IF('DDF Original'!B641="","",IF(TRIM('DDF Original'!I641)="",0,'DDF Original'!I641))</f>
        <v/>
      </c>
      <c r="F641" s="20" t="str">
        <f t="shared" si="71"/>
        <v/>
      </c>
      <c r="G641" s="37" t="str">
        <f>IF('DDF Original'!B641="","",IF(TRIM('DDF Original'!P641)="",0,'DDF Original'!P641))</f>
        <v/>
      </c>
      <c r="H641" s="20" t="str">
        <f t="shared" si="72"/>
        <v/>
      </c>
      <c r="I641" s="25" t="str">
        <f t="shared" si="73"/>
        <v/>
      </c>
      <c r="J641" s="20" t="str">
        <f t="shared" si="74"/>
        <v/>
      </c>
      <c r="K641" s="20" t="str">
        <f t="shared" si="75"/>
        <v/>
      </c>
      <c r="L641" s="20" t="str">
        <f>IF(B641="","",70*'DDF Original'!$Q$4)</f>
        <v/>
      </c>
      <c r="M641" s="20" t="str">
        <f t="shared" si="76"/>
        <v/>
      </c>
      <c r="N641" s="20" t="str">
        <f>IF(AND(OR(B641="",J641&gt;G641,M641&gt;G641),'DDF Original'!L641&lt;&gt; "MI"),G641,IF(M641&gt;J641,M641,J641))</f>
        <v/>
      </c>
    </row>
    <row r="642" spans="2:14" x14ac:dyDescent="0.2">
      <c r="B642" s="19" t="str">
        <f>IF('DDF Original'!B642="","",'DDF Original'!B642)</f>
        <v/>
      </c>
      <c r="C642" s="19" t="e">
        <f t="shared" si="70"/>
        <v>#VALUE!</v>
      </c>
      <c r="D642" s="20" t="str">
        <f>IF('DDF Original'!C642="","",'DDF Original'!C642)</f>
        <v/>
      </c>
      <c r="E642" s="24" t="str">
        <f>IF('DDF Original'!B642="","",IF(TRIM('DDF Original'!I642)="",0,'DDF Original'!I642))</f>
        <v/>
      </c>
      <c r="F642" s="20" t="str">
        <f t="shared" si="71"/>
        <v/>
      </c>
      <c r="G642" s="37" t="str">
        <f>IF('DDF Original'!B642="","",IF(TRIM('DDF Original'!P642)="",0,'DDF Original'!P642))</f>
        <v/>
      </c>
      <c r="H642" s="20" t="str">
        <f t="shared" si="72"/>
        <v/>
      </c>
      <c r="I642" s="25" t="str">
        <f t="shared" si="73"/>
        <v/>
      </c>
      <c r="J642" s="20" t="str">
        <f t="shared" si="74"/>
        <v/>
      </c>
      <c r="K642" s="20" t="str">
        <f t="shared" si="75"/>
        <v/>
      </c>
      <c r="L642" s="20" t="str">
        <f>IF(B642="","",70*'DDF Original'!$Q$4)</f>
        <v/>
      </c>
      <c r="M642" s="20" t="str">
        <f t="shared" si="76"/>
        <v/>
      </c>
      <c r="N642" s="20" t="str">
        <f>IF(AND(OR(B642="",J642&gt;G642,M642&gt;G642),'DDF Original'!L642&lt;&gt; "MI"),G642,IF(M642&gt;J642,M642,J642))</f>
        <v/>
      </c>
    </row>
    <row r="643" spans="2:14" x14ac:dyDescent="0.2">
      <c r="B643" s="19" t="str">
        <f>IF('DDF Original'!B643="","",'DDF Original'!B643)</f>
        <v/>
      </c>
      <c r="C643" s="19" t="e">
        <f t="shared" si="70"/>
        <v>#VALUE!</v>
      </c>
      <c r="D643" s="20" t="str">
        <f>IF('DDF Original'!C643="","",'DDF Original'!C643)</f>
        <v/>
      </c>
      <c r="E643" s="24" t="str">
        <f>IF('DDF Original'!B643="","",IF(TRIM('DDF Original'!I643)="",0,'DDF Original'!I643))</f>
        <v/>
      </c>
      <c r="F643" s="20" t="str">
        <f t="shared" si="71"/>
        <v/>
      </c>
      <c r="G643" s="37" t="str">
        <f>IF('DDF Original'!B643="","",IF(TRIM('DDF Original'!P643)="",0,'DDF Original'!P643))</f>
        <v/>
      </c>
      <c r="H643" s="20" t="str">
        <f t="shared" si="72"/>
        <v/>
      </c>
      <c r="I643" s="25" t="str">
        <f t="shared" si="73"/>
        <v/>
      </c>
      <c r="J643" s="20" t="str">
        <f t="shared" si="74"/>
        <v/>
      </c>
      <c r="K643" s="20" t="str">
        <f t="shared" si="75"/>
        <v/>
      </c>
      <c r="L643" s="20" t="str">
        <f>IF(B643="","",70*'DDF Original'!$Q$4)</f>
        <v/>
      </c>
      <c r="M643" s="20" t="str">
        <f t="shared" si="76"/>
        <v/>
      </c>
      <c r="N643" s="20" t="str">
        <f>IF(AND(OR(B643="",J643&gt;G643,M643&gt;G643),'DDF Original'!L643&lt;&gt; "MI"),G643,IF(M643&gt;J643,M643,J643))</f>
        <v/>
      </c>
    </row>
    <row r="644" spans="2:14" x14ac:dyDescent="0.2">
      <c r="B644" s="19" t="str">
        <f>IF('DDF Original'!B644="","",'DDF Original'!B644)</f>
        <v/>
      </c>
      <c r="C644" s="19" t="e">
        <f t="shared" si="70"/>
        <v>#VALUE!</v>
      </c>
      <c r="D644" s="20" t="str">
        <f>IF('DDF Original'!C644="","",'DDF Original'!C644)</f>
        <v/>
      </c>
      <c r="E644" s="24" t="str">
        <f>IF('DDF Original'!B644="","",IF(TRIM('DDF Original'!I644)="",0,'DDF Original'!I644))</f>
        <v/>
      </c>
      <c r="F644" s="20" t="str">
        <f t="shared" si="71"/>
        <v/>
      </c>
      <c r="G644" s="37" t="str">
        <f>IF('DDF Original'!B644="","",IF(TRIM('DDF Original'!P644)="",0,'DDF Original'!P644))</f>
        <v/>
      </c>
      <c r="H644" s="20" t="str">
        <f t="shared" si="72"/>
        <v/>
      </c>
      <c r="I644" s="25" t="str">
        <f t="shared" si="73"/>
        <v/>
      </c>
      <c r="J644" s="20" t="str">
        <f t="shared" si="74"/>
        <v/>
      </c>
      <c r="K644" s="20" t="str">
        <f t="shared" si="75"/>
        <v/>
      </c>
      <c r="L644" s="20" t="str">
        <f>IF(B644="","",70*'DDF Original'!$Q$4)</f>
        <v/>
      </c>
      <c r="M644" s="20" t="str">
        <f t="shared" si="76"/>
        <v/>
      </c>
      <c r="N644" s="20" t="str">
        <f>IF(AND(OR(B644="",J644&gt;G644,M644&gt;G644),'DDF Original'!L644&lt;&gt; "MI"),G644,IF(M644&gt;J644,M644,J644))</f>
        <v/>
      </c>
    </row>
    <row r="645" spans="2:14" x14ac:dyDescent="0.2">
      <c r="B645" s="19" t="str">
        <f>IF('DDF Original'!B645="","",'DDF Original'!B645)</f>
        <v/>
      </c>
      <c r="C645" s="19" t="e">
        <f t="shared" si="70"/>
        <v>#VALUE!</v>
      </c>
      <c r="D645" s="20" t="str">
        <f>IF('DDF Original'!C645="","",'DDF Original'!C645)</f>
        <v/>
      </c>
      <c r="E645" s="24" t="str">
        <f>IF('DDF Original'!B645="","",IF(TRIM('DDF Original'!I645)="",0,'DDF Original'!I645))</f>
        <v/>
      </c>
      <c r="F645" s="20" t="str">
        <f t="shared" si="71"/>
        <v/>
      </c>
      <c r="G645" s="37" t="str">
        <f>IF('DDF Original'!B645="","",IF(TRIM('DDF Original'!P645)="",0,'DDF Original'!P645))</f>
        <v/>
      </c>
      <c r="H645" s="20" t="str">
        <f t="shared" si="72"/>
        <v/>
      </c>
      <c r="I645" s="25" t="str">
        <f t="shared" si="73"/>
        <v/>
      </c>
      <c r="J645" s="20" t="str">
        <f t="shared" si="74"/>
        <v/>
      </c>
      <c r="K645" s="20" t="str">
        <f t="shared" si="75"/>
        <v/>
      </c>
      <c r="L645" s="20" t="str">
        <f>IF(B645="","",70*'DDF Original'!$Q$4)</f>
        <v/>
      </c>
      <c r="M645" s="20" t="str">
        <f t="shared" si="76"/>
        <v/>
      </c>
      <c r="N645" s="20" t="str">
        <f>IF(AND(OR(B645="",J645&gt;G645,M645&gt;G645),'DDF Original'!L645&lt;&gt; "MI"),G645,IF(M645&gt;J645,M645,J645))</f>
        <v/>
      </c>
    </row>
    <row r="646" spans="2:14" x14ac:dyDescent="0.2">
      <c r="B646" s="19" t="str">
        <f>IF('DDF Original'!B646="","",'DDF Original'!B646)</f>
        <v/>
      </c>
      <c r="C646" s="19" t="e">
        <f t="shared" si="70"/>
        <v>#VALUE!</v>
      </c>
      <c r="D646" s="20" t="str">
        <f>IF('DDF Original'!C646="","",'DDF Original'!C646)</f>
        <v/>
      </c>
      <c r="E646" s="24" t="str">
        <f>IF('DDF Original'!B646="","",IF(TRIM('DDF Original'!I646)="",0,'DDF Original'!I646))</f>
        <v/>
      </c>
      <c r="F646" s="20" t="str">
        <f t="shared" si="71"/>
        <v/>
      </c>
      <c r="G646" s="37" t="str">
        <f>IF('DDF Original'!B646="","",IF(TRIM('DDF Original'!P646)="",0,'DDF Original'!P646))</f>
        <v/>
      </c>
      <c r="H646" s="20" t="str">
        <f t="shared" si="72"/>
        <v/>
      </c>
      <c r="I646" s="25" t="str">
        <f t="shared" si="73"/>
        <v/>
      </c>
      <c r="J646" s="20" t="str">
        <f t="shared" si="74"/>
        <v/>
      </c>
      <c r="K646" s="20" t="str">
        <f t="shared" si="75"/>
        <v/>
      </c>
      <c r="L646" s="20" t="str">
        <f>IF(B646="","",70*'DDF Original'!$Q$4)</f>
        <v/>
      </c>
      <c r="M646" s="20" t="str">
        <f t="shared" si="76"/>
        <v/>
      </c>
      <c r="N646" s="20" t="str">
        <f>IF(AND(OR(B646="",J646&gt;G646,M646&gt;G646),'DDF Original'!L646&lt;&gt; "MI"),G646,IF(M646&gt;J646,M646,J646))</f>
        <v/>
      </c>
    </row>
    <row r="647" spans="2:14" x14ac:dyDescent="0.2">
      <c r="B647" s="19" t="str">
        <f>IF('DDF Original'!B647="","",'DDF Original'!B647)</f>
        <v/>
      </c>
      <c r="C647" s="19" t="e">
        <f t="shared" si="70"/>
        <v>#VALUE!</v>
      </c>
      <c r="D647" s="20" t="str">
        <f>IF('DDF Original'!C647="","",'DDF Original'!C647)</f>
        <v/>
      </c>
      <c r="E647" s="24" t="str">
        <f>IF('DDF Original'!B647="","",IF(TRIM('DDF Original'!I647)="",0,'DDF Original'!I647))</f>
        <v/>
      </c>
      <c r="F647" s="20" t="str">
        <f t="shared" si="71"/>
        <v/>
      </c>
      <c r="G647" s="37" t="str">
        <f>IF('DDF Original'!B647="","",IF(TRIM('DDF Original'!P647)="",0,'DDF Original'!P647))</f>
        <v/>
      </c>
      <c r="H647" s="20" t="str">
        <f t="shared" si="72"/>
        <v/>
      </c>
      <c r="I647" s="25" t="str">
        <f t="shared" si="73"/>
        <v/>
      </c>
      <c r="J647" s="20" t="str">
        <f t="shared" si="74"/>
        <v/>
      </c>
      <c r="K647" s="20" t="str">
        <f t="shared" si="75"/>
        <v/>
      </c>
      <c r="L647" s="20" t="str">
        <f>IF(B647="","",70*'DDF Original'!$Q$4)</f>
        <v/>
      </c>
      <c r="M647" s="20" t="str">
        <f t="shared" si="76"/>
        <v/>
      </c>
      <c r="N647" s="20" t="str">
        <f>IF(AND(OR(B647="",J647&gt;G647,M647&gt;G647),'DDF Original'!L647&lt;&gt; "MI"),G647,IF(M647&gt;J647,M647,J647))</f>
        <v/>
      </c>
    </row>
    <row r="648" spans="2:14" x14ac:dyDescent="0.2">
      <c r="B648" s="19" t="str">
        <f>IF('DDF Original'!B648="","",'DDF Original'!B648)</f>
        <v/>
      </c>
      <c r="C648" s="19" t="e">
        <f t="shared" si="70"/>
        <v>#VALUE!</v>
      </c>
      <c r="D648" s="20" t="str">
        <f>IF('DDF Original'!C648="","",'DDF Original'!C648)</f>
        <v/>
      </c>
      <c r="E648" s="24" t="str">
        <f>IF('DDF Original'!B648="","",IF(TRIM('DDF Original'!I648)="",0,'DDF Original'!I648))</f>
        <v/>
      </c>
      <c r="F648" s="20" t="str">
        <f t="shared" si="71"/>
        <v/>
      </c>
      <c r="G648" s="37" t="str">
        <f>IF('DDF Original'!B648="","",IF(TRIM('DDF Original'!P648)="",0,'DDF Original'!P648))</f>
        <v/>
      </c>
      <c r="H648" s="20" t="str">
        <f t="shared" si="72"/>
        <v/>
      </c>
      <c r="I648" s="25" t="str">
        <f t="shared" si="73"/>
        <v/>
      </c>
      <c r="J648" s="20" t="str">
        <f t="shared" si="74"/>
        <v/>
      </c>
      <c r="K648" s="20" t="str">
        <f t="shared" si="75"/>
        <v/>
      </c>
      <c r="L648" s="20" t="str">
        <f>IF(B648="","",70*'DDF Original'!$Q$4)</f>
        <v/>
      </c>
      <c r="M648" s="20" t="str">
        <f t="shared" si="76"/>
        <v/>
      </c>
      <c r="N648" s="20" t="str">
        <f>IF(AND(OR(B648="",J648&gt;G648,M648&gt;G648),'DDF Original'!L648&lt;&gt; "MI"),G648,IF(M648&gt;J648,M648,J648))</f>
        <v/>
      </c>
    </row>
    <row r="649" spans="2:14" x14ac:dyDescent="0.2">
      <c r="B649" s="19" t="str">
        <f>IF('DDF Original'!B649="","",'DDF Original'!B649)</f>
        <v/>
      </c>
      <c r="C649" s="19" t="e">
        <f t="shared" si="70"/>
        <v>#VALUE!</v>
      </c>
      <c r="D649" s="20" t="str">
        <f>IF('DDF Original'!C649="","",'DDF Original'!C649)</f>
        <v/>
      </c>
      <c r="E649" s="24" t="str">
        <f>IF('DDF Original'!B649="","",IF(TRIM('DDF Original'!I649)="",0,'DDF Original'!I649))</f>
        <v/>
      </c>
      <c r="F649" s="20" t="str">
        <f t="shared" si="71"/>
        <v/>
      </c>
      <c r="G649" s="37" t="str">
        <f>IF('DDF Original'!B649="","",IF(TRIM('DDF Original'!P649)="",0,'DDF Original'!P649))</f>
        <v/>
      </c>
      <c r="H649" s="20" t="str">
        <f t="shared" si="72"/>
        <v/>
      </c>
      <c r="I649" s="25" t="str">
        <f t="shared" si="73"/>
        <v/>
      </c>
      <c r="J649" s="20" t="str">
        <f t="shared" si="74"/>
        <v/>
      </c>
      <c r="K649" s="20" t="str">
        <f t="shared" si="75"/>
        <v/>
      </c>
      <c r="L649" s="20" t="str">
        <f>IF(B649="","",70*'DDF Original'!$Q$4)</f>
        <v/>
      </c>
      <c r="M649" s="20" t="str">
        <f t="shared" si="76"/>
        <v/>
      </c>
      <c r="N649" s="20" t="str">
        <f>IF(AND(OR(B649="",J649&gt;G649,M649&gt;G649),'DDF Original'!L649&lt;&gt; "MI"),G649,IF(M649&gt;J649,M649,J649))</f>
        <v/>
      </c>
    </row>
    <row r="650" spans="2:14" x14ac:dyDescent="0.2">
      <c r="B650" s="19" t="str">
        <f>IF('DDF Original'!B650="","",'DDF Original'!B650)</f>
        <v/>
      </c>
      <c r="C650" s="19" t="e">
        <f t="shared" si="70"/>
        <v>#VALUE!</v>
      </c>
      <c r="D650" s="20" t="str">
        <f>IF('DDF Original'!C650="","",'DDF Original'!C650)</f>
        <v/>
      </c>
      <c r="E650" s="24" t="str">
        <f>IF('DDF Original'!B650="","",IF(TRIM('DDF Original'!I650)="",0,'DDF Original'!I650))</f>
        <v/>
      </c>
      <c r="F650" s="20" t="str">
        <f t="shared" si="71"/>
        <v/>
      </c>
      <c r="G650" s="37" t="str">
        <f>IF('DDF Original'!B650="","",IF(TRIM('DDF Original'!P650)="",0,'DDF Original'!P650))</f>
        <v/>
      </c>
      <c r="H650" s="20" t="str">
        <f t="shared" si="72"/>
        <v/>
      </c>
      <c r="I650" s="25" t="str">
        <f t="shared" si="73"/>
        <v/>
      </c>
      <c r="J650" s="20" t="str">
        <f t="shared" si="74"/>
        <v/>
      </c>
      <c r="K650" s="20" t="str">
        <f t="shared" si="75"/>
        <v/>
      </c>
      <c r="L650" s="20" t="str">
        <f>IF(B650="","",70*'DDF Original'!$Q$4)</f>
        <v/>
      </c>
      <c r="M650" s="20" t="str">
        <f t="shared" si="76"/>
        <v/>
      </c>
      <c r="N650" s="20" t="str">
        <f>IF(AND(OR(B650="",J650&gt;G650,M650&gt;G650),'DDF Original'!L650&lt;&gt; "MI"),G650,IF(M650&gt;J650,M650,J650))</f>
        <v/>
      </c>
    </row>
    <row r="651" spans="2:14" x14ac:dyDescent="0.2">
      <c r="B651" s="19" t="str">
        <f>IF('DDF Original'!B651="","",'DDF Original'!B651)</f>
        <v/>
      </c>
      <c r="C651" s="19" t="e">
        <f t="shared" si="70"/>
        <v>#VALUE!</v>
      </c>
      <c r="D651" s="20" t="str">
        <f>IF('DDF Original'!C651="","",'DDF Original'!C651)</f>
        <v/>
      </c>
      <c r="E651" s="24" t="str">
        <f>IF('DDF Original'!B651="","",IF(TRIM('DDF Original'!I651)="",0,'DDF Original'!I651))</f>
        <v/>
      </c>
      <c r="F651" s="20" t="str">
        <f t="shared" si="71"/>
        <v/>
      </c>
      <c r="G651" s="37" t="str">
        <f>IF('DDF Original'!B651="","",IF(TRIM('DDF Original'!P651)="",0,'DDF Original'!P651))</f>
        <v/>
      </c>
      <c r="H651" s="20" t="str">
        <f t="shared" si="72"/>
        <v/>
      </c>
      <c r="I651" s="25" t="str">
        <f t="shared" si="73"/>
        <v/>
      </c>
      <c r="J651" s="20" t="str">
        <f t="shared" si="74"/>
        <v/>
      </c>
      <c r="K651" s="20" t="str">
        <f t="shared" si="75"/>
        <v/>
      </c>
      <c r="L651" s="20" t="str">
        <f>IF(B651="","",70*'DDF Original'!$Q$4)</f>
        <v/>
      </c>
      <c r="M651" s="20" t="str">
        <f t="shared" si="76"/>
        <v/>
      </c>
      <c r="N651" s="20" t="str">
        <f>IF(AND(OR(B651="",J651&gt;G651,M651&gt;G651),'DDF Original'!L651&lt;&gt; "MI"),G651,IF(M651&gt;J651,M651,J651))</f>
        <v/>
      </c>
    </row>
    <row r="652" spans="2:14" x14ac:dyDescent="0.2">
      <c r="B652" s="19" t="str">
        <f>IF('DDF Original'!B652="","",'DDF Original'!B652)</f>
        <v/>
      </c>
      <c r="C652" s="19" t="e">
        <f t="shared" si="70"/>
        <v>#VALUE!</v>
      </c>
      <c r="D652" s="20" t="str">
        <f>IF('DDF Original'!C652="","",'DDF Original'!C652)</f>
        <v/>
      </c>
      <c r="E652" s="24" t="str">
        <f>IF('DDF Original'!B652="","",IF(TRIM('DDF Original'!I652)="",0,'DDF Original'!I652))</f>
        <v/>
      </c>
      <c r="F652" s="20" t="str">
        <f t="shared" si="71"/>
        <v/>
      </c>
      <c r="G652" s="37" t="str">
        <f>IF('DDF Original'!B652="","",IF(TRIM('DDF Original'!P652)="",0,'DDF Original'!P652))</f>
        <v/>
      </c>
      <c r="H652" s="20" t="str">
        <f t="shared" si="72"/>
        <v/>
      </c>
      <c r="I652" s="25" t="str">
        <f t="shared" si="73"/>
        <v/>
      </c>
      <c r="J652" s="20" t="str">
        <f t="shared" si="74"/>
        <v/>
      </c>
      <c r="K652" s="20" t="str">
        <f t="shared" si="75"/>
        <v/>
      </c>
      <c r="L652" s="20" t="str">
        <f>IF(B652="","",70*'DDF Original'!$Q$4)</f>
        <v/>
      </c>
      <c r="M652" s="20" t="str">
        <f t="shared" si="76"/>
        <v/>
      </c>
      <c r="N652" s="20" t="str">
        <f>IF(AND(OR(B652="",J652&gt;G652,M652&gt;G652),'DDF Original'!L652&lt;&gt; "MI"),G652,IF(M652&gt;J652,M652,J652))</f>
        <v/>
      </c>
    </row>
    <row r="653" spans="2:14" x14ac:dyDescent="0.2">
      <c r="B653" s="19" t="str">
        <f>IF('DDF Original'!B653="","",'DDF Original'!B653)</f>
        <v/>
      </c>
      <c r="C653" s="19" t="e">
        <f t="shared" si="70"/>
        <v>#VALUE!</v>
      </c>
      <c r="D653" s="20" t="str">
        <f>IF('DDF Original'!C653="","",'DDF Original'!C653)</f>
        <v/>
      </c>
      <c r="E653" s="24" t="str">
        <f>IF('DDF Original'!B653="","",IF(TRIM('DDF Original'!I653)="",0,'DDF Original'!I653))</f>
        <v/>
      </c>
      <c r="F653" s="20" t="str">
        <f t="shared" si="71"/>
        <v/>
      </c>
      <c r="G653" s="37" t="str">
        <f>IF('DDF Original'!B653="","",IF(TRIM('DDF Original'!P653)="",0,'DDF Original'!P653))</f>
        <v/>
      </c>
      <c r="H653" s="20" t="str">
        <f t="shared" si="72"/>
        <v/>
      </c>
      <c r="I653" s="25" t="str">
        <f t="shared" si="73"/>
        <v/>
      </c>
      <c r="J653" s="20" t="str">
        <f t="shared" si="74"/>
        <v/>
      </c>
      <c r="K653" s="20" t="str">
        <f t="shared" si="75"/>
        <v/>
      </c>
      <c r="L653" s="20" t="str">
        <f>IF(B653="","",70*'DDF Original'!$Q$4)</f>
        <v/>
      </c>
      <c r="M653" s="20" t="str">
        <f t="shared" si="76"/>
        <v/>
      </c>
      <c r="N653" s="20" t="str">
        <f>IF(AND(OR(B653="",J653&gt;G653,M653&gt;G653),'DDF Original'!L653&lt;&gt; "MI"),G653,IF(M653&gt;J653,M653,J653))</f>
        <v/>
      </c>
    </row>
    <row r="654" spans="2:14" x14ac:dyDescent="0.2">
      <c r="B654" s="19" t="str">
        <f>IF('DDF Original'!B654="","",'DDF Original'!B654)</f>
        <v/>
      </c>
      <c r="C654" s="19" t="e">
        <f t="shared" si="70"/>
        <v>#VALUE!</v>
      </c>
      <c r="D654" s="20" t="str">
        <f>IF('DDF Original'!C654="","",'DDF Original'!C654)</f>
        <v/>
      </c>
      <c r="E654" s="24" t="str">
        <f>IF('DDF Original'!B654="","",IF(TRIM('DDF Original'!I654)="",0,'DDF Original'!I654))</f>
        <v/>
      </c>
      <c r="F654" s="20" t="str">
        <f t="shared" si="71"/>
        <v/>
      </c>
      <c r="G654" s="37" t="str">
        <f>IF('DDF Original'!B654="","",IF(TRIM('DDF Original'!P654)="",0,'DDF Original'!P654))</f>
        <v/>
      </c>
      <c r="H654" s="20" t="str">
        <f t="shared" si="72"/>
        <v/>
      </c>
      <c r="I654" s="25" t="str">
        <f t="shared" si="73"/>
        <v/>
      </c>
      <c r="J654" s="20" t="str">
        <f t="shared" si="74"/>
        <v/>
      </c>
      <c r="K654" s="20" t="str">
        <f t="shared" si="75"/>
        <v/>
      </c>
      <c r="L654" s="20" t="str">
        <f>IF(B654="","",70*'DDF Original'!$Q$4)</f>
        <v/>
      </c>
      <c r="M654" s="20" t="str">
        <f t="shared" si="76"/>
        <v/>
      </c>
      <c r="N654" s="20" t="str">
        <f>IF(AND(OR(B654="",J654&gt;G654,M654&gt;G654),'DDF Original'!L654&lt;&gt; "MI"),G654,IF(M654&gt;J654,M654,J654))</f>
        <v/>
      </c>
    </row>
    <row r="655" spans="2:14" x14ac:dyDescent="0.2">
      <c r="B655" s="19" t="str">
        <f>IF('DDF Original'!B655="","",'DDF Original'!B655)</f>
        <v/>
      </c>
      <c r="C655" s="19" t="e">
        <f t="shared" si="70"/>
        <v>#VALUE!</v>
      </c>
      <c r="D655" s="20" t="str">
        <f>IF('DDF Original'!C655="","",'DDF Original'!C655)</f>
        <v/>
      </c>
      <c r="E655" s="24" t="str">
        <f>IF('DDF Original'!B655="","",IF(TRIM('DDF Original'!I655)="",0,'DDF Original'!I655))</f>
        <v/>
      </c>
      <c r="F655" s="20" t="str">
        <f t="shared" si="71"/>
        <v/>
      </c>
      <c r="G655" s="37" t="str">
        <f>IF('DDF Original'!B655="","",IF(TRIM('DDF Original'!P655)="",0,'DDF Original'!P655))</f>
        <v/>
      </c>
      <c r="H655" s="20" t="str">
        <f t="shared" si="72"/>
        <v/>
      </c>
      <c r="I655" s="25" t="str">
        <f t="shared" si="73"/>
        <v/>
      </c>
      <c r="J655" s="20" t="str">
        <f t="shared" si="74"/>
        <v/>
      </c>
      <c r="K655" s="20" t="str">
        <f t="shared" si="75"/>
        <v/>
      </c>
      <c r="L655" s="20" t="str">
        <f>IF(B655="","",70*'DDF Original'!$Q$4)</f>
        <v/>
      </c>
      <c r="M655" s="20" t="str">
        <f t="shared" si="76"/>
        <v/>
      </c>
      <c r="N655" s="20" t="str">
        <f>IF(AND(OR(B655="",J655&gt;G655,M655&gt;G655),'DDF Original'!L655&lt;&gt; "MI"),G655,IF(M655&gt;J655,M655,J655))</f>
        <v/>
      </c>
    </row>
    <row r="656" spans="2:14" x14ac:dyDescent="0.2">
      <c r="B656" s="19" t="str">
        <f>IF('DDF Original'!B656="","",'DDF Original'!B656)</f>
        <v/>
      </c>
      <c r="C656" s="19" t="e">
        <f t="shared" si="70"/>
        <v>#VALUE!</v>
      </c>
      <c r="D656" s="20" t="str">
        <f>IF('DDF Original'!C656="","",'DDF Original'!C656)</f>
        <v/>
      </c>
      <c r="E656" s="24" t="str">
        <f>IF('DDF Original'!B656="","",IF(TRIM('DDF Original'!I656)="",0,'DDF Original'!I656))</f>
        <v/>
      </c>
      <c r="F656" s="20" t="str">
        <f t="shared" si="71"/>
        <v/>
      </c>
      <c r="G656" s="37" t="str">
        <f>IF('DDF Original'!B656="","",IF(TRIM('DDF Original'!P656)="",0,'DDF Original'!P656))</f>
        <v/>
      </c>
      <c r="H656" s="20" t="str">
        <f t="shared" si="72"/>
        <v/>
      </c>
      <c r="I656" s="25" t="str">
        <f t="shared" si="73"/>
        <v/>
      </c>
      <c r="J656" s="20" t="str">
        <f t="shared" si="74"/>
        <v/>
      </c>
      <c r="K656" s="20" t="str">
        <f t="shared" si="75"/>
        <v/>
      </c>
      <c r="L656" s="20" t="str">
        <f>IF(B656="","",70*'DDF Original'!$Q$4)</f>
        <v/>
      </c>
      <c r="M656" s="20" t="str">
        <f t="shared" si="76"/>
        <v/>
      </c>
      <c r="N656" s="20" t="str">
        <f>IF(AND(OR(B656="",J656&gt;G656,M656&gt;G656),'DDF Original'!L656&lt;&gt; "MI"),G656,IF(M656&gt;J656,M656,J656))</f>
        <v/>
      </c>
    </row>
    <row r="657" spans="2:14" x14ac:dyDescent="0.2">
      <c r="B657" s="19" t="str">
        <f>IF('DDF Original'!B657="","",'DDF Original'!B657)</f>
        <v/>
      </c>
      <c r="C657" s="19" t="e">
        <f t="shared" si="70"/>
        <v>#VALUE!</v>
      </c>
      <c r="D657" s="20" t="str">
        <f>IF('DDF Original'!C657="","",'DDF Original'!C657)</f>
        <v/>
      </c>
      <c r="E657" s="24" t="str">
        <f>IF('DDF Original'!B657="","",IF(TRIM('DDF Original'!I657)="",0,'DDF Original'!I657))</f>
        <v/>
      </c>
      <c r="F657" s="20" t="str">
        <f t="shared" si="71"/>
        <v/>
      </c>
      <c r="G657" s="37" t="str">
        <f>IF('DDF Original'!B657="","",IF(TRIM('DDF Original'!P657)="",0,'DDF Original'!P657))</f>
        <v/>
      </c>
      <c r="H657" s="20" t="str">
        <f t="shared" si="72"/>
        <v/>
      </c>
      <c r="I657" s="25" t="str">
        <f t="shared" si="73"/>
        <v/>
      </c>
      <c r="J657" s="20" t="str">
        <f t="shared" si="74"/>
        <v/>
      </c>
      <c r="K657" s="20" t="str">
        <f t="shared" si="75"/>
        <v/>
      </c>
      <c r="L657" s="20" t="str">
        <f>IF(B657="","",70*'DDF Original'!$Q$4)</f>
        <v/>
      </c>
      <c r="M657" s="20" t="str">
        <f t="shared" si="76"/>
        <v/>
      </c>
      <c r="N657" s="20" t="str">
        <f>IF(AND(OR(B657="",J657&gt;G657,M657&gt;G657),'DDF Original'!L657&lt;&gt; "MI"),G657,IF(M657&gt;J657,M657,J657))</f>
        <v/>
      </c>
    </row>
    <row r="658" spans="2:14" x14ac:dyDescent="0.2">
      <c r="B658" s="19" t="str">
        <f>IF('DDF Original'!B658="","",'DDF Original'!B658)</f>
        <v/>
      </c>
      <c r="C658" s="19" t="e">
        <f t="shared" si="70"/>
        <v>#VALUE!</v>
      </c>
      <c r="D658" s="20" t="str">
        <f>IF('DDF Original'!C658="","",'DDF Original'!C658)</f>
        <v/>
      </c>
      <c r="E658" s="24" t="str">
        <f>IF('DDF Original'!B658="","",IF(TRIM('DDF Original'!I658)="",0,'DDF Original'!I658))</f>
        <v/>
      </c>
      <c r="F658" s="20" t="str">
        <f t="shared" si="71"/>
        <v/>
      </c>
      <c r="G658" s="37" t="str">
        <f>IF('DDF Original'!B658="","",IF(TRIM('DDF Original'!P658)="",0,'DDF Original'!P658))</f>
        <v/>
      </c>
      <c r="H658" s="20" t="str">
        <f t="shared" si="72"/>
        <v/>
      </c>
      <c r="I658" s="25" t="str">
        <f t="shared" si="73"/>
        <v/>
      </c>
      <c r="J658" s="20" t="str">
        <f t="shared" si="74"/>
        <v/>
      </c>
      <c r="K658" s="20" t="str">
        <f t="shared" si="75"/>
        <v/>
      </c>
      <c r="L658" s="20" t="str">
        <f>IF(B658="","",70*'DDF Original'!$Q$4)</f>
        <v/>
      </c>
      <c r="M658" s="20" t="str">
        <f t="shared" si="76"/>
        <v/>
      </c>
      <c r="N658" s="20" t="str">
        <f>IF(AND(OR(B658="",J658&gt;G658,M658&gt;G658),'DDF Original'!L658&lt;&gt; "MI"),G658,IF(M658&gt;J658,M658,J658))</f>
        <v/>
      </c>
    </row>
    <row r="659" spans="2:14" x14ac:dyDescent="0.2">
      <c r="B659" s="19" t="str">
        <f>IF('DDF Original'!B659="","",'DDF Original'!B659)</f>
        <v/>
      </c>
      <c r="C659" s="19" t="e">
        <f t="shared" si="70"/>
        <v>#VALUE!</v>
      </c>
      <c r="D659" s="20" t="str">
        <f>IF('DDF Original'!C659="","",'DDF Original'!C659)</f>
        <v/>
      </c>
      <c r="E659" s="24" t="str">
        <f>IF('DDF Original'!B659="","",IF(TRIM('DDF Original'!I659)="",0,'DDF Original'!I659))</f>
        <v/>
      </c>
      <c r="F659" s="20" t="str">
        <f t="shared" si="71"/>
        <v/>
      </c>
      <c r="G659" s="37" t="str">
        <f>IF('DDF Original'!B659="","",IF(TRIM('DDF Original'!P659)="",0,'DDF Original'!P659))</f>
        <v/>
      </c>
      <c r="H659" s="20" t="str">
        <f t="shared" si="72"/>
        <v/>
      </c>
      <c r="I659" s="25" t="str">
        <f t="shared" si="73"/>
        <v/>
      </c>
      <c r="J659" s="20" t="str">
        <f t="shared" si="74"/>
        <v/>
      </c>
      <c r="K659" s="20" t="str">
        <f t="shared" si="75"/>
        <v/>
      </c>
      <c r="L659" s="20" t="str">
        <f>IF(B659="","",70*'DDF Original'!$Q$4)</f>
        <v/>
      </c>
      <c r="M659" s="20" t="str">
        <f t="shared" si="76"/>
        <v/>
      </c>
      <c r="N659" s="20" t="str">
        <f>IF(AND(OR(B659="",J659&gt;G659,M659&gt;G659),'DDF Original'!L659&lt;&gt; "MI"),G659,IF(M659&gt;J659,M659,J659))</f>
        <v/>
      </c>
    </row>
    <row r="660" spans="2:14" x14ac:dyDescent="0.2">
      <c r="B660" s="19" t="str">
        <f>IF('DDF Original'!B660="","",'DDF Original'!B660)</f>
        <v/>
      </c>
      <c r="C660" s="19" t="e">
        <f t="shared" si="70"/>
        <v>#VALUE!</v>
      </c>
      <c r="D660" s="20" t="str">
        <f>IF('DDF Original'!C660="","",'DDF Original'!C660)</f>
        <v/>
      </c>
      <c r="E660" s="24" t="str">
        <f>IF('DDF Original'!B660="","",IF(TRIM('DDF Original'!I660)="",0,'DDF Original'!I660))</f>
        <v/>
      </c>
      <c r="F660" s="20" t="str">
        <f t="shared" si="71"/>
        <v/>
      </c>
      <c r="G660" s="37" t="str">
        <f>IF('DDF Original'!B660="","",IF(TRIM('DDF Original'!P660)="",0,'DDF Original'!P660))</f>
        <v/>
      </c>
      <c r="H660" s="20" t="str">
        <f t="shared" si="72"/>
        <v/>
      </c>
      <c r="I660" s="25" t="str">
        <f t="shared" si="73"/>
        <v/>
      </c>
      <c r="J660" s="20" t="str">
        <f t="shared" si="74"/>
        <v/>
      </c>
      <c r="K660" s="20" t="str">
        <f t="shared" si="75"/>
        <v/>
      </c>
      <c r="L660" s="20" t="str">
        <f>IF(B660="","",70*'DDF Original'!$Q$4)</f>
        <v/>
      </c>
      <c r="M660" s="20" t="str">
        <f t="shared" si="76"/>
        <v/>
      </c>
      <c r="N660" s="20" t="str">
        <f>IF(AND(OR(B660="",J660&gt;G660,M660&gt;G660),'DDF Original'!L660&lt;&gt; "MI"),G660,IF(M660&gt;J660,M660,J660))</f>
        <v/>
      </c>
    </row>
    <row r="661" spans="2:14" x14ac:dyDescent="0.2">
      <c r="B661" s="19" t="str">
        <f>IF('DDF Original'!B661="","",'DDF Original'!B661)</f>
        <v/>
      </c>
      <c r="C661" s="19" t="e">
        <f t="shared" si="70"/>
        <v>#VALUE!</v>
      </c>
      <c r="D661" s="20" t="str">
        <f>IF('DDF Original'!C661="","",'DDF Original'!C661)</f>
        <v/>
      </c>
      <c r="E661" s="24" t="str">
        <f>IF('DDF Original'!B661="","",IF(TRIM('DDF Original'!I661)="",0,'DDF Original'!I661))</f>
        <v/>
      </c>
      <c r="F661" s="20" t="str">
        <f t="shared" si="71"/>
        <v/>
      </c>
      <c r="G661" s="37" t="str">
        <f>IF('DDF Original'!B661="","",IF(TRIM('DDF Original'!P661)="",0,'DDF Original'!P661))</f>
        <v/>
      </c>
      <c r="H661" s="20" t="str">
        <f t="shared" si="72"/>
        <v/>
      </c>
      <c r="I661" s="25" t="str">
        <f t="shared" si="73"/>
        <v/>
      </c>
      <c r="J661" s="20" t="str">
        <f t="shared" si="74"/>
        <v/>
      </c>
      <c r="K661" s="20" t="str">
        <f t="shared" si="75"/>
        <v/>
      </c>
      <c r="L661" s="20" t="str">
        <f>IF(B661="","",70*'DDF Original'!$Q$4)</f>
        <v/>
      </c>
      <c r="M661" s="20" t="str">
        <f t="shared" si="76"/>
        <v/>
      </c>
      <c r="N661" s="20" t="str">
        <f>IF(AND(OR(B661="",J661&gt;G661,M661&gt;G661),'DDF Original'!L661&lt;&gt; "MI"),G661,IF(M661&gt;J661,M661,J661))</f>
        <v/>
      </c>
    </row>
    <row r="662" spans="2:14" x14ac:dyDescent="0.2">
      <c r="B662" s="19" t="str">
        <f>IF('DDF Original'!B662="","",'DDF Original'!B662)</f>
        <v/>
      </c>
      <c r="C662" s="19" t="e">
        <f t="shared" si="70"/>
        <v>#VALUE!</v>
      </c>
      <c r="D662" s="20" t="str">
        <f>IF('DDF Original'!C662="","",'DDF Original'!C662)</f>
        <v/>
      </c>
      <c r="E662" s="24" t="str">
        <f>IF('DDF Original'!B662="","",IF(TRIM('DDF Original'!I662)="",0,'DDF Original'!I662))</f>
        <v/>
      </c>
      <c r="F662" s="20" t="str">
        <f t="shared" si="71"/>
        <v/>
      </c>
      <c r="G662" s="37" t="str">
        <f>IF('DDF Original'!B662="","",IF(TRIM('DDF Original'!P662)="",0,'DDF Original'!P662))</f>
        <v/>
      </c>
      <c r="H662" s="20" t="str">
        <f t="shared" si="72"/>
        <v/>
      </c>
      <c r="I662" s="25" t="str">
        <f t="shared" si="73"/>
        <v/>
      </c>
      <c r="J662" s="20" t="str">
        <f t="shared" si="74"/>
        <v/>
      </c>
      <c r="K662" s="20" t="str">
        <f t="shared" si="75"/>
        <v/>
      </c>
      <c r="L662" s="20" t="str">
        <f>IF(B662="","",70*'DDF Original'!$Q$4)</f>
        <v/>
      </c>
      <c r="M662" s="20" t="str">
        <f t="shared" si="76"/>
        <v/>
      </c>
      <c r="N662" s="20" t="str">
        <f>IF(AND(OR(B662="",J662&gt;G662,M662&gt;G662),'DDF Original'!L662&lt;&gt; "MI"),G662,IF(M662&gt;J662,M662,J662))</f>
        <v/>
      </c>
    </row>
    <row r="663" spans="2:14" x14ac:dyDescent="0.2">
      <c r="B663" s="19" t="str">
        <f>IF('DDF Original'!B663="","",'DDF Original'!B663)</f>
        <v/>
      </c>
      <c r="C663" s="19" t="e">
        <f t="shared" si="70"/>
        <v>#VALUE!</v>
      </c>
      <c r="D663" s="20" t="str">
        <f>IF('DDF Original'!C663="","",'DDF Original'!C663)</f>
        <v/>
      </c>
      <c r="E663" s="24" t="str">
        <f>IF('DDF Original'!B663="","",IF(TRIM('DDF Original'!I663)="",0,'DDF Original'!I663))</f>
        <v/>
      </c>
      <c r="F663" s="20" t="str">
        <f t="shared" si="71"/>
        <v/>
      </c>
      <c r="G663" s="37" t="str">
        <f>IF('DDF Original'!B663="","",IF(TRIM('DDF Original'!P663)="",0,'DDF Original'!P663))</f>
        <v/>
      </c>
      <c r="H663" s="20" t="str">
        <f t="shared" si="72"/>
        <v/>
      </c>
      <c r="I663" s="25" t="str">
        <f t="shared" si="73"/>
        <v/>
      </c>
      <c r="J663" s="20" t="str">
        <f t="shared" si="74"/>
        <v/>
      </c>
      <c r="K663" s="20" t="str">
        <f t="shared" si="75"/>
        <v/>
      </c>
      <c r="L663" s="20" t="str">
        <f>IF(B663="","",70*'DDF Original'!$Q$4)</f>
        <v/>
      </c>
      <c r="M663" s="20" t="str">
        <f t="shared" si="76"/>
        <v/>
      </c>
      <c r="N663" s="20" t="str">
        <f>IF(AND(OR(B663="",J663&gt;G663,M663&gt;G663),'DDF Original'!L663&lt;&gt; "MI"),G663,IF(M663&gt;J663,M663,J663))</f>
        <v/>
      </c>
    </row>
    <row r="664" spans="2:14" x14ac:dyDescent="0.2">
      <c r="B664" s="19" t="str">
        <f>IF('DDF Original'!B664="","",'DDF Original'!B664)</f>
        <v/>
      </c>
      <c r="C664" s="19" t="e">
        <f t="shared" si="70"/>
        <v>#VALUE!</v>
      </c>
      <c r="D664" s="20" t="str">
        <f>IF('DDF Original'!C664="","",'DDF Original'!C664)</f>
        <v/>
      </c>
      <c r="E664" s="24" t="str">
        <f>IF('DDF Original'!B664="","",IF(TRIM('DDF Original'!I664)="",0,'DDF Original'!I664))</f>
        <v/>
      </c>
      <c r="F664" s="20" t="str">
        <f t="shared" si="71"/>
        <v/>
      </c>
      <c r="G664" s="37" t="str">
        <f>IF('DDF Original'!B664="","",IF(TRIM('DDF Original'!P664)="",0,'DDF Original'!P664))</f>
        <v/>
      </c>
      <c r="H664" s="20" t="str">
        <f t="shared" si="72"/>
        <v/>
      </c>
      <c r="I664" s="25" t="str">
        <f t="shared" si="73"/>
        <v/>
      </c>
      <c r="J664" s="20" t="str">
        <f t="shared" si="74"/>
        <v/>
      </c>
      <c r="K664" s="20" t="str">
        <f t="shared" si="75"/>
        <v/>
      </c>
      <c r="L664" s="20" t="str">
        <f>IF(B664="","",70*'DDF Original'!$Q$4)</f>
        <v/>
      </c>
      <c r="M664" s="20" t="str">
        <f t="shared" si="76"/>
        <v/>
      </c>
      <c r="N664" s="20" t="str">
        <f>IF(AND(OR(B664="",J664&gt;G664,M664&gt;G664),'DDF Original'!L664&lt;&gt; "MI"),G664,IF(M664&gt;J664,M664,J664))</f>
        <v/>
      </c>
    </row>
    <row r="665" spans="2:14" x14ac:dyDescent="0.2">
      <c r="B665" s="19" t="str">
        <f>IF('DDF Original'!B665="","",'DDF Original'!B665)</f>
        <v/>
      </c>
      <c r="C665" s="19" t="e">
        <f t="shared" si="70"/>
        <v>#VALUE!</v>
      </c>
      <c r="D665" s="20" t="str">
        <f>IF('DDF Original'!C665="","",'DDF Original'!C665)</f>
        <v/>
      </c>
      <c r="E665" s="24" t="str">
        <f>IF('DDF Original'!B665="","",IF(TRIM('DDF Original'!I665)="",0,'DDF Original'!I665))</f>
        <v/>
      </c>
      <c r="F665" s="20" t="str">
        <f t="shared" si="71"/>
        <v/>
      </c>
      <c r="G665" s="37" t="str">
        <f>IF('DDF Original'!B665="","",IF(TRIM('DDF Original'!P665)="",0,'DDF Original'!P665))</f>
        <v/>
      </c>
      <c r="H665" s="20" t="str">
        <f t="shared" si="72"/>
        <v/>
      </c>
      <c r="I665" s="25" t="str">
        <f t="shared" si="73"/>
        <v/>
      </c>
      <c r="J665" s="20" t="str">
        <f t="shared" si="74"/>
        <v/>
      </c>
      <c r="K665" s="20" t="str">
        <f t="shared" si="75"/>
        <v/>
      </c>
      <c r="L665" s="20" t="str">
        <f>IF(B665="","",70*'DDF Original'!$Q$4)</f>
        <v/>
      </c>
      <c r="M665" s="20" t="str">
        <f t="shared" si="76"/>
        <v/>
      </c>
      <c r="N665" s="20" t="str">
        <f>IF(AND(OR(B665="",J665&gt;G665,M665&gt;G665),'DDF Original'!L665&lt;&gt; "MI"),G665,IF(M665&gt;J665,M665,J665))</f>
        <v/>
      </c>
    </row>
    <row r="666" spans="2:14" x14ac:dyDescent="0.2">
      <c r="B666" s="19" t="str">
        <f>IF('DDF Original'!B666="","",'DDF Original'!B666)</f>
        <v/>
      </c>
      <c r="C666" s="19" t="e">
        <f t="shared" si="70"/>
        <v>#VALUE!</v>
      </c>
      <c r="D666" s="20" t="str">
        <f>IF('DDF Original'!C666="","",'DDF Original'!C666)</f>
        <v/>
      </c>
      <c r="E666" s="24" t="str">
        <f>IF('DDF Original'!B666="","",IF(TRIM('DDF Original'!I666)="",0,'DDF Original'!I666))</f>
        <v/>
      </c>
      <c r="F666" s="20" t="str">
        <f t="shared" si="71"/>
        <v/>
      </c>
      <c r="G666" s="37" t="str">
        <f>IF('DDF Original'!B666="","",IF(TRIM('DDF Original'!P666)="",0,'DDF Original'!P666))</f>
        <v/>
      </c>
      <c r="H666" s="20" t="str">
        <f t="shared" si="72"/>
        <v/>
      </c>
      <c r="I666" s="25" t="str">
        <f t="shared" si="73"/>
        <v/>
      </c>
      <c r="J666" s="20" t="str">
        <f t="shared" si="74"/>
        <v/>
      </c>
      <c r="K666" s="20" t="str">
        <f t="shared" si="75"/>
        <v/>
      </c>
      <c r="L666" s="20" t="str">
        <f>IF(B666="","",70*'DDF Original'!$Q$4)</f>
        <v/>
      </c>
      <c r="M666" s="20" t="str">
        <f t="shared" si="76"/>
        <v/>
      </c>
      <c r="N666" s="20" t="str">
        <f>IF(AND(OR(B666="",J666&gt;G666,M666&gt;G666),'DDF Original'!L666&lt;&gt; "MI"),G666,IF(M666&gt;J666,M666,J666))</f>
        <v/>
      </c>
    </row>
    <row r="667" spans="2:14" x14ac:dyDescent="0.2">
      <c r="B667" s="19" t="str">
        <f>IF('DDF Original'!B667="","",'DDF Original'!B667)</f>
        <v/>
      </c>
      <c r="C667" s="19" t="e">
        <f t="shared" si="70"/>
        <v>#VALUE!</v>
      </c>
      <c r="D667" s="20" t="str">
        <f>IF('DDF Original'!C667="","",'DDF Original'!C667)</f>
        <v/>
      </c>
      <c r="E667" s="24" t="str">
        <f>IF('DDF Original'!B667="","",IF(TRIM('DDF Original'!I667)="",0,'DDF Original'!I667))</f>
        <v/>
      </c>
      <c r="F667" s="20" t="str">
        <f t="shared" si="71"/>
        <v/>
      </c>
      <c r="G667" s="37" t="str">
        <f>IF('DDF Original'!B667="","",IF(TRIM('DDF Original'!P667)="",0,'DDF Original'!P667))</f>
        <v/>
      </c>
      <c r="H667" s="20" t="str">
        <f t="shared" si="72"/>
        <v/>
      </c>
      <c r="I667" s="25" t="str">
        <f t="shared" si="73"/>
        <v/>
      </c>
      <c r="J667" s="20" t="str">
        <f t="shared" si="74"/>
        <v/>
      </c>
      <c r="K667" s="20" t="str">
        <f t="shared" si="75"/>
        <v/>
      </c>
      <c r="L667" s="20" t="str">
        <f>IF(B667="","",70*'DDF Original'!$Q$4)</f>
        <v/>
      </c>
      <c r="M667" s="20" t="str">
        <f t="shared" si="76"/>
        <v/>
      </c>
      <c r="N667" s="20" t="str">
        <f>IF(AND(OR(B667="",J667&gt;G667,M667&gt;G667),'DDF Original'!L667&lt;&gt; "MI"),G667,IF(M667&gt;J667,M667,J667))</f>
        <v/>
      </c>
    </row>
    <row r="668" spans="2:14" x14ac:dyDescent="0.2">
      <c r="B668" s="19" t="str">
        <f>IF('DDF Original'!B668="","",'DDF Original'!B668)</f>
        <v/>
      </c>
      <c r="C668" s="19" t="e">
        <f t="shared" si="70"/>
        <v>#VALUE!</v>
      </c>
      <c r="D668" s="20" t="str">
        <f>IF('DDF Original'!C668="","",'DDF Original'!C668)</f>
        <v/>
      </c>
      <c r="E668" s="24" t="str">
        <f>IF('DDF Original'!B668="","",IF(TRIM('DDF Original'!I668)="",0,'DDF Original'!I668))</f>
        <v/>
      </c>
      <c r="F668" s="20" t="str">
        <f t="shared" si="71"/>
        <v/>
      </c>
      <c r="G668" s="37" t="str">
        <f>IF('DDF Original'!B668="","",IF(TRIM('DDF Original'!P668)="",0,'DDF Original'!P668))</f>
        <v/>
      </c>
      <c r="H668" s="20" t="str">
        <f t="shared" si="72"/>
        <v/>
      </c>
      <c r="I668" s="25" t="str">
        <f t="shared" si="73"/>
        <v/>
      </c>
      <c r="J668" s="20" t="str">
        <f t="shared" si="74"/>
        <v/>
      </c>
      <c r="K668" s="20" t="str">
        <f t="shared" si="75"/>
        <v/>
      </c>
      <c r="L668" s="20" t="str">
        <f>IF(B668="","",70*'DDF Original'!$Q$4)</f>
        <v/>
      </c>
      <c r="M668" s="20" t="str">
        <f t="shared" si="76"/>
        <v/>
      </c>
      <c r="N668" s="20" t="str">
        <f>IF(AND(OR(B668="",J668&gt;G668,M668&gt;G668),'DDF Original'!L668&lt;&gt; "MI"),G668,IF(M668&gt;J668,M668,J668))</f>
        <v/>
      </c>
    </row>
    <row r="669" spans="2:14" x14ac:dyDescent="0.2">
      <c r="B669" s="19" t="str">
        <f>IF('DDF Original'!B669="","",'DDF Original'!B669)</f>
        <v/>
      </c>
      <c r="C669" s="19" t="e">
        <f t="shared" si="70"/>
        <v>#VALUE!</v>
      </c>
      <c r="D669" s="20" t="str">
        <f>IF('DDF Original'!C669="","",'DDF Original'!C669)</f>
        <v/>
      </c>
      <c r="E669" s="24" t="str">
        <f>IF('DDF Original'!B669="","",IF(TRIM('DDF Original'!I669)="",0,'DDF Original'!I669))</f>
        <v/>
      </c>
      <c r="F669" s="20" t="str">
        <f t="shared" si="71"/>
        <v/>
      </c>
      <c r="G669" s="37" t="str">
        <f>IF('DDF Original'!B669="","",IF(TRIM('DDF Original'!P669)="",0,'DDF Original'!P669))</f>
        <v/>
      </c>
      <c r="H669" s="20" t="str">
        <f t="shared" si="72"/>
        <v/>
      </c>
      <c r="I669" s="25" t="str">
        <f t="shared" si="73"/>
        <v/>
      </c>
      <c r="J669" s="20" t="str">
        <f t="shared" si="74"/>
        <v/>
      </c>
      <c r="K669" s="20" t="str">
        <f t="shared" si="75"/>
        <v/>
      </c>
      <c r="L669" s="20" t="str">
        <f>IF(B669="","",70*'DDF Original'!$Q$4)</f>
        <v/>
      </c>
      <c r="M669" s="20" t="str">
        <f t="shared" si="76"/>
        <v/>
      </c>
      <c r="N669" s="20" t="str">
        <f>IF(AND(OR(B669="",J669&gt;G669,M669&gt;G669),'DDF Original'!L669&lt;&gt; "MI"),G669,IF(M669&gt;J669,M669,J669))</f>
        <v/>
      </c>
    </row>
    <row r="670" spans="2:14" x14ac:dyDescent="0.2">
      <c r="B670" s="19" t="str">
        <f>IF('DDF Original'!B670="","",'DDF Original'!B670)</f>
        <v/>
      </c>
      <c r="C670" s="19" t="e">
        <f t="shared" si="70"/>
        <v>#VALUE!</v>
      </c>
      <c r="D670" s="20" t="str">
        <f>IF('DDF Original'!C670="","",'DDF Original'!C670)</f>
        <v/>
      </c>
      <c r="E670" s="24" t="str">
        <f>IF('DDF Original'!B670="","",IF(TRIM('DDF Original'!I670)="",0,'DDF Original'!I670))</f>
        <v/>
      </c>
      <c r="F670" s="20" t="str">
        <f t="shared" si="71"/>
        <v/>
      </c>
      <c r="G670" s="37" t="str">
        <f>IF('DDF Original'!B670="","",IF(TRIM('DDF Original'!P670)="",0,'DDF Original'!P670))</f>
        <v/>
      </c>
      <c r="H670" s="20" t="str">
        <f t="shared" si="72"/>
        <v/>
      </c>
      <c r="I670" s="25" t="str">
        <f t="shared" si="73"/>
        <v/>
      </c>
      <c r="J670" s="20" t="str">
        <f t="shared" si="74"/>
        <v/>
      </c>
      <c r="K670" s="20" t="str">
        <f t="shared" si="75"/>
        <v/>
      </c>
      <c r="L670" s="20" t="str">
        <f>IF(B670="","",70*'DDF Original'!$Q$4)</f>
        <v/>
      </c>
      <c r="M670" s="20" t="str">
        <f t="shared" si="76"/>
        <v/>
      </c>
      <c r="N670" s="20" t="str">
        <f>IF(AND(OR(B670="",J670&gt;G670,M670&gt;G670),'DDF Original'!L670&lt;&gt; "MI"),G670,IF(M670&gt;J670,M670,J670))</f>
        <v/>
      </c>
    </row>
    <row r="671" spans="2:14" x14ac:dyDescent="0.2">
      <c r="B671" s="19" t="str">
        <f>IF('DDF Original'!B671="","",'DDF Original'!B671)</f>
        <v/>
      </c>
      <c r="C671" s="19" t="e">
        <f t="shared" si="70"/>
        <v>#VALUE!</v>
      </c>
      <c r="D671" s="20" t="str">
        <f>IF('DDF Original'!C671="","",'DDF Original'!C671)</f>
        <v/>
      </c>
      <c r="E671" s="24" t="str">
        <f>IF('DDF Original'!B671="","",IF(TRIM('DDF Original'!I671)="",0,'DDF Original'!I671))</f>
        <v/>
      </c>
      <c r="F671" s="20" t="str">
        <f t="shared" si="71"/>
        <v/>
      </c>
      <c r="G671" s="37" t="str">
        <f>IF('DDF Original'!B671="","",IF(TRIM('DDF Original'!P671)="",0,'DDF Original'!P671))</f>
        <v/>
      </c>
      <c r="H671" s="20" t="str">
        <f t="shared" si="72"/>
        <v/>
      </c>
      <c r="I671" s="25" t="str">
        <f t="shared" si="73"/>
        <v/>
      </c>
      <c r="J671" s="20" t="str">
        <f t="shared" si="74"/>
        <v/>
      </c>
      <c r="K671" s="20" t="str">
        <f t="shared" si="75"/>
        <v/>
      </c>
      <c r="L671" s="20" t="str">
        <f>IF(B671="","",70*'DDF Original'!$Q$4)</f>
        <v/>
      </c>
      <c r="M671" s="20" t="str">
        <f t="shared" si="76"/>
        <v/>
      </c>
      <c r="N671" s="20" t="str">
        <f>IF(AND(OR(B671="",J671&gt;G671,M671&gt;G671),'DDF Original'!L671&lt;&gt; "MI"),G671,IF(M671&gt;J671,M671,J671))</f>
        <v/>
      </c>
    </row>
    <row r="672" spans="2:14" x14ac:dyDescent="0.2">
      <c r="B672" s="19" t="str">
        <f>IF('DDF Original'!B672="","",'DDF Original'!B672)</f>
        <v/>
      </c>
      <c r="C672" s="19" t="e">
        <f t="shared" si="70"/>
        <v>#VALUE!</v>
      </c>
      <c r="D672" s="20" t="str">
        <f>IF('DDF Original'!C672="","",'DDF Original'!C672)</f>
        <v/>
      </c>
      <c r="E672" s="24" t="str">
        <f>IF('DDF Original'!B672="","",IF(TRIM('DDF Original'!I672)="",0,'DDF Original'!I672))</f>
        <v/>
      </c>
      <c r="F672" s="20" t="str">
        <f t="shared" si="71"/>
        <v/>
      </c>
      <c r="G672" s="37" t="str">
        <f>IF('DDF Original'!B672="","",IF(TRIM('DDF Original'!P672)="",0,'DDF Original'!P672))</f>
        <v/>
      </c>
      <c r="H672" s="20" t="str">
        <f t="shared" si="72"/>
        <v/>
      </c>
      <c r="I672" s="25" t="str">
        <f t="shared" si="73"/>
        <v/>
      </c>
      <c r="J672" s="20" t="str">
        <f t="shared" si="74"/>
        <v/>
      </c>
      <c r="K672" s="20" t="str">
        <f t="shared" si="75"/>
        <v/>
      </c>
      <c r="L672" s="20" t="str">
        <f>IF(B672="","",70*'DDF Original'!$Q$4)</f>
        <v/>
      </c>
      <c r="M672" s="20" t="str">
        <f t="shared" si="76"/>
        <v/>
      </c>
      <c r="N672" s="20" t="str">
        <f>IF(AND(OR(B672="",J672&gt;G672,M672&gt;G672),'DDF Original'!L672&lt;&gt; "MI"),G672,IF(M672&gt;J672,M672,J672))</f>
        <v/>
      </c>
    </row>
    <row r="673" spans="2:14" x14ac:dyDescent="0.2">
      <c r="B673" s="19" t="str">
        <f>IF('DDF Original'!B673="","",'DDF Original'!B673)</f>
        <v/>
      </c>
      <c r="C673" s="19" t="e">
        <f t="shared" si="70"/>
        <v>#VALUE!</v>
      </c>
      <c r="D673" s="20" t="str">
        <f>IF('DDF Original'!C673="","",'DDF Original'!C673)</f>
        <v/>
      </c>
      <c r="E673" s="24" t="str">
        <f>IF('DDF Original'!B673="","",IF(TRIM('DDF Original'!I673)="",0,'DDF Original'!I673))</f>
        <v/>
      </c>
      <c r="F673" s="20" t="str">
        <f t="shared" si="71"/>
        <v/>
      </c>
      <c r="G673" s="37" t="str">
        <f>IF('DDF Original'!B673="","",IF(TRIM('DDF Original'!P673)="",0,'DDF Original'!P673))</f>
        <v/>
      </c>
      <c r="H673" s="20" t="str">
        <f t="shared" si="72"/>
        <v/>
      </c>
      <c r="I673" s="25" t="str">
        <f t="shared" si="73"/>
        <v/>
      </c>
      <c r="J673" s="20" t="str">
        <f t="shared" si="74"/>
        <v/>
      </c>
      <c r="K673" s="20" t="str">
        <f t="shared" si="75"/>
        <v/>
      </c>
      <c r="L673" s="20" t="str">
        <f>IF(B673="","",70*'DDF Original'!$Q$4)</f>
        <v/>
      </c>
      <c r="M673" s="20" t="str">
        <f t="shared" si="76"/>
        <v/>
      </c>
      <c r="N673" s="20" t="str">
        <f>IF(AND(OR(B673="",J673&gt;G673,M673&gt;G673),'DDF Original'!L673&lt;&gt; "MI"),G673,IF(M673&gt;J673,M673,J673))</f>
        <v/>
      </c>
    </row>
    <row r="674" spans="2:14" x14ac:dyDescent="0.2">
      <c r="B674" s="19" t="str">
        <f>IF('DDF Original'!B674="","",'DDF Original'!B674)</f>
        <v/>
      </c>
      <c r="C674" s="19" t="e">
        <f t="shared" si="70"/>
        <v>#VALUE!</v>
      </c>
      <c r="D674" s="20" t="str">
        <f>IF('DDF Original'!C674="","",'DDF Original'!C674)</f>
        <v/>
      </c>
      <c r="E674" s="24" t="str">
        <f>IF('DDF Original'!B674="","",IF(TRIM('DDF Original'!I674)="",0,'DDF Original'!I674))</f>
        <v/>
      </c>
      <c r="F674" s="20" t="str">
        <f t="shared" si="71"/>
        <v/>
      </c>
      <c r="G674" s="37" t="str">
        <f>IF('DDF Original'!B674="","",IF(TRIM('DDF Original'!P674)="",0,'DDF Original'!P674))</f>
        <v/>
      </c>
      <c r="H674" s="20" t="str">
        <f t="shared" si="72"/>
        <v/>
      </c>
      <c r="I674" s="25" t="str">
        <f t="shared" si="73"/>
        <v/>
      </c>
      <c r="J674" s="20" t="str">
        <f t="shared" si="74"/>
        <v/>
      </c>
      <c r="K674" s="20" t="str">
        <f t="shared" si="75"/>
        <v/>
      </c>
      <c r="L674" s="20" t="str">
        <f>IF(B674="","",70*'DDF Original'!$Q$4)</f>
        <v/>
      </c>
      <c r="M674" s="20" t="str">
        <f t="shared" si="76"/>
        <v/>
      </c>
      <c r="N674" s="20" t="str">
        <f>IF(AND(OR(B674="",J674&gt;G674,M674&gt;G674),'DDF Original'!L674&lt;&gt; "MI"),G674,IF(M674&gt;J674,M674,J674))</f>
        <v/>
      </c>
    </row>
    <row r="675" spans="2:14" x14ac:dyDescent="0.2">
      <c r="B675" s="19" t="str">
        <f>IF('DDF Original'!B675="","",'DDF Original'!B675)</f>
        <v/>
      </c>
      <c r="C675" s="19" t="e">
        <f t="shared" si="70"/>
        <v>#VALUE!</v>
      </c>
      <c r="D675" s="20" t="str">
        <f>IF('DDF Original'!C675="","",'DDF Original'!C675)</f>
        <v/>
      </c>
      <c r="E675" s="24" t="str">
        <f>IF('DDF Original'!B675="","",IF(TRIM('DDF Original'!I675)="",0,'DDF Original'!I675))</f>
        <v/>
      </c>
      <c r="F675" s="20" t="str">
        <f t="shared" si="71"/>
        <v/>
      </c>
      <c r="G675" s="37" t="str">
        <f>IF('DDF Original'!B675="","",IF(TRIM('DDF Original'!P675)="",0,'DDF Original'!P675))</f>
        <v/>
      </c>
      <c r="H675" s="20" t="str">
        <f t="shared" si="72"/>
        <v/>
      </c>
      <c r="I675" s="25" t="str">
        <f t="shared" si="73"/>
        <v/>
      </c>
      <c r="J675" s="20" t="str">
        <f t="shared" si="74"/>
        <v/>
      </c>
      <c r="K675" s="20" t="str">
        <f t="shared" si="75"/>
        <v/>
      </c>
      <c r="L675" s="20" t="str">
        <f>IF(B675="","",70*'DDF Original'!$Q$4)</f>
        <v/>
      </c>
      <c r="M675" s="20" t="str">
        <f t="shared" si="76"/>
        <v/>
      </c>
      <c r="N675" s="20" t="str">
        <f>IF(AND(OR(B675="",J675&gt;G675,M675&gt;G675),'DDF Original'!L675&lt;&gt; "MI"),G675,IF(M675&gt;J675,M675,J675))</f>
        <v/>
      </c>
    </row>
    <row r="676" spans="2:14" x14ac:dyDescent="0.2">
      <c r="B676" s="19" t="str">
        <f>IF('DDF Original'!B676="","",'DDF Original'!B676)</f>
        <v/>
      </c>
      <c r="C676" s="19" t="e">
        <f t="shared" si="70"/>
        <v>#VALUE!</v>
      </c>
      <c r="D676" s="20" t="str">
        <f>IF('DDF Original'!C676="","",'DDF Original'!C676)</f>
        <v/>
      </c>
      <c r="E676" s="24" t="str">
        <f>IF('DDF Original'!B676="","",IF(TRIM('DDF Original'!I676)="",0,'DDF Original'!I676))</f>
        <v/>
      </c>
      <c r="F676" s="20" t="str">
        <f t="shared" si="71"/>
        <v/>
      </c>
      <c r="G676" s="37" t="str">
        <f>IF('DDF Original'!B676="","",IF(TRIM('DDF Original'!P676)="",0,'DDF Original'!P676))</f>
        <v/>
      </c>
      <c r="H676" s="20" t="str">
        <f t="shared" si="72"/>
        <v/>
      </c>
      <c r="I676" s="25" t="str">
        <f t="shared" si="73"/>
        <v/>
      </c>
      <c r="J676" s="20" t="str">
        <f t="shared" si="74"/>
        <v/>
      </c>
      <c r="K676" s="20" t="str">
        <f t="shared" si="75"/>
        <v/>
      </c>
      <c r="L676" s="20" t="str">
        <f>IF(B676="","",70*'DDF Original'!$Q$4)</f>
        <v/>
      </c>
      <c r="M676" s="20" t="str">
        <f t="shared" si="76"/>
        <v/>
      </c>
      <c r="N676" s="20" t="str">
        <f>IF(AND(OR(B676="",J676&gt;G676,M676&gt;G676),'DDF Original'!L676&lt;&gt; "MI"),G676,IF(M676&gt;J676,M676,J676))</f>
        <v/>
      </c>
    </row>
    <row r="677" spans="2:14" x14ac:dyDescent="0.2">
      <c r="B677" s="19" t="str">
        <f>IF('DDF Original'!B677="","",'DDF Original'!B677)</f>
        <v/>
      </c>
      <c r="C677" s="19" t="e">
        <f t="shared" si="70"/>
        <v>#VALUE!</v>
      </c>
      <c r="D677" s="20" t="str">
        <f>IF('DDF Original'!C677="","",'DDF Original'!C677)</f>
        <v/>
      </c>
      <c r="E677" s="24" t="str">
        <f>IF('DDF Original'!B677="","",IF(TRIM('DDF Original'!I677)="",0,'DDF Original'!I677))</f>
        <v/>
      </c>
      <c r="F677" s="20" t="str">
        <f t="shared" si="71"/>
        <v/>
      </c>
      <c r="G677" s="37" t="str">
        <f>IF('DDF Original'!B677="","",IF(TRIM('DDF Original'!P677)="",0,'DDF Original'!P677))</f>
        <v/>
      </c>
      <c r="H677" s="20" t="str">
        <f t="shared" si="72"/>
        <v/>
      </c>
      <c r="I677" s="25" t="str">
        <f t="shared" si="73"/>
        <v/>
      </c>
      <c r="J677" s="20" t="str">
        <f t="shared" si="74"/>
        <v/>
      </c>
      <c r="K677" s="20" t="str">
        <f t="shared" si="75"/>
        <v/>
      </c>
      <c r="L677" s="20" t="str">
        <f>IF(B677="","",70*'DDF Original'!$Q$4)</f>
        <v/>
      </c>
      <c r="M677" s="20" t="str">
        <f t="shared" si="76"/>
        <v/>
      </c>
      <c r="N677" s="20" t="str">
        <f>IF(AND(OR(B677="",J677&gt;G677,M677&gt;G677),'DDF Original'!L677&lt;&gt; "MI"),G677,IF(M677&gt;J677,M677,J677))</f>
        <v/>
      </c>
    </row>
    <row r="678" spans="2:14" x14ac:dyDescent="0.2">
      <c r="B678" s="19" t="str">
        <f>IF('DDF Original'!B678="","",'DDF Original'!B678)</f>
        <v/>
      </c>
      <c r="C678" s="19" t="e">
        <f t="shared" si="70"/>
        <v>#VALUE!</v>
      </c>
      <c r="D678" s="20" t="str">
        <f>IF('DDF Original'!C678="","",'DDF Original'!C678)</f>
        <v/>
      </c>
      <c r="E678" s="24" t="str">
        <f>IF('DDF Original'!B678="","",IF(TRIM('DDF Original'!I678)="",0,'DDF Original'!I678))</f>
        <v/>
      </c>
      <c r="F678" s="20" t="str">
        <f t="shared" si="71"/>
        <v/>
      </c>
      <c r="G678" s="37" t="str">
        <f>IF('DDF Original'!B678="","",IF(TRIM('DDF Original'!P678)="",0,'DDF Original'!P678))</f>
        <v/>
      </c>
      <c r="H678" s="20" t="str">
        <f t="shared" si="72"/>
        <v/>
      </c>
      <c r="I678" s="25" t="str">
        <f t="shared" si="73"/>
        <v/>
      </c>
      <c r="J678" s="20" t="str">
        <f t="shared" si="74"/>
        <v/>
      </c>
      <c r="K678" s="20" t="str">
        <f t="shared" si="75"/>
        <v/>
      </c>
      <c r="L678" s="20" t="str">
        <f>IF(B678="","",70*'DDF Original'!$Q$4)</f>
        <v/>
      </c>
      <c r="M678" s="20" t="str">
        <f t="shared" si="76"/>
        <v/>
      </c>
      <c r="N678" s="20" t="str">
        <f>IF(AND(OR(B678="",J678&gt;G678,M678&gt;G678),'DDF Original'!L678&lt;&gt; "MI"),G678,IF(M678&gt;J678,M678,J678))</f>
        <v/>
      </c>
    </row>
    <row r="679" spans="2:14" x14ac:dyDescent="0.2">
      <c r="B679" s="19" t="str">
        <f>IF('DDF Original'!B679="","",'DDF Original'!B679)</f>
        <v/>
      </c>
      <c r="C679" s="19" t="e">
        <f t="shared" si="70"/>
        <v>#VALUE!</v>
      </c>
      <c r="D679" s="20" t="str">
        <f>IF('DDF Original'!C679="","",'DDF Original'!C679)</f>
        <v/>
      </c>
      <c r="E679" s="24" t="str">
        <f>IF('DDF Original'!B679="","",IF(TRIM('DDF Original'!I679)="",0,'DDF Original'!I679))</f>
        <v/>
      </c>
      <c r="F679" s="20" t="str">
        <f t="shared" si="71"/>
        <v/>
      </c>
      <c r="G679" s="37" t="str">
        <f>IF('DDF Original'!B679="","",IF(TRIM('DDF Original'!P679)="",0,'DDF Original'!P679))</f>
        <v/>
      </c>
      <c r="H679" s="20" t="str">
        <f t="shared" si="72"/>
        <v/>
      </c>
      <c r="I679" s="25" t="str">
        <f t="shared" si="73"/>
        <v/>
      </c>
      <c r="J679" s="20" t="str">
        <f t="shared" si="74"/>
        <v/>
      </c>
      <c r="K679" s="20" t="str">
        <f t="shared" si="75"/>
        <v/>
      </c>
      <c r="L679" s="20" t="str">
        <f>IF(B679="","",70*'DDF Original'!$Q$4)</f>
        <v/>
      </c>
      <c r="M679" s="20" t="str">
        <f t="shared" si="76"/>
        <v/>
      </c>
      <c r="N679" s="20" t="str">
        <f>IF(AND(OR(B679="",J679&gt;G679,M679&gt;G679),'DDF Original'!L679&lt;&gt; "MI"),G679,IF(M679&gt;J679,M679,J679))</f>
        <v/>
      </c>
    </row>
    <row r="680" spans="2:14" x14ac:dyDescent="0.2">
      <c r="B680" s="19" t="str">
        <f>IF('DDF Original'!B680="","",'DDF Original'!B680)</f>
        <v/>
      </c>
      <c r="C680" s="19" t="e">
        <f t="shared" si="70"/>
        <v>#VALUE!</v>
      </c>
      <c r="D680" s="20" t="str">
        <f>IF('DDF Original'!C680="","",'DDF Original'!C680)</f>
        <v/>
      </c>
      <c r="E680" s="24" t="str">
        <f>IF('DDF Original'!B680="","",IF(TRIM('DDF Original'!I680)="",0,'DDF Original'!I680))</f>
        <v/>
      </c>
      <c r="F680" s="20" t="str">
        <f t="shared" si="71"/>
        <v/>
      </c>
      <c r="G680" s="37" t="str">
        <f>IF('DDF Original'!B680="","",IF(TRIM('DDF Original'!P680)="",0,'DDF Original'!P680))</f>
        <v/>
      </c>
      <c r="H680" s="20" t="str">
        <f t="shared" si="72"/>
        <v/>
      </c>
      <c r="I680" s="25" t="str">
        <f t="shared" si="73"/>
        <v/>
      </c>
      <c r="J680" s="20" t="str">
        <f t="shared" si="74"/>
        <v/>
      </c>
      <c r="K680" s="20" t="str">
        <f t="shared" si="75"/>
        <v/>
      </c>
      <c r="L680" s="20" t="str">
        <f>IF(B680="","",70*'DDF Original'!$Q$4)</f>
        <v/>
      </c>
      <c r="M680" s="20" t="str">
        <f t="shared" si="76"/>
        <v/>
      </c>
      <c r="N680" s="20" t="str">
        <f>IF(AND(OR(B680="",J680&gt;G680,M680&gt;G680),'DDF Original'!L680&lt;&gt; "MI"),G680,IF(M680&gt;J680,M680,J680))</f>
        <v/>
      </c>
    </row>
    <row r="681" spans="2:14" x14ac:dyDescent="0.2">
      <c r="B681" s="19" t="str">
        <f>IF('DDF Original'!B681="","",'DDF Original'!B681)</f>
        <v/>
      </c>
      <c r="C681" s="19" t="e">
        <f t="shared" si="70"/>
        <v>#VALUE!</v>
      </c>
      <c r="D681" s="20" t="str">
        <f>IF('DDF Original'!C681="","",'DDF Original'!C681)</f>
        <v/>
      </c>
      <c r="E681" s="24" t="str">
        <f>IF('DDF Original'!B681="","",IF(TRIM('DDF Original'!I681)="",0,'DDF Original'!I681))</f>
        <v/>
      </c>
      <c r="F681" s="20" t="str">
        <f t="shared" si="71"/>
        <v/>
      </c>
      <c r="G681" s="37" t="str">
        <f>IF('DDF Original'!B681="","",IF(TRIM('DDF Original'!P681)="",0,'DDF Original'!P681))</f>
        <v/>
      </c>
      <c r="H681" s="20" t="str">
        <f t="shared" si="72"/>
        <v/>
      </c>
      <c r="I681" s="25" t="str">
        <f t="shared" si="73"/>
        <v/>
      </c>
      <c r="J681" s="20" t="str">
        <f t="shared" si="74"/>
        <v/>
      </c>
      <c r="K681" s="20" t="str">
        <f t="shared" si="75"/>
        <v/>
      </c>
      <c r="L681" s="20" t="str">
        <f>IF(B681="","",70*'DDF Original'!$Q$4)</f>
        <v/>
      </c>
      <c r="M681" s="20" t="str">
        <f t="shared" si="76"/>
        <v/>
      </c>
      <c r="N681" s="20" t="str">
        <f>IF(AND(OR(B681="",J681&gt;G681,M681&gt;G681),'DDF Original'!L681&lt;&gt; "MI"),G681,IF(M681&gt;J681,M681,J681))</f>
        <v/>
      </c>
    </row>
    <row r="682" spans="2:14" x14ac:dyDescent="0.2">
      <c r="B682" s="19" t="str">
        <f>IF('DDF Original'!B682="","",'DDF Original'!B682)</f>
        <v/>
      </c>
      <c r="C682" s="19" t="e">
        <f t="shared" si="70"/>
        <v>#VALUE!</v>
      </c>
      <c r="D682" s="20" t="str">
        <f>IF('DDF Original'!C682="","",'DDF Original'!C682)</f>
        <v/>
      </c>
      <c r="E682" s="24" t="str">
        <f>IF('DDF Original'!B682="","",IF(TRIM('DDF Original'!I682)="",0,'DDF Original'!I682))</f>
        <v/>
      </c>
      <c r="F682" s="20" t="str">
        <f t="shared" si="71"/>
        <v/>
      </c>
      <c r="G682" s="37" t="str">
        <f>IF('DDF Original'!B682="","",IF(TRIM('DDF Original'!P682)="",0,'DDF Original'!P682))</f>
        <v/>
      </c>
      <c r="H682" s="20" t="str">
        <f t="shared" si="72"/>
        <v/>
      </c>
      <c r="I682" s="25" t="str">
        <f t="shared" si="73"/>
        <v/>
      </c>
      <c r="J682" s="20" t="str">
        <f t="shared" si="74"/>
        <v/>
      </c>
      <c r="K682" s="20" t="str">
        <f t="shared" si="75"/>
        <v/>
      </c>
      <c r="L682" s="20" t="str">
        <f>IF(B682="","",70*'DDF Original'!$Q$4)</f>
        <v/>
      </c>
      <c r="M682" s="20" t="str">
        <f t="shared" si="76"/>
        <v/>
      </c>
      <c r="N682" s="20" t="str">
        <f>IF(AND(OR(B682="",J682&gt;G682,M682&gt;G682),'DDF Original'!L682&lt;&gt; "MI"),G682,IF(M682&gt;J682,M682,J682))</f>
        <v/>
      </c>
    </row>
    <row r="683" spans="2:14" x14ac:dyDescent="0.2">
      <c r="B683" s="19" t="str">
        <f>IF('DDF Original'!B683="","",'DDF Original'!B683)</f>
        <v/>
      </c>
      <c r="C683" s="19" t="e">
        <f t="shared" si="70"/>
        <v>#VALUE!</v>
      </c>
      <c r="D683" s="20" t="str">
        <f>IF('DDF Original'!C683="","",'DDF Original'!C683)</f>
        <v/>
      </c>
      <c r="E683" s="24" t="str">
        <f>IF('DDF Original'!B683="","",IF(TRIM('DDF Original'!I683)="",0,'DDF Original'!I683))</f>
        <v/>
      </c>
      <c r="F683" s="20" t="str">
        <f t="shared" si="71"/>
        <v/>
      </c>
      <c r="G683" s="37" t="str">
        <f>IF('DDF Original'!B683="","",IF(TRIM('DDF Original'!P683)="",0,'DDF Original'!P683))</f>
        <v/>
      </c>
      <c r="H683" s="20" t="str">
        <f t="shared" si="72"/>
        <v/>
      </c>
      <c r="I683" s="25" t="str">
        <f t="shared" si="73"/>
        <v/>
      </c>
      <c r="J683" s="20" t="str">
        <f t="shared" si="74"/>
        <v/>
      </c>
      <c r="K683" s="20" t="str">
        <f t="shared" si="75"/>
        <v/>
      </c>
      <c r="L683" s="20" t="str">
        <f>IF(B683="","",70*'DDF Original'!$Q$4)</f>
        <v/>
      </c>
      <c r="M683" s="20" t="str">
        <f t="shared" si="76"/>
        <v/>
      </c>
      <c r="N683" s="20" t="str">
        <f>IF(AND(OR(B683="",J683&gt;G683,M683&gt;G683),'DDF Original'!L683&lt;&gt; "MI"),G683,IF(M683&gt;J683,M683,J683))</f>
        <v/>
      </c>
    </row>
    <row r="684" spans="2:14" x14ac:dyDescent="0.2">
      <c r="B684" s="19" t="str">
        <f>IF('DDF Original'!B684="","",'DDF Original'!B684)</f>
        <v/>
      </c>
      <c r="C684" s="19" t="e">
        <f t="shared" si="70"/>
        <v>#VALUE!</v>
      </c>
      <c r="D684" s="20" t="str">
        <f>IF('DDF Original'!C684="","",'DDF Original'!C684)</f>
        <v/>
      </c>
      <c r="E684" s="24" t="str">
        <f>IF('DDF Original'!B684="","",IF(TRIM('DDF Original'!I684)="",0,'DDF Original'!I684))</f>
        <v/>
      </c>
      <c r="F684" s="20" t="str">
        <f t="shared" si="71"/>
        <v/>
      </c>
      <c r="G684" s="37" t="str">
        <f>IF('DDF Original'!B684="","",IF(TRIM('DDF Original'!P684)="",0,'DDF Original'!P684))</f>
        <v/>
      </c>
      <c r="H684" s="20" t="str">
        <f t="shared" si="72"/>
        <v/>
      </c>
      <c r="I684" s="25" t="str">
        <f t="shared" si="73"/>
        <v/>
      </c>
      <c r="J684" s="20" t="str">
        <f t="shared" si="74"/>
        <v/>
      </c>
      <c r="K684" s="20" t="str">
        <f t="shared" si="75"/>
        <v/>
      </c>
      <c r="L684" s="20" t="str">
        <f>IF(B684="","",70*'DDF Original'!$Q$4)</f>
        <v/>
      </c>
      <c r="M684" s="20" t="str">
        <f t="shared" si="76"/>
        <v/>
      </c>
      <c r="N684" s="20" t="str">
        <f>IF(AND(OR(B684="",J684&gt;G684,M684&gt;G684),'DDF Original'!L684&lt;&gt; "MI"),G684,IF(M684&gt;J684,M684,J684))</f>
        <v/>
      </c>
    </row>
    <row r="685" spans="2:14" x14ac:dyDescent="0.2">
      <c r="B685" s="19" t="str">
        <f>IF('DDF Original'!B685="","",'DDF Original'!B685)</f>
        <v/>
      </c>
      <c r="C685" s="19" t="e">
        <f t="shared" si="70"/>
        <v>#VALUE!</v>
      </c>
      <c r="D685" s="20" t="str">
        <f>IF('DDF Original'!C685="","",'DDF Original'!C685)</f>
        <v/>
      </c>
      <c r="E685" s="24" t="str">
        <f>IF('DDF Original'!B685="","",IF(TRIM('DDF Original'!I685)="",0,'DDF Original'!I685))</f>
        <v/>
      </c>
      <c r="F685" s="20" t="str">
        <f t="shared" si="71"/>
        <v/>
      </c>
      <c r="G685" s="37" t="str">
        <f>IF('DDF Original'!B685="","",IF(TRIM('DDF Original'!P685)="",0,'DDF Original'!P685))</f>
        <v/>
      </c>
      <c r="H685" s="20" t="str">
        <f t="shared" si="72"/>
        <v/>
      </c>
      <c r="I685" s="25" t="str">
        <f t="shared" si="73"/>
        <v/>
      </c>
      <c r="J685" s="20" t="str">
        <f t="shared" si="74"/>
        <v/>
      </c>
      <c r="K685" s="20" t="str">
        <f t="shared" si="75"/>
        <v/>
      </c>
      <c r="L685" s="20" t="str">
        <f>IF(B685="","",70*'DDF Original'!$Q$4)</f>
        <v/>
      </c>
      <c r="M685" s="20" t="str">
        <f t="shared" si="76"/>
        <v/>
      </c>
      <c r="N685" s="20" t="str">
        <f>IF(AND(OR(B685="",J685&gt;G685,M685&gt;G685),'DDF Original'!L685&lt;&gt; "MI"),G685,IF(M685&gt;J685,M685,J685))</f>
        <v/>
      </c>
    </row>
    <row r="686" spans="2:14" x14ac:dyDescent="0.2">
      <c r="B686" s="19" t="str">
        <f>IF('DDF Original'!B686="","",'DDF Original'!B686)</f>
        <v/>
      </c>
      <c r="C686" s="19" t="e">
        <f t="shared" si="70"/>
        <v>#VALUE!</v>
      </c>
      <c r="D686" s="20" t="str">
        <f>IF('DDF Original'!C686="","",'DDF Original'!C686)</f>
        <v/>
      </c>
      <c r="E686" s="24" t="str">
        <f>IF('DDF Original'!B686="","",IF(TRIM('DDF Original'!I686)="",0,'DDF Original'!I686))</f>
        <v/>
      </c>
      <c r="F686" s="20" t="str">
        <f t="shared" si="71"/>
        <v/>
      </c>
      <c r="G686" s="37" t="str">
        <f>IF('DDF Original'!B686="","",IF(TRIM('DDF Original'!P686)="",0,'DDF Original'!P686))</f>
        <v/>
      </c>
      <c r="H686" s="20" t="str">
        <f t="shared" si="72"/>
        <v/>
      </c>
      <c r="I686" s="25" t="str">
        <f t="shared" si="73"/>
        <v/>
      </c>
      <c r="J686" s="20" t="str">
        <f t="shared" si="74"/>
        <v/>
      </c>
      <c r="K686" s="20" t="str">
        <f t="shared" si="75"/>
        <v/>
      </c>
      <c r="L686" s="20" t="str">
        <f>IF(B686="","",70*'DDF Original'!$Q$4)</f>
        <v/>
      </c>
      <c r="M686" s="20" t="str">
        <f t="shared" si="76"/>
        <v/>
      </c>
      <c r="N686" s="20" t="str">
        <f>IF(AND(OR(B686="",J686&gt;G686,M686&gt;G686),'DDF Original'!L686&lt;&gt; "MI"),G686,IF(M686&gt;J686,M686,J686))</f>
        <v/>
      </c>
    </row>
    <row r="687" spans="2:14" x14ac:dyDescent="0.2">
      <c r="B687" s="19" t="str">
        <f>IF('DDF Original'!B687="","",'DDF Original'!B687)</f>
        <v/>
      </c>
      <c r="C687" s="19" t="e">
        <f t="shared" si="70"/>
        <v>#VALUE!</v>
      </c>
      <c r="D687" s="20" t="str">
        <f>IF('DDF Original'!C687="","",'DDF Original'!C687)</f>
        <v/>
      </c>
      <c r="E687" s="24" t="str">
        <f>IF('DDF Original'!B687="","",IF(TRIM('DDF Original'!I687)="",0,'DDF Original'!I687))</f>
        <v/>
      </c>
      <c r="F687" s="20" t="str">
        <f t="shared" si="71"/>
        <v/>
      </c>
      <c r="G687" s="37" t="str">
        <f>IF('DDF Original'!B687="","",IF(TRIM('DDF Original'!P687)="",0,'DDF Original'!P687))</f>
        <v/>
      </c>
      <c r="H687" s="20" t="str">
        <f t="shared" si="72"/>
        <v/>
      </c>
      <c r="I687" s="25" t="str">
        <f t="shared" si="73"/>
        <v/>
      </c>
      <c r="J687" s="20" t="str">
        <f t="shared" si="74"/>
        <v/>
      </c>
      <c r="K687" s="20" t="str">
        <f t="shared" si="75"/>
        <v/>
      </c>
      <c r="L687" s="20" t="str">
        <f>IF(B687="","",70*'DDF Original'!$Q$4)</f>
        <v/>
      </c>
      <c r="M687" s="20" t="str">
        <f t="shared" si="76"/>
        <v/>
      </c>
      <c r="N687" s="20" t="str">
        <f>IF(AND(OR(B687="",J687&gt;G687,M687&gt;G687),'DDF Original'!L687&lt;&gt; "MI"),G687,IF(M687&gt;J687,M687,J687))</f>
        <v/>
      </c>
    </row>
    <row r="688" spans="2:14" x14ac:dyDescent="0.2">
      <c r="B688" s="19" t="str">
        <f>IF('DDF Original'!B688="","",'DDF Original'!B688)</f>
        <v/>
      </c>
      <c r="C688" s="19" t="e">
        <f t="shared" si="70"/>
        <v>#VALUE!</v>
      </c>
      <c r="D688" s="20" t="str">
        <f>IF('DDF Original'!C688="","",'DDF Original'!C688)</f>
        <v/>
      </c>
      <c r="E688" s="24" t="str">
        <f>IF('DDF Original'!B688="","",IF(TRIM('DDF Original'!I688)="",0,'DDF Original'!I688))</f>
        <v/>
      </c>
      <c r="F688" s="20" t="str">
        <f t="shared" si="71"/>
        <v/>
      </c>
      <c r="G688" s="37" t="str">
        <f>IF('DDF Original'!B688="","",IF(TRIM('DDF Original'!P688)="",0,'DDF Original'!P688))</f>
        <v/>
      </c>
      <c r="H688" s="20" t="str">
        <f t="shared" si="72"/>
        <v/>
      </c>
      <c r="I688" s="25" t="str">
        <f t="shared" si="73"/>
        <v/>
      </c>
      <c r="J688" s="20" t="str">
        <f t="shared" si="74"/>
        <v/>
      </c>
      <c r="K688" s="20" t="str">
        <f t="shared" si="75"/>
        <v/>
      </c>
      <c r="L688" s="20" t="str">
        <f>IF(B688="","",70*'DDF Original'!$Q$4)</f>
        <v/>
      </c>
      <c r="M688" s="20" t="str">
        <f t="shared" si="76"/>
        <v/>
      </c>
      <c r="N688" s="20" t="str">
        <f>IF(AND(OR(B688="",J688&gt;G688,M688&gt;G688),'DDF Original'!L688&lt;&gt; "MI"),G688,IF(M688&gt;J688,M688,J688))</f>
        <v/>
      </c>
    </row>
    <row r="689" spans="2:14" x14ac:dyDescent="0.2">
      <c r="B689" s="19" t="str">
        <f>IF('DDF Original'!B689="","",'DDF Original'!B689)</f>
        <v/>
      </c>
      <c r="C689" s="19" t="e">
        <f t="shared" si="70"/>
        <v>#VALUE!</v>
      </c>
      <c r="D689" s="20" t="str">
        <f>IF('DDF Original'!C689="","",'DDF Original'!C689)</f>
        <v/>
      </c>
      <c r="E689" s="24" t="str">
        <f>IF('DDF Original'!B689="","",IF(TRIM('DDF Original'!I689)="",0,'DDF Original'!I689))</f>
        <v/>
      </c>
      <c r="F689" s="20" t="str">
        <f t="shared" si="71"/>
        <v/>
      </c>
      <c r="G689" s="37" t="str">
        <f>IF('DDF Original'!B689="","",IF(TRIM('DDF Original'!P689)="",0,'DDF Original'!P689))</f>
        <v/>
      </c>
      <c r="H689" s="20" t="str">
        <f t="shared" si="72"/>
        <v/>
      </c>
      <c r="I689" s="25" t="str">
        <f t="shared" si="73"/>
        <v/>
      </c>
      <c r="J689" s="20" t="str">
        <f t="shared" si="74"/>
        <v/>
      </c>
      <c r="K689" s="20" t="str">
        <f t="shared" si="75"/>
        <v/>
      </c>
      <c r="L689" s="20" t="str">
        <f>IF(B689="","",70*'DDF Original'!$Q$4)</f>
        <v/>
      </c>
      <c r="M689" s="20" t="str">
        <f t="shared" si="76"/>
        <v/>
      </c>
      <c r="N689" s="20" t="str">
        <f>IF(AND(OR(B689="",J689&gt;G689,M689&gt;G689),'DDF Original'!L689&lt;&gt; "MI"),G689,IF(M689&gt;J689,M689,J689))</f>
        <v/>
      </c>
    </row>
    <row r="690" spans="2:14" x14ac:dyDescent="0.2">
      <c r="B690" s="19" t="str">
        <f>IF('DDF Original'!B690="","",'DDF Original'!B690)</f>
        <v/>
      </c>
      <c r="C690" s="19" t="e">
        <f t="shared" si="70"/>
        <v>#VALUE!</v>
      </c>
      <c r="D690" s="20" t="str">
        <f>IF('DDF Original'!C690="","",'DDF Original'!C690)</f>
        <v/>
      </c>
      <c r="E690" s="24" t="str">
        <f>IF('DDF Original'!B690="","",IF(TRIM('DDF Original'!I690)="",0,'DDF Original'!I690))</f>
        <v/>
      </c>
      <c r="F690" s="20" t="str">
        <f t="shared" si="71"/>
        <v/>
      </c>
      <c r="G690" s="37" t="str">
        <f>IF('DDF Original'!B690="","",IF(TRIM('DDF Original'!P690)="",0,'DDF Original'!P690))</f>
        <v/>
      </c>
      <c r="H690" s="20" t="str">
        <f t="shared" si="72"/>
        <v/>
      </c>
      <c r="I690" s="25" t="str">
        <f t="shared" si="73"/>
        <v/>
      </c>
      <c r="J690" s="20" t="str">
        <f t="shared" si="74"/>
        <v/>
      </c>
      <c r="K690" s="20" t="str">
        <f t="shared" si="75"/>
        <v/>
      </c>
      <c r="L690" s="20" t="str">
        <f>IF(B690="","",70*'DDF Original'!$Q$4)</f>
        <v/>
      </c>
      <c r="M690" s="20" t="str">
        <f t="shared" si="76"/>
        <v/>
      </c>
      <c r="N690" s="20" t="str">
        <f>IF(AND(OR(B690="",J690&gt;G690,M690&gt;G690),'DDF Original'!L690&lt;&gt; "MI"),G690,IF(M690&gt;J690,M690,J690))</f>
        <v/>
      </c>
    </row>
    <row r="691" spans="2:14" x14ac:dyDescent="0.2">
      <c r="B691" s="19" t="str">
        <f>IF('DDF Original'!B691="","",'DDF Original'!B691)</f>
        <v/>
      </c>
      <c r="C691" s="19" t="e">
        <f t="shared" si="70"/>
        <v>#VALUE!</v>
      </c>
      <c r="D691" s="20" t="str">
        <f>IF('DDF Original'!C691="","",'DDF Original'!C691)</f>
        <v/>
      </c>
      <c r="E691" s="24" t="str">
        <f>IF('DDF Original'!B691="","",IF(TRIM('DDF Original'!I691)="",0,'DDF Original'!I691))</f>
        <v/>
      </c>
      <c r="F691" s="20" t="str">
        <f t="shared" si="71"/>
        <v/>
      </c>
      <c r="G691" s="37" t="str">
        <f>IF('DDF Original'!B691="","",IF(TRIM('DDF Original'!P691)="",0,'DDF Original'!P691))</f>
        <v/>
      </c>
      <c r="H691" s="20" t="str">
        <f t="shared" si="72"/>
        <v/>
      </c>
      <c r="I691" s="25" t="str">
        <f t="shared" si="73"/>
        <v/>
      </c>
      <c r="J691" s="20" t="str">
        <f t="shared" si="74"/>
        <v/>
      </c>
      <c r="K691" s="20" t="str">
        <f t="shared" si="75"/>
        <v/>
      </c>
      <c r="L691" s="20" t="str">
        <f>IF(B691="","",70*'DDF Original'!$Q$4)</f>
        <v/>
      </c>
      <c r="M691" s="20" t="str">
        <f t="shared" si="76"/>
        <v/>
      </c>
      <c r="N691" s="20" t="str">
        <f>IF(AND(OR(B691="",J691&gt;G691,M691&gt;G691),'DDF Original'!L691&lt;&gt; "MI"),G691,IF(M691&gt;J691,M691,J691))</f>
        <v/>
      </c>
    </row>
    <row r="692" spans="2:14" x14ac:dyDescent="0.2">
      <c r="B692" s="19" t="str">
        <f>IF('DDF Original'!B692="","",'DDF Original'!B692)</f>
        <v/>
      </c>
      <c r="C692" s="19" t="e">
        <f t="shared" si="70"/>
        <v>#VALUE!</v>
      </c>
      <c r="D692" s="20" t="str">
        <f>IF('DDF Original'!C692="","",'DDF Original'!C692)</f>
        <v/>
      </c>
      <c r="E692" s="24" t="str">
        <f>IF('DDF Original'!B692="","",IF(TRIM('DDF Original'!I692)="",0,'DDF Original'!I692))</f>
        <v/>
      </c>
      <c r="F692" s="20" t="str">
        <f t="shared" si="71"/>
        <v/>
      </c>
      <c r="G692" s="37" t="str">
        <f>IF('DDF Original'!B692="","",IF(TRIM('DDF Original'!P692)="",0,'DDF Original'!P692))</f>
        <v/>
      </c>
      <c r="H692" s="20" t="str">
        <f t="shared" si="72"/>
        <v/>
      </c>
      <c r="I692" s="25" t="str">
        <f t="shared" si="73"/>
        <v/>
      </c>
      <c r="J692" s="20" t="str">
        <f t="shared" si="74"/>
        <v/>
      </c>
      <c r="K692" s="20" t="str">
        <f t="shared" si="75"/>
        <v/>
      </c>
      <c r="L692" s="20" t="str">
        <f>IF(B692="","",70*'DDF Original'!$Q$4)</f>
        <v/>
      </c>
      <c r="M692" s="20" t="str">
        <f t="shared" si="76"/>
        <v/>
      </c>
      <c r="N692" s="20" t="str">
        <f>IF(AND(OR(B692="",J692&gt;G692,M692&gt;G692),'DDF Original'!L692&lt;&gt; "MI"),G692,IF(M692&gt;J692,M692,J692))</f>
        <v/>
      </c>
    </row>
    <row r="693" spans="2:14" x14ac:dyDescent="0.2">
      <c r="B693" s="19" t="str">
        <f>IF('DDF Original'!B693="","",'DDF Original'!B693)</f>
        <v/>
      </c>
      <c r="C693" s="19" t="e">
        <f t="shared" si="70"/>
        <v>#VALUE!</v>
      </c>
      <c r="D693" s="20" t="str">
        <f>IF('DDF Original'!C693="","",'DDF Original'!C693)</f>
        <v/>
      </c>
      <c r="E693" s="24" t="str">
        <f>IF('DDF Original'!B693="","",IF(TRIM('DDF Original'!I693)="",0,'DDF Original'!I693))</f>
        <v/>
      </c>
      <c r="F693" s="20" t="str">
        <f t="shared" si="71"/>
        <v/>
      </c>
      <c r="G693" s="37" t="str">
        <f>IF('DDF Original'!B693="","",IF(TRIM('DDF Original'!P693)="",0,'DDF Original'!P693))</f>
        <v/>
      </c>
      <c r="H693" s="20" t="str">
        <f t="shared" si="72"/>
        <v/>
      </c>
      <c r="I693" s="25" t="str">
        <f t="shared" si="73"/>
        <v/>
      </c>
      <c r="J693" s="20" t="str">
        <f t="shared" si="74"/>
        <v/>
      </c>
      <c r="K693" s="20" t="str">
        <f t="shared" si="75"/>
        <v/>
      </c>
      <c r="L693" s="20" t="str">
        <f>IF(B693="","",70*'DDF Original'!$Q$4)</f>
        <v/>
      </c>
      <c r="M693" s="20" t="str">
        <f t="shared" si="76"/>
        <v/>
      </c>
      <c r="N693" s="20" t="str">
        <f>IF(AND(OR(B693="",J693&gt;G693,M693&gt;G693),'DDF Original'!L693&lt;&gt; "MI"),G693,IF(M693&gt;J693,M693,J693))</f>
        <v/>
      </c>
    </row>
    <row r="694" spans="2:14" x14ac:dyDescent="0.2">
      <c r="B694" s="19" t="str">
        <f>IF('DDF Original'!B694="","",'DDF Original'!B694)</f>
        <v/>
      </c>
      <c r="C694" s="19" t="e">
        <f t="shared" si="70"/>
        <v>#VALUE!</v>
      </c>
      <c r="D694" s="20" t="str">
        <f>IF('DDF Original'!C694="","",'DDF Original'!C694)</f>
        <v/>
      </c>
      <c r="E694" s="24" t="str">
        <f>IF('DDF Original'!B694="","",IF(TRIM('DDF Original'!I694)="",0,'DDF Original'!I694))</f>
        <v/>
      </c>
      <c r="F694" s="20" t="str">
        <f t="shared" si="71"/>
        <v/>
      </c>
      <c r="G694" s="37" t="str">
        <f>IF('DDF Original'!B694="","",IF(TRIM('DDF Original'!P694)="",0,'DDF Original'!P694))</f>
        <v/>
      </c>
      <c r="H694" s="20" t="str">
        <f t="shared" si="72"/>
        <v/>
      </c>
      <c r="I694" s="25" t="str">
        <f t="shared" si="73"/>
        <v/>
      </c>
      <c r="J694" s="20" t="str">
        <f t="shared" si="74"/>
        <v/>
      </c>
      <c r="K694" s="20" t="str">
        <f t="shared" si="75"/>
        <v/>
      </c>
      <c r="L694" s="20" t="str">
        <f>IF(B694="","",70*'DDF Original'!$Q$4)</f>
        <v/>
      </c>
      <c r="M694" s="20" t="str">
        <f t="shared" si="76"/>
        <v/>
      </c>
      <c r="N694" s="20" t="str">
        <f>IF(AND(OR(B694="",J694&gt;G694,M694&gt;G694),'DDF Original'!L694&lt;&gt; "MI"),G694,IF(M694&gt;J694,M694,J694))</f>
        <v/>
      </c>
    </row>
    <row r="695" spans="2:14" x14ac:dyDescent="0.2">
      <c r="B695" s="19" t="str">
        <f>IF('DDF Original'!B695="","",'DDF Original'!B695)</f>
        <v/>
      </c>
      <c r="C695" s="19" t="e">
        <f t="shared" si="70"/>
        <v>#VALUE!</v>
      </c>
      <c r="D695" s="20" t="str">
        <f>IF('DDF Original'!C695="","",'DDF Original'!C695)</f>
        <v/>
      </c>
      <c r="E695" s="24" t="str">
        <f>IF('DDF Original'!B695="","",IF(TRIM('DDF Original'!I695)="",0,'DDF Original'!I695))</f>
        <v/>
      </c>
      <c r="F695" s="20" t="str">
        <f t="shared" si="71"/>
        <v/>
      </c>
      <c r="G695" s="37" t="str">
        <f>IF('DDF Original'!B695="","",IF(TRIM('DDF Original'!P695)="",0,'DDF Original'!P695))</f>
        <v/>
      </c>
      <c r="H695" s="20" t="str">
        <f t="shared" si="72"/>
        <v/>
      </c>
      <c r="I695" s="25" t="str">
        <f t="shared" si="73"/>
        <v/>
      </c>
      <c r="J695" s="20" t="str">
        <f t="shared" si="74"/>
        <v/>
      </c>
      <c r="K695" s="20" t="str">
        <f t="shared" si="75"/>
        <v/>
      </c>
      <c r="L695" s="20" t="str">
        <f>IF(B695="","",70*'DDF Original'!$Q$4)</f>
        <v/>
      </c>
      <c r="M695" s="20" t="str">
        <f t="shared" si="76"/>
        <v/>
      </c>
      <c r="N695" s="20" t="str">
        <f>IF(AND(OR(B695="",J695&gt;G695,M695&gt;G695),'DDF Original'!L695&lt;&gt; "MI"),G695,IF(M695&gt;J695,M695,J695))</f>
        <v/>
      </c>
    </row>
    <row r="696" spans="2:14" x14ac:dyDescent="0.2">
      <c r="B696" s="19" t="str">
        <f>IF('DDF Original'!B696="","",'DDF Original'!B696)</f>
        <v/>
      </c>
      <c r="C696" s="19" t="e">
        <f t="shared" si="70"/>
        <v>#VALUE!</v>
      </c>
      <c r="D696" s="20" t="str">
        <f>IF('DDF Original'!C696="","",'DDF Original'!C696)</f>
        <v/>
      </c>
      <c r="E696" s="24" t="str">
        <f>IF('DDF Original'!B696="","",IF(TRIM('DDF Original'!I696)="",0,'DDF Original'!I696))</f>
        <v/>
      </c>
      <c r="F696" s="20" t="str">
        <f t="shared" si="71"/>
        <v/>
      </c>
      <c r="G696" s="37" t="str">
        <f>IF('DDF Original'!B696="","",IF(TRIM('DDF Original'!P696)="",0,'DDF Original'!P696))</f>
        <v/>
      </c>
      <c r="H696" s="20" t="str">
        <f t="shared" si="72"/>
        <v/>
      </c>
      <c r="I696" s="25" t="str">
        <f t="shared" si="73"/>
        <v/>
      </c>
      <c r="J696" s="20" t="str">
        <f t="shared" si="74"/>
        <v/>
      </c>
      <c r="K696" s="20" t="str">
        <f t="shared" si="75"/>
        <v/>
      </c>
      <c r="L696" s="20" t="str">
        <f>IF(B696="","",70*'DDF Original'!$Q$4)</f>
        <v/>
      </c>
      <c r="M696" s="20" t="str">
        <f t="shared" si="76"/>
        <v/>
      </c>
      <c r="N696" s="20" t="str">
        <f>IF(AND(OR(B696="",J696&gt;G696,M696&gt;G696),'DDF Original'!L696&lt;&gt; "MI"),G696,IF(M696&gt;J696,M696,J696))</f>
        <v/>
      </c>
    </row>
    <row r="697" spans="2:14" x14ac:dyDescent="0.2">
      <c r="B697" s="19" t="str">
        <f>IF('DDF Original'!B697="","",'DDF Original'!B697)</f>
        <v/>
      </c>
      <c r="C697" s="19" t="e">
        <f t="shared" si="70"/>
        <v>#VALUE!</v>
      </c>
      <c r="D697" s="20" t="str">
        <f>IF('DDF Original'!C697="","",'DDF Original'!C697)</f>
        <v/>
      </c>
      <c r="E697" s="24" t="str">
        <f>IF('DDF Original'!B697="","",IF(TRIM('DDF Original'!I697)="",0,'DDF Original'!I697))</f>
        <v/>
      </c>
      <c r="F697" s="20" t="str">
        <f t="shared" si="71"/>
        <v/>
      </c>
      <c r="G697" s="37" t="str">
        <f>IF('DDF Original'!B697="","",IF(TRIM('DDF Original'!P697)="",0,'DDF Original'!P697))</f>
        <v/>
      </c>
      <c r="H697" s="20" t="str">
        <f t="shared" si="72"/>
        <v/>
      </c>
      <c r="I697" s="25" t="str">
        <f t="shared" si="73"/>
        <v/>
      </c>
      <c r="J697" s="20" t="str">
        <f t="shared" si="74"/>
        <v/>
      </c>
      <c r="K697" s="20" t="str">
        <f t="shared" si="75"/>
        <v/>
      </c>
      <c r="L697" s="20" t="str">
        <f>IF(B697="","",70*'DDF Original'!$Q$4)</f>
        <v/>
      </c>
      <c r="M697" s="20" t="str">
        <f t="shared" si="76"/>
        <v/>
      </c>
      <c r="N697" s="20" t="str">
        <f>IF(AND(OR(B697="",J697&gt;G697,M697&gt;G697),'DDF Original'!L697&lt;&gt; "MI"),G697,IF(M697&gt;J697,M697,J697))</f>
        <v/>
      </c>
    </row>
    <row r="698" spans="2:14" x14ac:dyDescent="0.2">
      <c r="B698" s="19" t="str">
        <f>IF('DDF Original'!B698="","",'DDF Original'!B698)</f>
        <v/>
      </c>
      <c r="C698" s="19" t="e">
        <f t="shared" si="70"/>
        <v>#VALUE!</v>
      </c>
      <c r="D698" s="20" t="str">
        <f>IF('DDF Original'!C698="","",'DDF Original'!C698)</f>
        <v/>
      </c>
      <c r="E698" s="24" t="str">
        <f>IF('DDF Original'!B698="","",IF(TRIM('DDF Original'!I698)="",0,'DDF Original'!I698))</f>
        <v/>
      </c>
      <c r="F698" s="20" t="str">
        <f t="shared" si="71"/>
        <v/>
      </c>
      <c r="G698" s="37" t="str">
        <f>IF('DDF Original'!B698="","",IF(TRIM('DDF Original'!P698)="",0,'DDF Original'!P698))</f>
        <v/>
      </c>
      <c r="H698" s="20" t="str">
        <f t="shared" si="72"/>
        <v/>
      </c>
      <c r="I698" s="25" t="str">
        <f t="shared" si="73"/>
        <v/>
      </c>
      <c r="J698" s="20" t="str">
        <f t="shared" si="74"/>
        <v/>
      </c>
      <c r="K698" s="20" t="str">
        <f t="shared" si="75"/>
        <v/>
      </c>
      <c r="L698" s="20" t="str">
        <f>IF(B698="","",70*'DDF Original'!$Q$4)</f>
        <v/>
      </c>
      <c r="M698" s="20" t="str">
        <f t="shared" si="76"/>
        <v/>
      </c>
      <c r="N698" s="20" t="str">
        <f>IF(AND(OR(B698="",J698&gt;G698,M698&gt;G698),'DDF Original'!L698&lt;&gt; "MI"),G698,IF(M698&gt;J698,M698,J698))</f>
        <v/>
      </c>
    </row>
    <row r="699" spans="2:14" x14ac:dyDescent="0.2">
      <c r="B699" s="19" t="str">
        <f>IF('DDF Original'!B699="","",'DDF Original'!B699)</f>
        <v/>
      </c>
      <c r="C699" s="19" t="e">
        <f t="shared" si="70"/>
        <v>#VALUE!</v>
      </c>
      <c r="D699" s="20" t="str">
        <f>IF('DDF Original'!C699="","",'DDF Original'!C699)</f>
        <v/>
      </c>
      <c r="E699" s="24" t="str">
        <f>IF('DDF Original'!B699="","",IF(TRIM('DDF Original'!I699)="",0,'DDF Original'!I699))</f>
        <v/>
      </c>
      <c r="F699" s="20" t="str">
        <f t="shared" si="71"/>
        <v/>
      </c>
      <c r="G699" s="37" t="str">
        <f>IF('DDF Original'!B699="","",IF(TRIM('DDF Original'!P699)="",0,'DDF Original'!P699))</f>
        <v/>
      </c>
      <c r="H699" s="20" t="str">
        <f t="shared" si="72"/>
        <v/>
      </c>
      <c r="I699" s="25" t="str">
        <f t="shared" si="73"/>
        <v/>
      </c>
      <c r="J699" s="20" t="str">
        <f t="shared" si="74"/>
        <v/>
      </c>
      <c r="K699" s="20" t="str">
        <f t="shared" si="75"/>
        <v/>
      </c>
      <c r="L699" s="20" t="str">
        <f>IF(B699="","",70*'DDF Original'!$Q$4)</f>
        <v/>
      </c>
      <c r="M699" s="20" t="str">
        <f t="shared" si="76"/>
        <v/>
      </c>
      <c r="N699" s="20" t="str">
        <f>IF(AND(OR(B699="",J699&gt;G699,M699&gt;G699),'DDF Original'!L699&lt;&gt; "MI"),G699,IF(M699&gt;J699,M699,J699))</f>
        <v/>
      </c>
    </row>
    <row r="700" spans="2:14" x14ac:dyDescent="0.2">
      <c r="B700" s="19" t="str">
        <f>IF('DDF Original'!B700="","",'DDF Original'!B700)</f>
        <v/>
      </c>
      <c r="C700" s="19" t="e">
        <f t="shared" si="70"/>
        <v>#VALUE!</v>
      </c>
      <c r="D700" s="20" t="str">
        <f>IF('DDF Original'!C700="","",'DDF Original'!C700)</f>
        <v/>
      </c>
      <c r="E700" s="24" t="str">
        <f>IF('DDF Original'!B700="","",IF(TRIM('DDF Original'!I700)="",0,'DDF Original'!I700))</f>
        <v/>
      </c>
      <c r="F700" s="20" t="str">
        <f t="shared" si="71"/>
        <v/>
      </c>
      <c r="G700" s="37" t="str">
        <f>IF('DDF Original'!B700="","",IF(TRIM('DDF Original'!P700)="",0,'DDF Original'!P700))</f>
        <v/>
      </c>
      <c r="H700" s="20" t="str">
        <f t="shared" si="72"/>
        <v/>
      </c>
      <c r="I700" s="25" t="str">
        <f t="shared" si="73"/>
        <v/>
      </c>
      <c r="J700" s="20" t="str">
        <f t="shared" si="74"/>
        <v/>
      </c>
      <c r="K700" s="20" t="str">
        <f t="shared" si="75"/>
        <v/>
      </c>
      <c r="L700" s="20" t="str">
        <f>IF(B700="","",70*'DDF Original'!$Q$4)</f>
        <v/>
      </c>
      <c r="M700" s="20" t="str">
        <f t="shared" si="76"/>
        <v/>
      </c>
      <c r="N700" s="20" t="str">
        <f>IF(AND(OR(B700="",J700&gt;G700,M700&gt;G700),'DDF Original'!L700&lt;&gt; "MI"),G700,IF(M700&gt;J700,M700,J700))</f>
        <v/>
      </c>
    </row>
    <row r="701" spans="2:14" x14ac:dyDescent="0.2">
      <c r="B701" s="19" t="str">
        <f>IF('DDF Original'!B701="","",'DDF Original'!B701)</f>
        <v/>
      </c>
      <c r="C701" s="19" t="e">
        <f t="shared" ref="C701:C764" si="77">LEFT(B701,FIND(".",B701)-1)</f>
        <v>#VALUE!</v>
      </c>
      <c r="D701" s="20" t="str">
        <f>IF('DDF Original'!C701="","",'DDF Original'!C701)</f>
        <v/>
      </c>
      <c r="E701" s="24" t="str">
        <f>IF('DDF Original'!B701="","",IF(TRIM('DDF Original'!I701)="",0,'DDF Original'!I701))</f>
        <v/>
      </c>
      <c r="F701" s="20" t="str">
        <f t="shared" ref="F701:F764" si="78">IF(D701="",D701,ROUND(D701*(1+E701/100),2))</f>
        <v/>
      </c>
      <c r="G701" s="37" t="str">
        <f>IF('DDF Original'!B701="","",IF(TRIM('DDF Original'!P701)="",0,'DDF Original'!P701))</f>
        <v/>
      </c>
      <c r="H701" s="20" t="str">
        <f t="shared" ref="H701:H764" si="79">IF(OR(D701=0,D701=""),G701,F701)</f>
        <v/>
      </c>
      <c r="I701" s="25" t="str">
        <f t="shared" ref="I701:I764" si="80">IF(B701="","",IF(OR(D701=0,D701=""),50,35))</f>
        <v/>
      </c>
      <c r="J701" s="20" t="str">
        <f t="shared" ref="J701:J764" si="81">IF(B701="","",ROUND(H701*I701/100,2))</f>
        <v/>
      </c>
      <c r="K701" s="20" t="str">
        <f t="shared" ref="K701:K764" si="82">IF(B701="","",SUMIFS($J$9:$J$508,$C$9:$C$508,"="&amp;C701))</f>
        <v/>
      </c>
      <c r="L701" s="20" t="str">
        <f>IF(B701="","",70*'DDF Original'!$Q$4)</f>
        <v/>
      </c>
      <c r="M701" s="20" t="str">
        <f t="shared" ref="M701:M764" si="83">IF(B701="","",ROUND(J701/K701*L701,2))</f>
        <v/>
      </c>
      <c r="N701" s="20" t="str">
        <f>IF(AND(OR(B701="",J701&gt;G701,M701&gt;G701),'DDF Original'!L701&lt;&gt; "MI"),G701,IF(M701&gt;J701,M701,J701))</f>
        <v/>
      </c>
    </row>
    <row r="702" spans="2:14" x14ac:dyDescent="0.2">
      <c r="B702" s="19" t="str">
        <f>IF('DDF Original'!B702="","",'DDF Original'!B702)</f>
        <v/>
      </c>
      <c r="C702" s="19" t="e">
        <f t="shared" si="77"/>
        <v>#VALUE!</v>
      </c>
      <c r="D702" s="20" t="str">
        <f>IF('DDF Original'!C702="","",'DDF Original'!C702)</f>
        <v/>
      </c>
      <c r="E702" s="24" t="str">
        <f>IF('DDF Original'!B702="","",IF(TRIM('DDF Original'!I702)="",0,'DDF Original'!I702))</f>
        <v/>
      </c>
      <c r="F702" s="20" t="str">
        <f t="shared" si="78"/>
        <v/>
      </c>
      <c r="G702" s="37" t="str">
        <f>IF('DDF Original'!B702="","",IF(TRIM('DDF Original'!P702)="",0,'DDF Original'!P702))</f>
        <v/>
      </c>
      <c r="H702" s="20" t="str">
        <f t="shared" si="79"/>
        <v/>
      </c>
      <c r="I702" s="25" t="str">
        <f t="shared" si="80"/>
        <v/>
      </c>
      <c r="J702" s="20" t="str">
        <f t="shared" si="81"/>
        <v/>
      </c>
      <c r="K702" s="20" t="str">
        <f t="shared" si="82"/>
        <v/>
      </c>
      <c r="L702" s="20" t="str">
        <f>IF(B702="","",70*'DDF Original'!$Q$4)</f>
        <v/>
      </c>
      <c r="M702" s="20" t="str">
        <f t="shared" si="83"/>
        <v/>
      </c>
      <c r="N702" s="20" t="str">
        <f>IF(AND(OR(B702="",J702&gt;G702,M702&gt;G702),'DDF Original'!L702&lt;&gt; "MI"),G702,IF(M702&gt;J702,M702,J702))</f>
        <v/>
      </c>
    </row>
    <row r="703" spans="2:14" x14ac:dyDescent="0.2">
      <c r="B703" s="19" t="str">
        <f>IF('DDF Original'!B703="","",'DDF Original'!B703)</f>
        <v/>
      </c>
      <c r="C703" s="19" t="e">
        <f t="shared" si="77"/>
        <v>#VALUE!</v>
      </c>
      <c r="D703" s="20" t="str">
        <f>IF('DDF Original'!C703="","",'DDF Original'!C703)</f>
        <v/>
      </c>
      <c r="E703" s="24" t="str">
        <f>IF('DDF Original'!B703="","",IF(TRIM('DDF Original'!I703)="",0,'DDF Original'!I703))</f>
        <v/>
      </c>
      <c r="F703" s="20" t="str">
        <f t="shared" si="78"/>
        <v/>
      </c>
      <c r="G703" s="37" t="str">
        <f>IF('DDF Original'!B703="","",IF(TRIM('DDF Original'!P703)="",0,'DDF Original'!P703))</f>
        <v/>
      </c>
      <c r="H703" s="20" t="str">
        <f t="shared" si="79"/>
        <v/>
      </c>
      <c r="I703" s="25" t="str">
        <f t="shared" si="80"/>
        <v/>
      </c>
      <c r="J703" s="20" t="str">
        <f t="shared" si="81"/>
        <v/>
      </c>
      <c r="K703" s="20" t="str">
        <f t="shared" si="82"/>
        <v/>
      </c>
      <c r="L703" s="20" t="str">
        <f>IF(B703="","",70*'DDF Original'!$Q$4)</f>
        <v/>
      </c>
      <c r="M703" s="20" t="str">
        <f t="shared" si="83"/>
        <v/>
      </c>
      <c r="N703" s="20" t="str">
        <f>IF(AND(OR(B703="",J703&gt;G703,M703&gt;G703),'DDF Original'!L703&lt;&gt; "MI"),G703,IF(M703&gt;J703,M703,J703))</f>
        <v/>
      </c>
    </row>
    <row r="704" spans="2:14" x14ac:dyDescent="0.2">
      <c r="B704" s="19" t="str">
        <f>IF('DDF Original'!B704="","",'DDF Original'!B704)</f>
        <v/>
      </c>
      <c r="C704" s="19" t="e">
        <f t="shared" si="77"/>
        <v>#VALUE!</v>
      </c>
      <c r="D704" s="20" t="str">
        <f>IF('DDF Original'!C704="","",'DDF Original'!C704)</f>
        <v/>
      </c>
      <c r="E704" s="24" t="str">
        <f>IF('DDF Original'!B704="","",IF(TRIM('DDF Original'!I704)="",0,'DDF Original'!I704))</f>
        <v/>
      </c>
      <c r="F704" s="20" t="str">
        <f t="shared" si="78"/>
        <v/>
      </c>
      <c r="G704" s="37" t="str">
        <f>IF('DDF Original'!B704="","",IF(TRIM('DDF Original'!P704)="",0,'DDF Original'!P704))</f>
        <v/>
      </c>
      <c r="H704" s="20" t="str">
        <f t="shared" si="79"/>
        <v/>
      </c>
      <c r="I704" s="25" t="str">
        <f t="shared" si="80"/>
        <v/>
      </c>
      <c r="J704" s="20" t="str">
        <f t="shared" si="81"/>
        <v/>
      </c>
      <c r="K704" s="20" t="str">
        <f t="shared" si="82"/>
        <v/>
      </c>
      <c r="L704" s="20" t="str">
        <f>IF(B704="","",70*'DDF Original'!$Q$4)</f>
        <v/>
      </c>
      <c r="M704" s="20" t="str">
        <f t="shared" si="83"/>
        <v/>
      </c>
      <c r="N704" s="20" t="str">
        <f>IF(AND(OR(B704="",J704&gt;G704,M704&gt;G704),'DDF Original'!L704&lt;&gt; "MI"),G704,IF(M704&gt;J704,M704,J704))</f>
        <v/>
      </c>
    </row>
    <row r="705" spans="2:14" x14ac:dyDescent="0.2">
      <c r="B705" s="19" t="str">
        <f>IF('DDF Original'!B705="","",'DDF Original'!B705)</f>
        <v/>
      </c>
      <c r="C705" s="19" t="e">
        <f t="shared" si="77"/>
        <v>#VALUE!</v>
      </c>
      <c r="D705" s="20" t="str">
        <f>IF('DDF Original'!C705="","",'DDF Original'!C705)</f>
        <v/>
      </c>
      <c r="E705" s="24" t="str">
        <f>IF('DDF Original'!B705="","",IF(TRIM('DDF Original'!I705)="",0,'DDF Original'!I705))</f>
        <v/>
      </c>
      <c r="F705" s="20" t="str">
        <f t="shared" si="78"/>
        <v/>
      </c>
      <c r="G705" s="37" t="str">
        <f>IF('DDF Original'!B705="","",IF(TRIM('DDF Original'!P705)="",0,'DDF Original'!P705))</f>
        <v/>
      </c>
      <c r="H705" s="20" t="str">
        <f t="shared" si="79"/>
        <v/>
      </c>
      <c r="I705" s="25" t="str">
        <f t="shared" si="80"/>
        <v/>
      </c>
      <c r="J705" s="20" t="str">
        <f t="shared" si="81"/>
        <v/>
      </c>
      <c r="K705" s="20" t="str">
        <f t="shared" si="82"/>
        <v/>
      </c>
      <c r="L705" s="20" t="str">
        <f>IF(B705="","",70*'DDF Original'!$Q$4)</f>
        <v/>
      </c>
      <c r="M705" s="20" t="str">
        <f t="shared" si="83"/>
        <v/>
      </c>
      <c r="N705" s="20" t="str">
        <f>IF(AND(OR(B705="",J705&gt;G705,M705&gt;G705),'DDF Original'!L705&lt;&gt; "MI"),G705,IF(M705&gt;J705,M705,J705))</f>
        <v/>
      </c>
    </row>
    <row r="706" spans="2:14" x14ac:dyDescent="0.2">
      <c r="B706" s="19" t="str">
        <f>IF('DDF Original'!B706="","",'DDF Original'!B706)</f>
        <v/>
      </c>
      <c r="C706" s="19" t="e">
        <f t="shared" si="77"/>
        <v>#VALUE!</v>
      </c>
      <c r="D706" s="20" t="str">
        <f>IF('DDF Original'!C706="","",'DDF Original'!C706)</f>
        <v/>
      </c>
      <c r="E706" s="24" t="str">
        <f>IF('DDF Original'!B706="","",IF(TRIM('DDF Original'!I706)="",0,'DDF Original'!I706))</f>
        <v/>
      </c>
      <c r="F706" s="20" t="str">
        <f t="shared" si="78"/>
        <v/>
      </c>
      <c r="G706" s="37" t="str">
        <f>IF('DDF Original'!B706="","",IF(TRIM('DDF Original'!P706)="",0,'DDF Original'!P706))</f>
        <v/>
      </c>
      <c r="H706" s="20" t="str">
        <f t="shared" si="79"/>
        <v/>
      </c>
      <c r="I706" s="25" t="str">
        <f t="shared" si="80"/>
        <v/>
      </c>
      <c r="J706" s="20" t="str">
        <f t="shared" si="81"/>
        <v/>
      </c>
      <c r="K706" s="20" t="str">
        <f t="shared" si="82"/>
        <v/>
      </c>
      <c r="L706" s="20" t="str">
        <f>IF(B706="","",70*'DDF Original'!$Q$4)</f>
        <v/>
      </c>
      <c r="M706" s="20" t="str">
        <f t="shared" si="83"/>
        <v/>
      </c>
      <c r="N706" s="20" t="str">
        <f>IF(AND(OR(B706="",J706&gt;G706,M706&gt;G706),'DDF Original'!L706&lt;&gt; "MI"),G706,IF(M706&gt;J706,M706,J706))</f>
        <v/>
      </c>
    </row>
    <row r="707" spans="2:14" x14ac:dyDescent="0.2">
      <c r="B707" s="19" t="str">
        <f>IF('DDF Original'!B707="","",'DDF Original'!B707)</f>
        <v/>
      </c>
      <c r="C707" s="19" t="e">
        <f t="shared" si="77"/>
        <v>#VALUE!</v>
      </c>
      <c r="D707" s="20" t="str">
        <f>IF('DDF Original'!C707="","",'DDF Original'!C707)</f>
        <v/>
      </c>
      <c r="E707" s="24" t="str">
        <f>IF('DDF Original'!B707="","",IF(TRIM('DDF Original'!I707)="",0,'DDF Original'!I707))</f>
        <v/>
      </c>
      <c r="F707" s="20" t="str">
        <f t="shared" si="78"/>
        <v/>
      </c>
      <c r="G707" s="37" t="str">
        <f>IF('DDF Original'!B707="","",IF(TRIM('DDF Original'!P707)="",0,'DDF Original'!P707))</f>
        <v/>
      </c>
      <c r="H707" s="20" t="str">
        <f t="shared" si="79"/>
        <v/>
      </c>
      <c r="I707" s="25" t="str">
        <f t="shared" si="80"/>
        <v/>
      </c>
      <c r="J707" s="20" t="str">
        <f t="shared" si="81"/>
        <v/>
      </c>
      <c r="K707" s="20" t="str">
        <f t="shared" si="82"/>
        <v/>
      </c>
      <c r="L707" s="20" t="str">
        <f>IF(B707="","",70*'DDF Original'!$Q$4)</f>
        <v/>
      </c>
      <c r="M707" s="20" t="str">
        <f t="shared" si="83"/>
        <v/>
      </c>
      <c r="N707" s="20" t="str">
        <f>IF(AND(OR(B707="",J707&gt;G707,M707&gt;G707),'DDF Original'!L707&lt;&gt; "MI"),G707,IF(M707&gt;J707,M707,J707))</f>
        <v/>
      </c>
    </row>
    <row r="708" spans="2:14" x14ac:dyDescent="0.2">
      <c r="B708" s="19" t="str">
        <f>IF('DDF Original'!B708="","",'DDF Original'!B708)</f>
        <v/>
      </c>
      <c r="C708" s="19" t="e">
        <f t="shared" si="77"/>
        <v>#VALUE!</v>
      </c>
      <c r="D708" s="20" t="str">
        <f>IF('DDF Original'!C708="","",'DDF Original'!C708)</f>
        <v/>
      </c>
      <c r="E708" s="24" t="str">
        <f>IF('DDF Original'!B708="","",IF(TRIM('DDF Original'!I708)="",0,'DDF Original'!I708))</f>
        <v/>
      </c>
      <c r="F708" s="20" t="str">
        <f t="shared" si="78"/>
        <v/>
      </c>
      <c r="G708" s="37" t="str">
        <f>IF('DDF Original'!B708="","",IF(TRIM('DDF Original'!P708)="",0,'DDF Original'!P708))</f>
        <v/>
      </c>
      <c r="H708" s="20" t="str">
        <f t="shared" si="79"/>
        <v/>
      </c>
      <c r="I708" s="25" t="str">
        <f t="shared" si="80"/>
        <v/>
      </c>
      <c r="J708" s="20" t="str">
        <f t="shared" si="81"/>
        <v/>
      </c>
      <c r="K708" s="20" t="str">
        <f t="shared" si="82"/>
        <v/>
      </c>
      <c r="L708" s="20" t="str">
        <f>IF(B708="","",70*'DDF Original'!$Q$4)</f>
        <v/>
      </c>
      <c r="M708" s="20" t="str">
        <f t="shared" si="83"/>
        <v/>
      </c>
      <c r="N708" s="20" t="str">
        <f>IF(AND(OR(B708="",J708&gt;G708,M708&gt;G708),'DDF Original'!L708&lt;&gt; "MI"),G708,IF(M708&gt;J708,M708,J708))</f>
        <v/>
      </c>
    </row>
    <row r="709" spans="2:14" x14ac:dyDescent="0.2">
      <c r="B709" s="19" t="str">
        <f>IF('DDF Original'!B709="","",'DDF Original'!B709)</f>
        <v/>
      </c>
      <c r="C709" s="19" t="e">
        <f t="shared" si="77"/>
        <v>#VALUE!</v>
      </c>
      <c r="D709" s="20" t="str">
        <f>IF('DDF Original'!C709="","",'DDF Original'!C709)</f>
        <v/>
      </c>
      <c r="E709" s="24" t="str">
        <f>IF('DDF Original'!B709="","",IF(TRIM('DDF Original'!I709)="",0,'DDF Original'!I709))</f>
        <v/>
      </c>
      <c r="F709" s="20" t="str">
        <f t="shared" si="78"/>
        <v/>
      </c>
      <c r="G709" s="37" t="str">
        <f>IF('DDF Original'!B709="","",IF(TRIM('DDF Original'!P709)="",0,'DDF Original'!P709))</f>
        <v/>
      </c>
      <c r="H709" s="20" t="str">
        <f t="shared" si="79"/>
        <v/>
      </c>
      <c r="I709" s="25" t="str">
        <f t="shared" si="80"/>
        <v/>
      </c>
      <c r="J709" s="20" t="str">
        <f t="shared" si="81"/>
        <v/>
      </c>
      <c r="K709" s="20" t="str">
        <f t="shared" si="82"/>
        <v/>
      </c>
      <c r="L709" s="20" t="str">
        <f>IF(B709="","",70*'DDF Original'!$Q$4)</f>
        <v/>
      </c>
      <c r="M709" s="20" t="str">
        <f t="shared" si="83"/>
        <v/>
      </c>
      <c r="N709" s="20" t="str">
        <f>IF(AND(OR(B709="",J709&gt;G709,M709&gt;G709),'DDF Original'!L709&lt;&gt; "MI"),G709,IF(M709&gt;J709,M709,J709))</f>
        <v/>
      </c>
    </row>
    <row r="710" spans="2:14" x14ac:dyDescent="0.2">
      <c r="B710" s="19" t="str">
        <f>IF('DDF Original'!B710="","",'DDF Original'!B710)</f>
        <v/>
      </c>
      <c r="C710" s="19" t="e">
        <f t="shared" si="77"/>
        <v>#VALUE!</v>
      </c>
      <c r="D710" s="20" t="str">
        <f>IF('DDF Original'!C710="","",'DDF Original'!C710)</f>
        <v/>
      </c>
      <c r="E710" s="24" t="str">
        <f>IF('DDF Original'!B710="","",IF(TRIM('DDF Original'!I710)="",0,'DDF Original'!I710))</f>
        <v/>
      </c>
      <c r="F710" s="20" t="str">
        <f t="shared" si="78"/>
        <v/>
      </c>
      <c r="G710" s="37" t="str">
        <f>IF('DDF Original'!B710="","",IF(TRIM('DDF Original'!P710)="",0,'DDF Original'!P710))</f>
        <v/>
      </c>
      <c r="H710" s="20" t="str">
        <f t="shared" si="79"/>
        <v/>
      </c>
      <c r="I710" s="25" t="str">
        <f t="shared" si="80"/>
        <v/>
      </c>
      <c r="J710" s="20" t="str">
        <f t="shared" si="81"/>
        <v/>
      </c>
      <c r="K710" s="20" t="str">
        <f t="shared" si="82"/>
        <v/>
      </c>
      <c r="L710" s="20" t="str">
        <f>IF(B710="","",70*'DDF Original'!$Q$4)</f>
        <v/>
      </c>
      <c r="M710" s="20" t="str">
        <f t="shared" si="83"/>
        <v/>
      </c>
      <c r="N710" s="20" t="str">
        <f>IF(AND(OR(B710="",J710&gt;G710,M710&gt;G710),'DDF Original'!L710&lt;&gt; "MI"),G710,IF(M710&gt;J710,M710,J710))</f>
        <v/>
      </c>
    </row>
    <row r="711" spans="2:14" x14ac:dyDescent="0.2">
      <c r="B711" s="19" t="str">
        <f>IF('DDF Original'!B711="","",'DDF Original'!B711)</f>
        <v/>
      </c>
      <c r="C711" s="19" t="e">
        <f t="shared" si="77"/>
        <v>#VALUE!</v>
      </c>
      <c r="D711" s="20" t="str">
        <f>IF('DDF Original'!C711="","",'DDF Original'!C711)</f>
        <v/>
      </c>
      <c r="E711" s="24" t="str">
        <f>IF('DDF Original'!B711="","",IF(TRIM('DDF Original'!I711)="",0,'DDF Original'!I711))</f>
        <v/>
      </c>
      <c r="F711" s="20" t="str">
        <f t="shared" si="78"/>
        <v/>
      </c>
      <c r="G711" s="37" t="str">
        <f>IF('DDF Original'!B711="","",IF(TRIM('DDF Original'!P711)="",0,'DDF Original'!P711))</f>
        <v/>
      </c>
      <c r="H711" s="20" t="str">
        <f t="shared" si="79"/>
        <v/>
      </c>
      <c r="I711" s="25" t="str">
        <f t="shared" si="80"/>
        <v/>
      </c>
      <c r="J711" s="20" t="str">
        <f t="shared" si="81"/>
        <v/>
      </c>
      <c r="K711" s="20" t="str">
        <f t="shared" si="82"/>
        <v/>
      </c>
      <c r="L711" s="20" t="str">
        <f>IF(B711="","",70*'DDF Original'!$Q$4)</f>
        <v/>
      </c>
      <c r="M711" s="20" t="str">
        <f t="shared" si="83"/>
        <v/>
      </c>
      <c r="N711" s="20" t="str">
        <f>IF(AND(OR(B711="",J711&gt;G711,M711&gt;G711),'DDF Original'!L711&lt;&gt; "MI"),G711,IF(M711&gt;J711,M711,J711))</f>
        <v/>
      </c>
    </row>
    <row r="712" spans="2:14" x14ac:dyDescent="0.2">
      <c r="B712" s="19" t="str">
        <f>IF('DDF Original'!B712="","",'DDF Original'!B712)</f>
        <v/>
      </c>
      <c r="C712" s="19" t="e">
        <f t="shared" si="77"/>
        <v>#VALUE!</v>
      </c>
      <c r="D712" s="20" t="str">
        <f>IF('DDF Original'!C712="","",'DDF Original'!C712)</f>
        <v/>
      </c>
      <c r="E712" s="24" t="str">
        <f>IF('DDF Original'!B712="","",IF(TRIM('DDF Original'!I712)="",0,'DDF Original'!I712))</f>
        <v/>
      </c>
      <c r="F712" s="20" t="str">
        <f t="shared" si="78"/>
        <v/>
      </c>
      <c r="G712" s="37" t="str">
        <f>IF('DDF Original'!B712="","",IF(TRIM('DDF Original'!P712)="",0,'DDF Original'!P712))</f>
        <v/>
      </c>
      <c r="H712" s="20" t="str">
        <f t="shared" si="79"/>
        <v/>
      </c>
      <c r="I712" s="25" t="str">
        <f t="shared" si="80"/>
        <v/>
      </c>
      <c r="J712" s="20" t="str">
        <f t="shared" si="81"/>
        <v/>
      </c>
      <c r="K712" s="20" t="str">
        <f t="shared" si="82"/>
        <v/>
      </c>
      <c r="L712" s="20" t="str">
        <f>IF(B712="","",70*'DDF Original'!$Q$4)</f>
        <v/>
      </c>
      <c r="M712" s="20" t="str">
        <f t="shared" si="83"/>
        <v/>
      </c>
      <c r="N712" s="20" t="str">
        <f>IF(AND(OR(B712="",J712&gt;G712,M712&gt;G712),'DDF Original'!L712&lt;&gt; "MI"),G712,IF(M712&gt;J712,M712,J712))</f>
        <v/>
      </c>
    </row>
    <row r="713" spans="2:14" x14ac:dyDescent="0.2">
      <c r="B713" s="19" t="str">
        <f>IF('DDF Original'!B713="","",'DDF Original'!B713)</f>
        <v/>
      </c>
      <c r="C713" s="19" t="e">
        <f t="shared" si="77"/>
        <v>#VALUE!</v>
      </c>
      <c r="D713" s="20" t="str">
        <f>IF('DDF Original'!C713="","",'DDF Original'!C713)</f>
        <v/>
      </c>
      <c r="E713" s="24" t="str">
        <f>IF('DDF Original'!B713="","",IF(TRIM('DDF Original'!I713)="",0,'DDF Original'!I713))</f>
        <v/>
      </c>
      <c r="F713" s="20" t="str">
        <f t="shared" si="78"/>
        <v/>
      </c>
      <c r="G713" s="37" t="str">
        <f>IF('DDF Original'!B713="","",IF(TRIM('DDF Original'!P713)="",0,'DDF Original'!P713))</f>
        <v/>
      </c>
      <c r="H713" s="20" t="str">
        <f t="shared" si="79"/>
        <v/>
      </c>
      <c r="I713" s="25" t="str">
        <f t="shared" si="80"/>
        <v/>
      </c>
      <c r="J713" s="20" t="str">
        <f t="shared" si="81"/>
        <v/>
      </c>
      <c r="K713" s="20" t="str">
        <f t="shared" si="82"/>
        <v/>
      </c>
      <c r="L713" s="20" t="str">
        <f>IF(B713="","",70*'DDF Original'!$Q$4)</f>
        <v/>
      </c>
      <c r="M713" s="20" t="str">
        <f t="shared" si="83"/>
        <v/>
      </c>
      <c r="N713" s="20" t="str">
        <f>IF(AND(OR(B713="",J713&gt;G713,M713&gt;G713),'DDF Original'!L713&lt;&gt; "MI"),G713,IF(M713&gt;J713,M713,J713))</f>
        <v/>
      </c>
    </row>
    <row r="714" spans="2:14" x14ac:dyDescent="0.2">
      <c r="B714" s="19" t="str">
        <f>IF('DDF Original'!B714="","",'DDF Original'!B714)</f>
        <v/>
      </c>
      <c r="C714" s="19" t="e">
        <f t="shared" si="77"/>
        <v>#VALUE!</v>
      </c>
      <c r="D714" s="20" t="str">
        <f>IF('DDF Original'!C714="","",'DDF Original'!C714)</f>
        <v/>
      </c>
      <c r="E714" s="24" t="str">
        <f>IF('DDF Original'!B714="","",IF(TRIM('DDF Original'!I714)="",0,'DDF Original'!I714))</f>
        <v/>
      </c>
      <c r="F714" s="20" t="str">
        <f t="shared" si="78"/>
        <v/>
      </c>
      <c r="G714" s="37" t="str">
        <f>IF('DDF Original'!B714="","",IF(TRIM('DDF Original'!P714)="",0,'DDF Original'!P714))</f>
        <v/>
      </c>
      <c r="H714" s="20" t="str">
        <f t="shared" si="79"/>
        <v/>
      </c>
      <c r="I714" s="25" t="str">
        <f t="shared" si="80"/>
        <v/>
      </c>
      <c r="J714" s="20" t="str">
        <f t="shared" si="81"/>
        <v/>
      </c>
      <c r="K714" s="20" t="str">
        <f t="shared" si="82"/>
        <v/>
      </c>
      <c r="L714" s="20" t="str">
        <f>IF(B714="","",70*'DDF Original'!$Q$4)</f>
        <v/>
      </c>
      <c r="M714" s="20" t="str">
        <f t="shared" si="83"/>
        <v/>
      </c>
      <c r="N714" s="20" t="str">
        <f>IF(AND(OR(B714="",J714&gt;G714,M714&gt;G714),'DDF Original'!L714&lt;&gt; "MI"),G714,IF(M714&gt;J714,M714,J714))</f>
        <v/>
      </c>
    </row>
    <row r="715" spans="2:14" x14ac:dyDescent="0.2">
      <c r="B715" s="19" t="str">
        <f>IF('DDF Original'!B715="","",'DDF Original'!B715)</f>
        <v/>
      </c>
      <c r="C715" s="19" t="e">
        <f t="shared" si="77"/>
        <v>#VALUE!</v>
      </c>
      <c r="D715" s="20" t="str">
        <f>IF('DDF Original'!C715="","",'DDF Original'!C715)</f>
        <v/>
      </c>
      <c r="E715" s="24" t="str">
        <f>IF('DDF Original'!B715="","",IF(TRIM('DDF Original'!I715)="",0,'DDF Original'!I715))</f>
        <v/>
      </c>
      <c r="F715" s="20" t="str">
        <f t="shared" si="78"/>
        <v/>
      </c>
      <c r="G715" s="37" t="str">
        <f>IF('DDF Original'!B715="","",IF(TRIM('DDF Original'!P715)="",0,'DDF Original'!P715))</f>
        <v/>
      </c>
      <c r="H715" s="20" t="str">
        <f t="shared" si="79"/>
        <v/>
      </c>
      <c r="I715" s="25" t="str">
        <f t="shared" si="80"/>
        <v/>
      </c>
      <c r="J715" s="20" t="str">
        <f t="shared" si="81"/>
        <v/>
      </c>
      <c r="K715" s="20" t="str">
        <f t="shared" si="82"/>
        <v/>
      </c>
      <c r="L715" s="20" t="str">
        <f>IF(B715="","",70*'DDF Original'!$Q$4)</f>
        <v/>
      </c>
      <c r="M715" s="20" t="str">
        <f t="shared" si="83"/>
        <v/>
      </c>
      <c r="N715" s="20" t="str">
        <f>IF(AND(OR(B715="",J715&gt;G715,M715&gt;G715),'DDF Original'!L715&lt;&gt; "MI"),G715,IF(M715&gt;J715,M715,J715))</f>
        <v/>
      </c>
    </row>
    <row r="716" spans="2:14" x14ac:dyDescent="0.2">
      <c r="B716" s="19" t="str">
        <f>IF('DDF Original'!B716="","",'DDF Original'!B716)</f>
        <v/>
      </c>
      <c r="C716" s="19" t="e">
        <f t="shared" si="77"/>
        <v>#VALUE!</v>
      </c>
      <c r="D716" s="20" t="str">
        <f>IF('DDF Original'!C716="","",'DDF Original'!C716)</f>
        <v/>
      </c>
      <c r="E716" s="24" t="str">
        <f>IF('DDF Original'!B716="","",IF(TRIM('DDF Original'!I716)="",0,'DDF Original'!I716))</f>
        <v/>
      </c>
      <c r="F716" s="20" t="str">
        <f t="shared" si="78"/>
        <v/>
      </c>
      <c r="G716" s="37" t="str">
        <f>IF('DDF Original'!B716="","",IF(TRIM('DDF Original'!P716)="",0,'DDF Original'!P716))</f>
        <v/>
      </c>
      <c r="H716" s="20" t="str">
        <f t="shared" si="79"/>
        <v/>
      </c>
      <c r="I716" s="25" t="str">
        <f t="shared" si="80"/>
        <v/>
      </c>
      <c r="J716" s="20" t="str">
        <f t="shared" si="81"/>
        <v/>
      </c>
      <c r="K716" s="20" t="str">
        <f t="shared" si="82"/>
        <v/>
      </c>
      <c r="L716" s="20" t="str">
        <f>IF(B716="","",70*'DDF Original'!$Q$4)</f>
        <v/>
      </c>
      <c r="M716" s="20" t="str">
        <f t="shared" si="83"/>
        <v/>
      </c>
      <c r="N716" s="20" t="str">
        <f>IF(AND(OR(B716="",J716&gt;G716,M716&gt;G716),'DDF Original'!L716&lt;&gt; "MI"),G716,IF(M716&gt;J716,M716,J716))</f>
        <v/>
      </c>
    </row>
    <row r="717" spans="2:14" x14ac:dyDescent="0.2">
      <c r="B717" s="19" t="str">
        <f>IF('DDF Original'!B717="","",'DDF Original'!B717)</f>
        <v/>
      </c>
      <c r="C717" s="19" t="e">
        <f t="shared" si="77"/>
        <v>#VALUE!</v>
      </c>
      <c r="D717" s="20" t="str">
        <f>IF('DDF Original'!C717="","",'DDF Original'!C717)</f>
        <v/>
      </c>
      <c r="E717" s="24" t="str">
        <f>IF('DDF Original'!B717="","",IF(TRIM('DDF Original'!I717)="",0,'DDF Original'!I717))</f>
        <v/>
      </c>
      <c r="F717" s="20" t="str">
        <f t="shared" si="78"/>
        <v/>
      </c>
      <c r="G717" s="37" t="str">
        <f>IF('DDF Original'!B717="","",IF(TRIM('DDF Original'!P717)="",0,'DDF Original'!P717))</f>
        <v/>
      </c>
      <c r="H717" s="20" t="str">
        <f t="shared" si="79"/>
        <v/>
      </c>
      <c r="I717" s="25" t="str">
        <f t="shared" si="80"/>
        <v/>
      </c>
      <c r="J717" s="20" t="str">
        <f t="shared" si="81"/>
        <v/>
      </c>
      <c r="K717" s="20" t="str">
        <f t="shared" si="82"/>
        <v/>
      </c>
      <c r="L717" s="20" t="str">
        <f>IF(B717="","",70*'DDF Original'!$Q$4)</f>
        <v/>
      </c>
      <c r="M717" s="20" t="str">
        <f t="shared" si="83"/>
        <v/>
      </c>
      <c r="N717" s="20" t="str">
        <f>IF(AND(OR(B717="",J717&gt;G717,M717&gt;G717),'DDF Original'!L717&lt;&gt; "MI"),G717,IF(M717&gt;J717,M717,J717))</f>
        <v/>
      </c>
    </row>
    <row r="718" spans="2:14" x14ac:dyDescent="0.2">
      <c r="B718" s="19" t="str">
        <f>IF('DDF Original'!B718="","",'DDF Original'!B718)</f>
        <v/>
      </c>
      <c r="C718" s="19" t="e">
        <f t="shared" si="77"/>
        <v>#VALUE!</v>
      </c>
      <c r="D718" s="20" t="str">
        <f>IF('DDF Original'!C718="","",'DDF Original'!C718)</f>
        <v/>
      </c>
      <c r="E718" s="24" t="str">
        <f>IF('DDF Original'!B718="","",IF(TRIM('DDF Original'!I718)="",0,'DDF Original'!I718))</f>
        <v/>
      </c>
      <c r="F718" s="20" t="str">
        <f t="shared" si="78"/>
        <v/>
      </c>
      <c r="G718" s="37" t="str">
        <f>IF('DDF Original'!B718="","",IF(TRIM('DDF Original'!P718)="",0,'DDF Original'!P718))</f>
        <v/>
      </c>
      <c r="H718" s="20" t="str">
        <f t="shared" si="79"/>
        <v/>
      </c>
      <c r="I718" s="25" t="str">
        <f t="shared" si="80"/>
        <v/>
      </c>
      <c r="J718" s="20" t="str">
        <f t="shared" si="81"/>
        <v/>
      </c>
      <c r="K718" s="20" t="str">
        <f t="shared" si="82"/>
        <v/>
      </c>
      <c r="L718" s="20" t="str">
        <f>IF(B718="","",70*'DDF Original'!$Q$4)</f>
        <v/>
      </c>
      <c r="M718" s="20" t="str">
        <f t="shared" si="83"/>
        <v/>
      </c>
      <c r="N718" s="20" t="str">
        <f>IF(AND(OR(B718="",J718&gt;G718,M718&gt;G718),'DDF Original'!L718&lt;&gt; "MI"),G718,IF(M718&gt;J718,M718,J718))</f>
        <v/>
      </c>
    </row>
    <row r="719" spans="2:14" x14ac:dyDescent="0.2">
      <c r="B719" s="19" t="str">
        <f>IF('DDF Original'!B719="","",'DDF Original'!B719)</f>
        <v/>
      </c>
      <c r="C719" s="19" t="e">
        <f t="shared" si="77"/>
        <v>#VALUE!</v>
      </c>
      <c r="D719" s="20" t="str">
        <f>IF('DDF Original'!C719="","",'DDF Original'!C719)</f>
        <v/>
      </c>
      <c r="E719" s="24" t="str">
        <f>IF('DDF Original'!B719="","",IF(TRIM('DDF Original'!I719)="",0,'DDF Original'!I719))</f>
        <v/>
      </c>
      <c r="F719" s="20" t="str">
        <f t="shared" si="78"/>
        <v/>
      </c>
      <c r="G719" s="37" t="str">
        <f>IF('DDF Original'!B719="","",IF(TRIM('DDF Original'!P719)="",0,'DDF Original'!P719))</f>
        <v/>
      </c>
      <c r="H719" s="20" t="str">
        <f t="shared" si="79"/>
        <v/>
      </c>
      <c r="I719" s="25" t="str">
        <f t="shared" si="80"/>
        <v/>
      </c>
      <c r="J719" s="20" t="str">
        <f t="shared" si="81"/>
        <v/>
      </c>
      <c r="K719" s="20" t="str">
        <f t="shared" si="82"/>
        <v/>
      </c>
      <c r="L719" s="20" t="str">
        <f>IF(B719="","",70*'DDF Original'!$Q$4)</f>
        <v/>
      </c>
      <c r="M719" s="20" t="str">
        <f t="shared" si="83"/>
        <v/>
      </c>
      <c r="N719" s="20" t="str">
        <f>IF(AND(OR(B719="",J719&gt;G719,M719&gt;G719),'DDF Original'!L719&lt;&gt; "MI"),G719,IF(M719&gt;J719,M719,J719))</f>
        <v/>
      </c>
    </row>
    <row r="720" spans="2:14" x14ac:dyDescent="0.2">
      <c r="B720" s="19" t="str">
        <f>IF('DDF Original'!B720="","",'DDF Original'!B720)</f>
        <v/>
      </c>
      <c r="C720" s="19" t="e">
        <f t="shared" si="77"/>
        <v>#VALUE!</v>
      </c>
      <c r="D720" s="20" t="str">
        <f>IF('DDF Original'!C720="","",'DDF Original'!C720)</f>
        <v/>
      </c>
      <c r="E720" s="24" t="str">
        <f>IF('DDF Original'!B720="","",IF(TRIM('DDF Original'!I720)="",0,'DDF Original'!I720))</f>
        <v/>
      </c>
      <c r="F720" s="20" t="str">
        <f t="shared" si="78"/>
        <v/>
      </c>
      <c r="G720" s="37" t="str">
        <f>IF('DDF Original'!B720="","",IF(TRIM('DDF Original'!P720)="",0,'DDF Original'!P720))</f>
        <v/>
      </c>
      <c r="H720" s="20" t="str">
        <f t="shared" si="79"/>
        <v/>
      </c>
      <c r="I720" s="25" t="str">
        <f t="shared" si="80"/>
        <v/>
      </c>
      <c r="J720" s="20" t="str">
        <f t="shared" si="81"/>
        <v/>
      </c>
      <c r="K720" s="20" t="str">
        <f t="shared" si="82"/>
        <v/>
      </c>
      <c r="L720" s="20" t="str">
        <f>IF(B720="","",70*'DDF Original'!$Q$4)</f>
        <v/>
      </c>
      <c r="M720" s="20" t="str">
        <f t="shared" si="83"/>
        <v/>
      </c>
      <c r="N720" s="20" t="str">
        <f>IF(AND(OR(B720="",J720&gt;G720,M720&gt;G720),'DDF Original'!L720&lt;&gt; "MI"),G720,IF(M720&gt;J720,M720,J720))</f>
        <v/>
      </c>
    </row>
    <row r="721" spans="2:14" x14ac:dyDescent="0.2">
      <c r="B721" s="19" t="str">
        <f>IF('DDF Original'!B721="","",'DDF Original'!B721)</f>
        <v/>
      </c>
      <c r="C721" s="19" t="e">
        <f t="shared" si="77"/>
        <v>#VALUE!</v>
      </c>
      <c r="D721" s="20" t="str">
        <f>IF('DDF Original'!C721="","",'DDF Original'!C721)</f>
        <v/>
      </c>
      <c r="E721" s="24" t="str">
        <f>IF('DDF Original'!B721="","",IF(TRIM('DDF Original'!I721)="",0,'DDF Original'!I721))</f>
        <v/>
      </c>
      <c r="F721" s="20" t="str">
        <f t="shared" si="78"/>
        <v/>
      </c>
      <c r="G721" s="37" t="str">
        <f>IF('DDF Original'!B721="","",IF(TRIM('DDF Original'!P721)="",0,'DDF Original'!P721))</f>
        <v/>
      </c>
      <c r="H721" s="20" t="str">
        <f t="shared" si="79"/>
        <v/>
      </c>
      <c r="I721" s="25" t="str">
        <f t="shared" si="80"/>
        <v/>
      </c>
      <c r="J721" s="20" t="str">
        <f t="shared" si="81"/>
        <v/>
      </c>
      <c r="K721" s="20" t="str">
        <f t="shared" si="82"/>
        <v/>
      </c>
      <c r="L721" s="20" t="str">
        <f>IF(B721="","",70*'DDF Original'!$Q$4)</f>
        <v/>
      </c>
      <c r="M721" s="20" t="str">
        <f t="shared" si="83"/>
        <v/>
      </c>
      <c r="N721" s="20" t="str">
        <f>IF(AND(OR(B721="",J721&gt;G721,M721&gt;G721),'DDF Original'!L721&lt;&gt; "MI"),G721,IF(M721&gt;J721,M721,J721))</f>
        <v/>
      </c>
    </row>
    <row r="722" spans="2:14" x14ac:dyDescent="0.2">
      <c r="B722" s="19" t="str">
        <f>IF('DDF Original'!B722="","",'DDF Original'!B722)</f>
        <v/>
      </c>
      <c r="C722" s="19" t="e">
        <f t="shared" si="77"/>
        <v>#VALUE!</v>
      </c>
      <c r="D722" s="20" t="str">
        <f>IF('DDF Original'!C722="","",'DDF Original'!C722)</f>
        <v/>
      </c>
      <c r="E722" s="24" t="str">
        <f>IF('DDF Original'!B722="","",IF(TRIM('DDF Original'!I722)="",0,'DDF Original'!I722))</f>
        <v/>
      </c>
      <c r="F722" s="20" t="str">
        <f t="shared" si="78"/>
        <v/>
      </c>
      <c r="G722" s="37" t="str">
        <f>IF('DDF Original'!B722="","",IF(TRIM('DDF Original'!P722)="",0,'DDF Original'!P722))</f>
        <v/>
      </c>
      <c r="H722" s="20" t="str">
        <f t="shared" si="79"/>
        <v/>
      </c>
      <c r="I722" s="25" t="str">
        <f t="shared" si="80"/>
        <v/>
      </c>
      <c r="J722" s="20" t="str">
        <f t="shared" si="81"/>
        <v/>
      </c>
      <c r="K722" s="20" t="str">
        <f t="shared" si="82"/>
        <v/>
      </c>
      <c r="L722" s="20" t="str">
        <f>IF(B722="","",70*'DDF Original'!$Q$4)</f>
        <v/>
      </c>
      <c r="M722" s="20" t="str">
        <f t="shared" si="83"/>
        <v/>
      </c>
      <c r="N722" s="20" t="str">
        <f>IF(AND(OR(B722="",J722&gt;G722,M722&gt;G722),'DDF Original'!L722&lt;&gt; "MI"),G722,IF(M722&gt;J722,M722,J722))</f>
        <v/>
      </c>
    </row>
    <row r="723" spans="2:14" x14ac:dyDescent="0.2">
      <c r="B723" s="19" t="str">
        <f>IF('DDF Original'!B723="","",'DDF Original'!B723)</f>
        <v/>
      </c>
      <c r="C723" s="19" t="e">
        <f t="shared" si="77"/>
        <v>#VALUE!</v>
      </c>
      <c r="D723" s="20" t="str">
        <f>IF('DDF Original'!C723="","",'DDF Original'!C723)</f>
        <v/>
      </c>
      <c r="E723" s="24" t="str">
        <f>IF('DDF Original'!B723="","",IF(TRIM('DDF Original'!I723)="",0,'DDF Original'!I723))</f>
        <v/>
      </c>
      <c r="F723" s="20" t="str">
        <f t="shared" si="78"/>
        <v/>
      </c>
      <c r="G723" s="37" t="str">
        <f>IF('DDF Original'!B723="","",IF(TRIM('DDF Original'!P723)="",0,'DDF Original'!P723))</f>
        <v/>
      </c>
      <c r="H723" s="20" t="str">
        <f t="shared" si="79"/>
        <v/>
      </c>
      <c r="I723" s="25" t="str">
        <f t="shared" si="80"/>
        <v/>
      </c>
      <c r="J723" s="20" t="str">
        <f t="shared" si="81"/>
        <v/>
      </c>
      <c r="K723" s="20" t="str">
        <f t="shared" si="82"/>
        <v/>
      </c>
      <c r="L723" s="20" t="str">
        <f>IF(B723="","",70*'DDF Original'!$Q$4)</f>
        <v/>
      </c>
      <c r="M723" s="20" t="str">
        <f t="shared" si="83"/>
        <v/>
      </c>
      <c r="N723" s="20" t="str">
        <f>IF(AND(OR(B723="",J723&gt;G723,M723&gt;G723),'DDF Original'!L723&lt;&gt; "MI"),G723,IF(M723&gt;J723,M723,J723))</f>
        <v/>
      </c>
    </row>
    <row r="724" spans="2:14" x14ac:dyDescent="0.2">
      <c r="B724" s="19" t="str">
        <f>IF('DDF Original'!B724="","",'DDF Original'!B724)</f>
        <v/>
      </c>
      <c r="C724" s="19" t="e">
        <f t="shared" si="77"/>
        <v>#VALUE!</v>
      </c>
      <c r="D724" s="20" t="str">
        <f>IF('DDF Original'!C724="","",'DDF Original'!C724)</f>
        <v/>
      </c>
      <c r="E724" s="24" t="str">
        <f>IF('DDF Original'!B724="","",IF(TRIM('DDF Original'!I724)="",0,'DDF Original'!I724))</f>
        <v/>
      </c>
      <c r="F724" s="20" t="str">
        <f t="shared" si="78"/>
        <v/>
      </c>
      <c r="G724" s="37" t="str">
        <f>IF('DDF Original'!B724="","",IF(TRIM('DDF Original'!P724)="",0,'DDF Original'!P724))</f>
        <v/>
      </c>
      <c r="H724" s="20" t="str">
        <f t="shared" si="79"/>
        <v/>
      </c>
      <c r="I724" s="25" t="str">
        <f t="shared" si="80"/>
        <v/>
      </c>
      <c r="J724" s="20" t="str">
        <f t="shared" si="81"/>
        <v/>
      </c>
      <c r="K724" s="20" t="str">
        <f t="shared" si="82"/>
        <v/>
      </c>
      <c r="L724" s="20" t="str">
        <f>IF(B724="","",70*'DDF Original'!$Q$4)</f>
        <v/>
      </c>
      <c r="M724" s="20" t="str">
        <f t="shared" si="83"/>
        <v/>
      </c>
      <c r="N724" s="20" t="str">
        <f>IF(AND(OR(B724="",J724&gt;G724,M724&gt;G724),'DDF Original'!L724&lt;&gt; "MI"),G724,IF(M724&gt;J724,M724,J724))</f>
        <v/>
      </c>
    </row>
    <row r="725" spans="2:14" x14ac:dyDescent="0.2">
      <c r="B725" s="19" t="str">
        <f>IF('DDF Original'!B725="","",'DDF Original'!B725)</f>
        <v/>
      </c>
      <c r="C725" s="19" t="e">
        <f t="shared" si="77"/>
        <v>#VALUE!</v>
      </c>
      <c r="D725" s="20" t="str">
        <f>IF('DDF Original'!C725="","",'DDF Original'!C725)</f>
        <v/>
      </c>
      <c r="E725" s="24" t="str">
        <f>IF('DDF Original'!B725="","",IF(TRIM('DDF Original'!I725)="",0,'DDF Original'!I725))</f>
        <v/>
      </c>
      <c r="F725" s="20" t="str">
        <f t="shared" si="78"/>
        <v/>
      </c>
      <c r="G725" s="37" t="str">
        <f>IF('DDF Original'!B725="","",IF(TRIM('DDF Original'!P725)="",0,'DDF Original'!P725))</f>
        <v/>
      </c>
      <c r="H725" s="20" t="str">
        <f t="shared" si="79"/>
        <v/>
      </c>
      <c r="I725" s="25" t="str">
        <f t="shared" si="80"/>
        <v/>
      </c>
      <c r="J725" s="20" t="str">
        <f t="shared" si="81"/>
        <v/>
      </c>
      <c r="K725" s="20" t="str">
        <f t="shared" si="82"/>
        <v/>
      </c>
      <c r="L725" s="20" t="str">
        <f>IF(B725="","",70*'DDF Original'!$Q$4)</f>
        <v/>
      </c>
      <c r="M725" s="20" t="str">
        <f t="shared" si="83"/>
        <v/>
      </c>
      <c r="N725" s="20" t="str">
        <f>IF(AND(OR(B725="",J725&gt;G725,M725&gt;G725),'DDF Original'!L725&lt;&gt; "MI"),G725,IF(M725&gt;J725,M725,J725))</f>
        <v/>
      </c>
    </row>
    <row r="726" spans="2:14" x14ac:dyDescent="0.2">
      <c r="B726" s="19" t="str">
        <f>IF('DDF Original'!B726="","",'DDF Original'!B726)</f>
        <v/>
      </c>
      <c r="C726" s="19" t="e">
        <f t="shared" si="77"/>
        <v>#VALUE!</v>
      </c>
      <c r="D726" s="20" t="str">
        <f>IF('DDF Original'!C726="","",'DDF Original'!C726)</f>
        <v/>
      </c>
      <c r="E726" s="24" t="str">
        <f>IF('DDF Original'!B726="","",IF(TRIM('DDF Original'!I726)="",0,'DDF Original'!I726))</f>
        <v/>
      </c>
      <c r="F726" s="20" t="str">
        <f t="shared" si="78"/>
        <v/>
      </c>
      <c r="G726" s="37" t="str">
        <f>IF('DDF Original'!B726="","",IF(TRIM('DDF Original'!P726)="",0,'DDF Original'!P726))</f>
        <v/>
      </c>
      <c r="H726" s="20" t="str">
        <f t="shared" si="79"/>
        <v/>
      </c>
      <c r="I726" s="25" t="str">
        <f t="shared" si="80"/>
        <v/>
      </c>
      <c r="J726" s="20" t="str">
        <f t="shared" si="81"/>
        <v/>
      </c>
      <c r="K726" s="20" t="str">
        <f t="shared" si="82"/>
        <v/>
      </c>
      <c r="L726" s="20" t="str">
        <f>IF(B726="","",70*'DDF Original'!$Q$4)</f>
        <v/>
      </c>
      <c r="M726" s="20" t="str">
        <f t="shared" si="83"/>
        <v/>
      </c>
      <c r="N726" s="20" t="str">
        <f>IF(AND(OR(B726="",J726&gt;G726,M726&gt;G726),'DDF Original'!L726&lt;&gt; "MI"),G726,IF(M726&gt;J726,M726,J726))</f>
        <v/>
      </c>
    </row>
    <row r="727" spans="2:14" x14ac:dyDescent="0.2">
      <c r="B727" s="19" t="str">
        <f>IF('DDF Original'!B727="","",'DDF Original'!B727)</f>
        <v/>
      </c>
      <c r="C727" s="19" t="e">
        <f t="shared" si="77"/>
        <v>#VALUE!</v>
      </c>
      <c r="D727" s="20" t="str">
        <f>IF('DDF Original'!C727="","",'DDF Original'!C727)</f>
        <v/>
      </c>
      <c r="E727" s="24" t="str">
        <f>IF('DDF Original'!B727="","",IF(TRIM('DDF Original'!I727)="",0,'DDF Original'!I727))</f>
        <v/>
      </c>
      <c r="F727" s="20" t="str">
        <f t="shared" si="78"/>
        <v/>
      </c>
      <c r="G727" s="37" t="str">
        <f>IF('DDF Original'!B727="","",IF(TRIM('DDF Original'!P727)="",0,'DDF Original'!P727))</f>
        <v/>
      </c>
      <c r="H727" s="20" t="str">
        <f t="shared" si="79"/>
        <v/>
      </c>
      <c r="I727" s="25" t="str">
        <f t="shared" si="80"/>
        <v/>
      </c>
      <c r="J727" s="20" t="str">
        <f t="shared" si="81"/>
        <v/>
      </c>
      <c r="K727" s="20" t="str">
        <f t="shared" si="82"/>
        <v/>
      </c>
      <c r="L727" s="20" t="str">
        <f>IF(B727="","",70*'DDF Original'!$Q$4)</f>
        <v/>
      </c>
      <c r="M727" s="20" t="str">
        <f t="shared" si="83"/>
        <v/>
      </c>
      <c r="N727" s="20" t="str">
        <f>IF(AND(OR(B727="",J727&gt;G727,M727&gt;G727),'DDF Original'!L727&lt;&gt; "MI"),G727,IF(M727&gt;J727,M727,J727))</f>
        <v/>
      </c>
    </row>
    <row r="728" spans="2:14" x14ac:dyDescent="0.2">
      <c r="B728" s="19" t="str">
        <f>IF('DDF Original'!B728="","",'DDF Original'!B728)</f>
        <v/>
      </c>
      <c r="C728" s="19" t="e">
        <f t="shared" si="77"/>
        <v>#VALUE!</v>
      </c>
      <c r="D728" s="20" t="str">
        <f>IF('DDF Original'!C728="","",'DDF Original'!C728)</f>
        <v/>
      </c>
      <c r="E728" s="24" t="str">
        <f>IF('DDF Original'!B728="","",IF(TRIM('DDF Original'!I728)="",0,'DDF Original'!I728))</f>
        <v/>
      </c>
      <c r="F728" s="20" t="str">
        <f t="shared" si="78"/>
        <v/>
      </c>
      <c r="G728" s="37" t="str">
        <f>IF('DDF Original'!B728="","",IF(TRIM('DDF Original'!P728)="",0,'DDF Original'!P728))</f>
        <v/>
      </c>
      <c r="H728" s="20" t="str">
        <f t="shared" si="79"/>
        <v/>
      </c>
      <c r="I728" s="25" t="str">
        <f t="shared" si="80"/>
        <v/>
      </c>
      <c r="J728" s="20" t="str">
        <f t="shared" si="81"/>
        <v/>
      </c>
      <c r="K728" s="20" t="str">
        <f t="shared" si="82"/>
        <v/>
      </c>
      <c r="L728" s="20" t="str">
        <f>IF(B728="","",70*'DDF Original'!$Q$4)</f>
        <v/>
      </c>
      <c r="M728" s="20" t="str">
        <f t="shared" si="83"/>
        <v/>
      </c>
      <c r="N728" s="20" t="str">
        <f>IF(AND(OR(B728="",J728&gt;G728,M728&gt;G728),'DDF Original'!L728&lt;&gt; "MI"),G728,IF(M728&gt;J728,M728,J728))</f>
        <v/>
      </c>
    </row>
    <row r="729" spans="2:14" x14ac:dyDescent="0.2">
      <c r="B729" s="19" t="str">
        <f>IF('DDF Original'!B729="","",'DDF Original'!B729)</f>
        <v/>
      </c>
      <c r="C729" s="19" t="e">
        <f t="shared" si="77"/>
        <v>#VALUE!</v>
      </c>
      <c r="D729" s="20" t="str">
        <f>IF('DDF Original'!C729="","",'DDF Original'!C729)</f>
        <v/>
      </c>
      <c r="E729" s="24" t="str">
        <f>IF('DDF Original'!B729="","",IF(TRIM('DDF Original'!I729)="",0,'DDF Original'!I729))</f>
        <v/>
      </c>
      <c r="F729" s="20" t="str">
        <f t="shared" si="78"/>
        <v/>
      </c>
      <c r="G729" s="37" t="str">
        <f>IF('DDF Original'!B729="","",IF(TRIM('DDF Original'!P729)="",0,'DDF Original'!P729))</f>
        <v/>
      </c>
      <c r="H729" s="20" t="str">
        <f t="shared" si="79"/>
        <v/>
      </c>
      <c r="I729" s="25" t="str">
        <f t="shared" si="80"/>
        <v/>
      </c>
      <c r="J729" s="20" t="str">
        <f t="shared" si="81"/>
        <v/>
      </c>
      <c r="K729" s="20" t="str">
        <f t="shared" si="82"/>
        <v/>
      </c>
      <c r="L729" s="20" t="str">
        <f>IF(B729="","",70*'DDF Original'!$Q$4)</f>
        <v/>
      </c>
      <c r="M729" s="20" t="str">
        <f t="shared" si="83"/>
        <v/>
      </c>
      <c r="N729" s="20" t="str">
        <f>IF(AND(OR(B729="",J729&gt;G729,M729&gt;G729),'DDF Original'!L729&lt;&gt; "MI"),G729,IF(M729&gt;J729,M729,J729))</f>
        <v/>
      </c>
    </row>
    <row r="730" spans="2:14" x14ac:dyDescent="0.2">
      <c r="B730" s="19" t="str">
        <f>IF('DDF Original'!B730="","",'DDF Original'!B730)</f>
        <v/>
      </c>
      <c r="C730" s="19" t="e">
        <f t="shared" si="77"/>
        <v>#VALUE!</v>
      </c>
      <c r="D730" s="20" t="str">
        <f>IF('DDF Original'!C730="","",'DDF Original'!C730)</f>
        <v/>
      </c>
      <c r="E730" s="24" t="str">
        <f>IF('DDF Original'!B730="","",IF(TRIM('DDF Original'!I730)="",0,'DDF Original'!I730))</f>
        <v/>
      </c>
      <c r="F730" s="20" t="str">
        <f t="shared" si="78"/>
        <v/>
      </c>
      <c r="G730" s="37" t="str">
        <f>IF('DDF Original'!B730="","",IF(TRIM('DDF Original'!P730)="",0,'DDF Original'!P730))</f>
        <v/>
      </c>
      <c r="H730" s="20" t="str">
        <f t="shared" si="79"/>
        <v/>
      </c>
      <c r="I730" s="25" t="str">
        <f t="shared" si="80"/>
        <v/>
      </c>
      <c r="J730" s="20" t="str">
        <f t="shared" si="81"/>
        <v/>
      </c>
      <c r="K730" s="20" t="str">
        <f t="shared" si="82"/>
        <v/>
      </c>
      <c r="L730" s="20" t="str">
        <f>IF(B730="","",70*'DDF Original'!$Q$4)</f>
        <v/>
      </c>
      <c r="M730" s="20" t="str">
        <f t="shared" si="83"/>
        <v/>
      </c>
      <c r="N730" s="20" t="str">
        <f>IF(AND(OR(B730="",J730&gt;G730,M730&gt;G730),'DDF Original'!L730&lt;&gt; "MI"),G730,IF(M730&gt;J730,M730,J730))</f>
        <v/>
      </c>
    </row>
    <row r="731" spans="2:14" x14ac:dyDescent="0.2">
      <c r="B731" s="19" t="str">
        <f>IF('DDF Original'!B731="","",'DDF Original'!B731)</f>
        <v/>
      </c>
      <c r="C731" s="19" t="e">
        <f t="shared" si="77"/>
        <v>#VALUE!</v>
      </c>
      <c r="D731" s="20" t="str">
        <f>IF('DDF Original'!C731="","",'DDF Original'!C731)</f>
        <v/>
      </c>
      <c r="E731" s="24" t="str">
        <f>IF('DDF Original'!B731="","",IF(TRIM('DDF Original'!I731)="",0,'DDF Original'!I731))</f>
        <v/>
      </c>
      <c r="F731" s="20" t="str">
        <f t="shared" si="78"/>
        <v/>
      </c>
      <c r="G731" s="37" t="str">
        <f>IF('DDF Original'!B731="","",IF(TRIM('DDF Original'!P731)="",0,'DDF Original'!P731))</f>
        <v/>
      </c>
      <c r="H731" s="20" t="str">
        <f t="shared" si="79"/>
        <v/>
      </c>
      <c r="I731" s="25" t="str">
        <f t="shared" si="80"/>
        <v/>
      </c>
      <c r="J731" s="20" t="str">
        <f t="shared" si="81"/>
        <v/>
      </c>
      <c r="K731" s="20" t="str">
        <f t="shared" si="82"/>
        <v/>
      </c>
      <c r="L731" s="20" t="str">
        <f>IF(B731="","",70*'DDF Original'!$Q$4)</f>
        <v/>
      </c>
      <c r="M731" s="20" t="str">
        <f t="shared" si="83"/>
        <v/>
      </c>
      <c r="N731" s="20" t="str">
        <f>IF(AND(OR(B731="",J731&gt;G731,M731&gt;G731),'DDF Original'!L731&lt;&gt; "MI"),G731,IF(M731&gt;J731,M731,J731))</f>
        <v/>
      </c>
    </row>
    <row r="732" spans="2:14" x14ac:dyDescent="0.2">
      <c r="B732" s="19" t="str">
        <f>IF('DDF Original'!B732="","",'DDF Original'!B732)</f>
        <v/>
      </c>
      <c r="C732" s="19" t="e">
        <f t="shared" si="77"/>
        <v>#VALUE!</v>
      </c>
      <c r="D732" s="20" t="str">
        <f>IF('DDF Original'!C732="","",'DDF Original'!C732)</f>
        <v/>
      </c>
      <c r="E732" s="24" t="str">
        <f>IF('DDF Original'!B732="","",IF(TRIM('DDF Original'!I732)="",0,'DDF Original'!I732))</f>
        <v/>
      </c>
      <c r="F732" s="20" t="str">
        <f t="shared" si="78"/>
        <v/>
      </c>
      <c r="G732" s="37" t="str">
        <f>IF('DDF Original'!B732="","",IF(TRIM('DDF Original'!P732)="",0,'DDF Original'!P732))</f>
        <v/>
      </c>
      <c r="H732" s="20" t="str">
        <f t="shared" si="79"/>
        <v/>
      </c>
      <c r="I732" s="25" t="str">
        <f t="shared" si="80"/>
        <v/>
      </c>
      <c r="J732" s="20" t="str">
        <f t="shared" si="81"/>
        <v/>
      </c>
      <c r="K732" s="20" t="str">
        <f t="shared" si="82"/>
        <v/>
      </c>
      <c r="L732" s="20" t="str">
        <f>IF(B732="","",70*'DDF Original'!$Q$4)</f>
        <v/>
      </c>
      <c r="M732" s="20" t="str">
        <f t="shared" si="83"/>
        <v/>
      </c>
      <c r="N732" s="20" t="str">
        <f>IF(AND(OR(B732="",J732&gt;G732,M732&gt;G732),'DDF Original'!L732&lt;&gt; "MI"),G732,IF(M732&gt;J732,M732,J732))</f>
        <v/>
      </c>
    </row>
    <row r="733" spans="2:14" x14ac:dyDescent="0.2">
      <c r="B733" s="19" t="str">
        <f>IF('DDF Original'!B733="","",'DDF Original'!B733)</f>
        <v/>
      </c>
      <c r="C733" s="19" t="e">
        <f t="shared" si="77"/>
        <v>#VALUE!</v>
      </c>
      <c r="D733" s="20" t="str">
        <f>IF('DDF Original'!C733="","",'DDF Original'!C733)</f>
        <v/>
      </c>
      <c r="E733" s="24" t="str">
        <f>IF('DDF Original'!B733="","",IF(TRIM('DDF Original'!I733)="",0,'DDF Original'!I733))</f>
        <v/>
      </c>
      <c r="F733" s="20" t="str">
        <f t="shared" si="78"/>
        <v/>
      </c>
      <c r="G733" s="37" t="str">
        <f>IF('DDF Original'!B733="","",IF(TRIM('DDF Original'!P733)="",0,'DDF Original'!P733))</f>
        <v/>
      </c>
      <c r="H733" s="20" t="str">
        <f t="shared" si="79"/>
        <v/>
      </c>
      <c r="I733" s="25" t="str">
        <f t="shared" si="80"/>
        <v/>
      </c>
      <c r="J733" s="20" t="str">
        <f t="shared" si="81"/>
        <v/>
      </c>
      <c r="K733" s="20" t="str">
        <f t="shared" si="82"/>
        <v/>
      </c>
      <c r="L733" s="20" t="str">
        <f>IF(B733="","",70*'DDF Original'!$Q$4)</f>
        <v/>
      </c>
      <c r="M733" s="20" t="str">
        <f t="shared" si="83"/>
        <v/>
      </c>
      <c r="N733" s="20" t="str">
        <f>IF(AND(OR(B733="",J733&gt;G733,M733&gt;G733),'DDF Original'!L733&lt;&gt; "MI"),G733,IF(M733&gt;J733,M733,J733))</f>
        <v/>
      </c>
    </row>
    <row r="734" spans="2:14" x14ac:dyDescent="0.2">
      <c r="B734" s="19" t="str">
        <f>IF('DDF Original'!B734="","",'DDF Original'!B734)</f>
        <v/>
      </c>
      <c r="C734" s="19" t="e">
        <f t="shared" si="77"/>
        <v>#VALUE!</v>
      </c>
      <c r="D734" s="20" t="str">
        <f>IF('DDF Original'!C734="","",'DDF Original'!C734)</f>
        <v/>
      </c>
      <c r="E734" s="24" t="str">
        <f>IF('DDF Original'!B734="","",IF(TRIM('DDF Original'!I734)="",0,'DDF Original'!I734))</f>
        <v/>
      </c>
      <c r="F734" s="20" t="str">
        <f t="shared" si="78"/>
        <v/>
      </c>
      <c r="G734" s="37" t="str">
        <f>IF('DDF Original'!B734="","",IF(TRIM('DDF Original'!P734)="",0,'DDF Original'!P734))</f>
        <v/>
      </c>
      <c r="H734" s="20" t="str">
        <f t="shared" si="79"/>
        <v/>
      </c>
      <c r="I734" s="25" t="str">
        <f t="shared" si="80"/>
        <v/>
      </c>
      <c r="J734" s="20" t="str">
        <f t="shared" si="81"/>
        <v/>
      </c>
      <c r="K734" s="20" t="str">
        <f t="shared" si="82"/>
        <v/>
      </c>
      <c r="L734" s="20" t="str">
        <f>IF(B734="","",70*'DDF Original'!$Q$4)</f>
        <v/>
      </c>
      <c r="M734" s="20" t="str">
        <f t="shared" si="83"/>
        <v/>
      </c>
      <c r="N734" s="20" t="str">
        <f>IF(AND(OR(B734="",J734&gt;G734,M734&gt;G734),'DDF Original'!L734&lt;&gt; "MI"),G734,IF(M734&gt;J734,M734,J734))</f>
        <v/>
      </c>
    </row>
    <row r="735" spans="2:14" x14ac:dyDescent="0.2">
      <c r="B735" s="19" t="str">
        <f>IF('DDF Original'!B735="","",'DDF Original'!B735)</f>
        <v/>
      </c>
      <c r="C735" s="19" t="e">
        <f t="shared" si="77"/>
        <v>#VALUE!</v>
      </c>
      <c r="D735" s="20" t="str">
        <f>IF('DDF Original'!C735="","",'DDF Original'!C735)</f>
        <v/>
      </c>
      <c r="E735" s="24" t="str">
        <f>IF('DDF Original'!B735="","",IF(TRIM('DDF Original'!I735)="",0,'DDF Original'!I735))</f>
        <v/>
      </c>
      <c r="F735" s="20" t="str">
        <f t="shared" si="78"/>
        <v/>
      </c>
      <c r="G735" s="37" t="str">
        <f>IF('DDF Original'!B735="","",IF(TRIM('DDF Original'!P735)="",0,'DDF Original'!P735))</f>
        <v/>
      </c>
      <c r="H735" s="20" t="str">
        <f t="shared" si="79"/>
        <v/>
      </c>
      <c r="I735" s="25" t="str">
        <f t="shared" si="80"/>
        <v/>
      </c>
      <c r="J735" s="20" t="str">
        <f t="shared" si="81"/>
        <v/>
      </c>
      <c r="K735" s="20" t="str">
        <f t="shared" si="82"/>
        <v/>
      </c>
      <c r="L735" s="20" t="str">
        <f>IF(B735="","",70*'DDF Original'!$Q$4)</f>
        <v/>
      </c>
      <c r="M735" s="20" t="str">
        <f t="shared" si="83"/>
        <v/>
      </c>
      <c r="N735" s="20" t="str">
        <f>IF(AND(OR(B735="",J735&gt;G735,M735&gt;G735),'DDF Original'!L735&lt;&gt; "MI"),G735,IF(M735&gt;J735,M735,J735))</f>
        <v/>
      </c>
    </row>
    <row r="736" spans="2:14" x14ac:dyDescent="0.2">
      <c r="B736" s="19" t="str">
        <f>IF('DDF Original'!B736="","",'DDF Original'!B736)</f>
        <v/>
      </c>
      <c r="C736" s="19" t="e">
        <f t="shared" si="77"/>
        <v>#VALUE!</v>
      </c>
      <c r="D736" s="20" t="str">
        <f>IF('DDF Original'!C736="","",'DDF Original'!C736)</f>
        <v/>
      </c>
      <c r="E736" s="24" t="str">
        <f>IF('DDF Original'!B736="","",IF(TRIM('DDF Original'!I736)="",0,'DDF Original'!I736))</f>
        <v/>
      </c>
      <c r="F736" s="20" t="str">
        <f t="shared" si="78"/>
        <v/>
      </c>
      <c r="G736" s="37" t="str">
        <f>IF('DDF Original'!B736="","",IF(TRIM('DDF Original'!P736)="",0,'DDF Original'!P736))</f>
        <v/>
      </c>
      <c r="H736" s="20" t="str">
        <f t="shared" si="79"/>
        <v/>
      </c>
      <c r="I736" s="25" t="str">
        <f t="shared" si="80"/>
        <v/>
      </c>
      <c r="J736" s="20" t="str">
        <f t="shared" si="81"/>
        <v/>
      </c>
      <c r="K736" s="20" t="str">
        <f t="shared" si="82"/>
        <v/>
      </c>
      <c r="L736" s="20" t="str">
        <f>IF(B736="","",70*'DDF Original'!$Q$4)</f>
        <v/>
      </c>
      <c r="M736" s="20" t="str">
        <f t="shared" si="83"/>
        <v/>
      </c>
      <c r="N736" s="20" t="str">
        <f>IF(AND(OR(B736="",J736&gt;G736,M736&gt;G736),'DDF Original'!L736&lt;&gt; "MI"),G736,IF(M736&gt;J736,M736,J736))</f>
        <v/>
      </c>
    </row>
    <row r="737" spans="2:14" x14ac:dyDescent="0.2">
      <c r="B737" s="19" t="str">
        <f>IF('DDF Original'!B737="","",'DDF Original'!B737)</f>
        <v/>
      </c>
      <c r="C737" s="19" t="e">
        <f t="shared" si="77"/>
        <v>#VALUE!</v>
      </c>
      <c r="D737" s="20" t="str">
        <f>IF('DDF Original'!C737="","",'DDF Original'!C737)</f>
        <v/>
      </c>
      <c r="E737" s="24" t="str">
        <f>IF('DDF Original'!B737="","",IF(TRIM('DDF Original'!I737)="",0,'DDF Original'!I737))</f>
        <v/>
      </c>
      <c r="F737" s="20" t="str">
        <f t="shared" si="78"/>
        <v/>
      </c>
      <c r="G737" s="37" t="str">
        <f>IF('DDF Original'!B737="","",IF(TRIM('DDF Original'!P737)="",0,'DDF Original'!P737))</f>
        <v/>
      </c>
      <c r="H737" s="20" t="str">
        <f t="shared" si="79"/>
        <v/>
      </c>
      <c r="I737" s="25" t="str">
        <f t="shared" si="80"/>
        <v/>
      </c>
      <c r="J737" s="20" t="str">
        <f t="shared" si="81"/>
        <v/>
      </c>
      <c r="K737" s="20" t="str">
        <f t="shared" si="82"/>
        <v/>
      </c>
      <c r="L737" s="20" t="str">
        <f>IF(B737="","",70*'DDF Original'!$Q$4)</f>
        <v/>
      </c>
      <c r="M737" s="20" t="str">
        <f t="shared" si="83"/>
        <v/>
      </c>
      <c r="N737" s="20" t="str">
        <f>IF(AND(OR(B737="",J737&gt;G737,M737&gt;G737),'DDF Original'!L737&lt;&gt; "MI"),G737,IF(M737&gt;J737,M737,J737))</f>
        <v/>
      </c>
    </row>
    <row r="738" spans="2:14" x14ac:dyDescent="0.2">
      <c r="B738" s="19" t="str">
        <f>IF('DDF Original'!B738="","",'DDF Original'!B738)</f>
        <v/>
      </c>
      <c r="C738" s="19" t="e">
        <f t="shared" si="77"/>
        <v>#VALUE!</v>
      </c>
      <c r="D738" s="20" t="str">
        <f>IF('DDF Original'!C738="","",'DDF Original'!C738)</f>
        <v/>
      </c>
      <c r="E738" s="24" t="str">
        <f>IF('DDF Original'!B738="","",IF(TRIM('DDF Original'!I738)="",0,'DDF Original'!I738))</f>
        <v/>
      </c>
      <c r="F738" s="20" t="str">
        <f t="shared" si="78"/>
        <v/>
      </c>
      <c r="G738" s="37" t="str">
        <f>IF('DDF Original'!B738="","",IF(TRIM('DDF Original'!P738)="",0,'DDF Original'!P738))</f>
        <v/>
      </c>
      <c r="H738" s="20" t="str">
        <f t="shared" si="79"/>
        <v/>
      </c>
      <c r="I738" s="25" t="str">
        <f t="shared" si="80"/>
        <v/>
      </c>
      <c r="J738" s="20" t="str">
        <f t="shared" si="81"/>
        <v/>
      </c>
      <c r="K738" s="20" t="str">
        <f t="shared" si="82"/>
        <v/>
      </c>
      <c r="L738" s="20" t="str">
        <f>IF(B738="","",70*'DDF Original'!$Q$4)</f>
        <v/>
      </c>
      <c r="M738" s="20" t="str">
        <f t="shared" si="83"/>
        <v/>
      </c>
      <c r="N738" s="20" t="str">
        <f>IF(AND(OR(B738="",J738&gt;G738,M738&gt;G738),'DDF Original'!L738&lt;&gt; "MI"),G738,IF(M738&gt;J738,M738,J738))</f>
        <v/>
      </c>
    </row>
    <row r="739" spans="2:14" x14ac:dyDescent="0.2">
      <c r="B739" s="19" t="str">
        <f>IF('DDF Original'!B739="","",'DDF Original'!B739)</f>
        <v/>
      </c>
      <c r="C739" s="19" t="e">
        <f t="shared" si="77"/>
        <v>#VALUE!</v>
      </c>
      <c r="D739" s="20" t="str">
        <f>IF('DDF Original'!C739="","",'DDF Original'!C739)</f>
        <v/>
      </c>
      <c r="E739" s="24" t="str">
        <f>IF('DDF Original'!B739="","",IF(TRIM('DDF Original'!I739)="",0,'DDF Original'!I739))</f>
        <v/>
      </c>
      <c r="F739" s="20" t="str">
        <f t="shared" si="78"/>
        <v/>
      </c>
      <c r="G739" s="37" t="str">
        <f>IF('DDF Original'!B739="","",IF(TRIM('DDF Original'!P739)="",0,'DDF Original'!P739))</f>
        <v/>
      </c>
      <c r="H739" s="20" t="str">
        <f t="shared" si="79"/>
        <v/>
      </c>
      <c r="I739" s="25" t="str">
        <f t="shared" si="80"/>
        <v/>
      </c>
      <c r="J739" s="20" t="str">
        <f t="shared" si="81"/>
        <v/>
      </c>
      <c r="K739" s="20" t="str">
        <f t="shared" si="82"/>
        <v/>
      </c>
      <c r="L739" s="20" t="str">
        <f>IF(B739="","",70*'DDF Original'!$Q$4)</f>
        <v/>
      </c>
      <c r="M739" s="20" t="str">
        <f t="shared" si="83"/>
        <v/>
      </c>
      <c r="N739" s="20" t="str">
        <f>IF(AND(OR(B739="",J739&gt;G739,M739&gt;G739),'DDF Original'!L739&lt;&gt; "MI"),G739,IF(M739&gt;J739,M739,J739))</f>
        <v/>
      </c>
    </row>
    <row r="740" spans="2:14" x14ac:dyDescent="0.2">
      <c r="B740" s="19" t="str">
        <f>IF('DDF Original'!B740="","",'DDF Original'!B740)</f>
        <v/>
      </c>
      <c r="C740" s="19" t="e">
        <f t="shared" si="77"/>
        <v>#VALUE!</v>
      </c>
      <c r="D740" s="20" t="str">
        <f>IF('DDF Original'!C740="","",'DDF Original'!C740)</f>
        <v/>
      </c>
      <c r="E740" s="24" t="str">
        <f>IF('DDF Original'!B740="","",IF(TRIM('DDF Original'!I740)="",0,'DDF Original'!I740))</f>
        <v/>
      </c>
      <c r="F740" s="20" t="str">
        <f t="shared" si="78"/>
        <v/>
      </c>
      <c r="G740" s="37" t="str">
        <f>IF('DDF Original'!B740="","",IF(TRIM('DDF Original'!P740)="",0,'DDF Original'!P740))</f>
        <v/>
      </c>
      <c r="H740" s="20" t="str">
        <f t="shared" si="79"/>
        <v/>
      </c>
      <c r="I740" s="25" t="str">
        <f t="shared" si="80"/>
        <v/>
      </c>
      <c r="J740" s="20" t="str">
        <f t="shared" si="81"/>
        <v/>
      </c>
      <c r="K740" s="20" t="str">
        <f t="shared" si="82"/>
        <v/>
      </c>
      <c r="L740" s="20" t="str">
        <f>IF(B740="","",70*'DDF Original'!$Q$4)</f>
        <v/>
      </c>
      <c r="M740" s="20" t="str">
        <f t="shared" si="83"/>
        <v/>
      </c>
      <c r="N740" s="20" t="str">
        <f>IF(AND(OR(B740="",J740&gt;G740,M740&gt;G740),'DDF Original'!L740&lt;&gt; "MI"),G740,IF(M740&gt;J740,M740,J740))</f>
        <v/>
      </c>
    </row>
    <row r="741" spans="2:14" x14ac:dyDescent="0.2">
      <c r="B741" s="19" t="str">
        <f>IF('DDF Original'!B741="","",'DDF Original'!B741)</f>
        <v/>
      </c>
      <c r="C741" s="19" t="e">
        <f t="shared" si="77"/>
        <v>#VALUE!</v>
      </c>
      <c r="D741" s="20" t="str">
        <f>IF('DDF Original'!C741="","",'DDF Original'!C741)</f>
        <v/>
      </c>
      <c r="E741" s="24" t="str">
        <f>IF('DDF Original'!B741="","",IF(TRIM('DDF Original'!I741)="",0,'DDF Original'!I741))</f>
        <v/>
      </c>
      <c r="F741" s="20" t="str">
        <f t="shared" si="78"/>
        <v/>
      </c>
      <c r="G741" s="37" t="str">
        <f>IF('DDF Original'!B741="","",IF(TRIM('DDF Original'!P741)="",0,'DDF Original'!P741))</f>
        <v/>
      </c>
      <c r="H741" s="20" t="str">
        <f t="shared" si="79"/>
        <v/>
      </c>
      <c r="I741" s="25" t="str">
        <f t="shared" si="80"/>
        <v/>
      </c>
      <c r="J741" s="20" t="str">
        <f t="shared" si="81"/>
        <v/>
      </c>
      <c r="K741" s="20" t="str">
        <f t="shared" si="82"/>
        <v/>
      </c>
      <c r="L741" s="20" t="str">
        <f>IF(B741="","",70*'DDF Original'!$Q$4)</f>
        <v/>
      </c>
      <c r="M741" s="20" t="str">
        <f t="shared" si="83"/>
        <v/>
      </c>
      <c r="N741" s="20" t="str">
        <f>IF(AND(OR(B741="",J741&gt;G741,M741&gt;G741),'DDF Original'!L741&lt;&gt; "MI"),G741,IF(M741&gt;J741,M741,J741))</f>
        <v/>
      </c>
    </row>
    <row r="742" spans="2:14" x14ac:dyDescent="0.2">
      <c r="B742" s="19" t="str">
        <f>IF('DDF Original'!B742="","",'DDF Original'!B742)</f>
        <v/>
      </c>
      <c r="C742" s="19" t="e">
        <f t="shared" si="77"/>
        <v>#VALUE!</v>
      </c>
      <c r="D742" s="20" t="str">
        <f>IF('DDF Original'!C742="","",'DDF Original'!C742)</f>
        <v/>
      </c>
      <c r="E742" s="24" t="str">
        <f>IF('DDF Original'!B742="","",IF(TRIM('DDF Original'!I742)="",0,'DDF Original'!I742))</f>
        <v/>
      </c>
      <c r="F742" s="20" t="str">
        <f t="shared" si="78"/>
        <v/>
      </c>
      <c r="G742" s="37" t="str">
        <f>IF('DDF Original'!B742="","",IF(TRIM('DDF Original'!P742)="",0,'DDF Original'!P742))</f>
        <v/>
      </c>
      <c r="H742" s="20" t="str">
        <f t="shared" si="79"/>
        <v/>
      </c>
      <c r="I742" s="25" t="str">
        <f t="shared" si="80"/>
        <v/>
      </c>
      <c r="J742" s="20" t="str">
        <f t="shared" si="81"/>
        <v/>
      </c>
      <c r="K742" s="20" t="str">
        <f t="shared" si="82"/>
        <v/>
      </c>
      <c r="L742" s="20" t="str">
        <f>IF(B742="","",70*'DDF Original'!$Q$4)</f>
        <v/>
      </c>
      <c r="M742" s="20" t="str">
        <f t="shared" si="83"/>
        <v/>
      </c>
      <c r="N742" s="20" t="str">
        <f>IF(AND(OR(B742="",J742&gt;G742,M742&gt;G742),'DDF Original'!L742&lt;&gt; "MI"),G742,IF(M742&gt;J742,M742,J742))</f>
        <v/>
      </c>
    </row>
    <row r="743" spans="2:14" x14ac:dyDescent="0.2">
      <c r="B743" s="19" t="str">
        <f>IF('DDF Original'!B743="","",'DDF Original'!B743)</f>
        <v/>
      </c>
      <c r="C743" s="19" t="e">
        <f t="shared" si="77"/>
        <v>#VALUE!</v>
      </c>
      <c r="D743" s="20" t="str">
        <f>IF('DDF Original'!C743="","",'DDF Original'!C743)</f>
        <v/>
      </c>
      <c r="E743" s="24" t="str">
        <f>IF('DDF Original'!B743="","",IF(TRIM('DDF Original'!I743)="",0,'DDF Original'!I743))</f>
        <v/>
      </c>
      <c r="F743" s="20" t="str">
        <f t="shared" si="78"/>
        <v/>
      </c>
      <c r="G743" s="37" t="str">
        <f>IF('DDF Original'!B743="","",IF(TRIM('DDF Original'!P743)="",0,'DDF Original'!P743))</f>
        <v/>
      </c>
      <c r="H743" s="20" t="str">
        <f t="shared" si="79"/>
        <v/>
      </c>
      <c r="I743" s="25" t="str">
        <f t="shared" si="80"/>
        <v/>
      </c>
      <c r="J743" s="20" t="str">
        <f t="shared" si="81"/>
        <v/>
      </c>
      <c r="K743" s="20" t="str">
        <f t="shared" si="82"/>
        <v/>
      </c>
      <c r="L743" s="20" t="str">
        <f>IF(B743="","",70*'DDF Original'!$Q$4)</f>
        <v/>
      </c>
      <c r="M743" s="20" t="str">
        <f t="shared" si="83"/>
        <v/>
      </c>
      <c r="N743" s="20" t="str">
        <f>IF(AND(OR(B743="",J743&gt;G743,M743&gt;G743),'DDF Original'!L743&lt;&gt; "MI"),G743,IF(M743&gt;J743,M743,J743))</f>
        <v/>
      </c>
    </row>
    <row r="744" spans="2:14" x14ac:dyDescent="0.2">
      <c r="B744" s="19" t="str">
        <f>IF('DDF Original'!B744="","",'DDF Original'!B744)</f>
        <v/>
      </c>
      <c r="C744" s="19" t="e">
        <f t="shared" si="77"/>
        <v>#VALUE!</v>
      </c>
      <c r="D744" s="20" t="str">
        <f>IF('DDF Original'!C744="","",'DDF Original'!C744)</f>
        <v/>
      </c>
      <c r="E744" s="24" t="str">
        <f>IF('DDF Original'!B744="","",IF(TRIM('DDF Original'!I744)="",0,'DDF Original'!I744))</f>
        <v/>
      </c>
      <c r="F744" s="20" t="str">
        <f t="shared" si="78"/>
        <v/>
      </c>
      <c r="G744" s="37" t="str">
        <f>IF('DDF Original'!B744="","",IF(TRIM('DDF Original'!P744)="",0,'DDF Original'!P744))</f>
        <v/>
      </c>
      <c r="H744" s="20" t="str">
        <f t="shared" si="79"/>
        <v/>
      </c>
      <c r="I744" s="25" t="str">
        <f t="shared" si="80"/>
        <v/>
      </c>
      <c r="J744" s="20" t="str">
        <f t="shared" si="81"/>
        <v/>
      </c>
      <c r="K744" s="20" t="str">
        <f t="shared" si="82"/>
        <v/>
      </c>
      <c r="L744" s="20" t="str">
        <f>IF(B744="","",70*'DDF Original'!$Q$4)</f>
        <v/>
      </c>
      <c r="M744" s="20" t="str">
        <f t="shared" si="83"/>
        <v/>
      </c>
      <c r="N744" s="20" t="str">
        <f>IF(AND(OR(B744="",J744&gt;G744,M744&gt;G744),'DDF Original'!L744&lt;&gt; "MI"),G744,IF(M744&gt;J744,M744,J744))</f>
        <v/>
      </c>
    </row>
    <row r="745" spans="2:14" x14ac:dyDescent="0.2">
      <c r="B745" s="19" t="str">
        <f>IF('DDF Original'!B745="","",'DDF Original'!B745)</f>
        <v/>
      </c>
      <c r="C745" s="19" t="e">
        <f t="shared" si="77"/>
        <v>#VALUE!</v>
      </c>
      <c r="D745" s="20" t="str">
        <f>IF('DDF Original'!C745="","",'DDF Original'!C745)</f>
        <v/>
      </c>
      <c r="E745" s="24" t="str">
        <f>IF('DDF Original'!B745="","",IF(TRIM('DDF Original'!I745)="",0,'DDF Original'!I745))</f>
        <v/>
      </c>
      <c r="F745" s="20" t="str">
        <f t="shared" si="78"/>
        <v/>
      </c>
      <c r="G745" s="37" t="str">
        <f>IF('DDF Original'!B745="","",IF(TRIM('DDF Original'!P745)="",0,'DDF Original'!P745))</f>
        <v/>
      </c>
      <c r="H745" s="20" t="str">
        <f t="shared" si="79"/>
        <v/>
      </c>
      <c r="I745" s="25" t="str">
        <f t="shared" si="80"/>
        <v/>
      </c>
      <c r="J745" s="20" t="str">
        <f t="shared" si="81"/>
        <v/>
      </c>
      <c r="K745" s="20" t="str">
        <f t="shared" si="82"/>
        <v/>
      </c>
      <c r="L745" s="20" t="str">
        <f>IF(B745="","",70*'DDF Original'!$Q$4)</f>
        <v/>
      </c>
      <c r="M745" s="20" t="str">
        <f t="shared" si="83"/>
        <v/>
      </c>
      <c r="N745" s="20" t="str">
        <f>IF(AND(OR(B745="",J745&gt;G745,M745&gt;G745),'DDF Original'!L745&lt;&gt; "MI"),G745,IF(M745&gt;J745,M745,J745))</f>
        <v/>
      </c>
    </row>
    <row r="746" spans="2:14" x14ac:dyDescent="0.2">
      <c r="B746" s="19" t="str">
        <f>IF('DDF Original'!B746="","",'DDF Original'!B746)</f>
        <v/>
      </c>
      <c r="C746" s="19" t="e">
        <f t="shared" si="77"/>
        <v>#VALUE!</v>
      </c>
      <c r="D746" s="20" t="str">
        <f>IF('DDF Original'!C746="","",'DDF Original'!C746)</f>
        <v/>
      </c>
      <c r="E746" s="24" t="str">
        <f>IF('DDF Original'!B746="","",IF(TRIM('DDF Original'!I746)="",0,'DDF Original'!I746))</f>
        <v/>
      </c>
      <c r="F746" s="20" t="str">
        <f t="shared" si="78"/>
        <v/>
      </c>
      <c r="G746" s="37" t="str">
        <f>IF('DDF Original'!B746="","",IF(TRIM('DDF Original'!P746)="",0,'DDF Original'!P746))</f>
        <v/>
      </c>
      <c r="H746" s="20" t="str">
        <f t="shared" si="79"/>
        <v/>
      </c>
      <c r="I746" s="25" t="str">
        <f t="shared" si="80"/>
        <v/>
      </c>
      <c r="J746" s="20" t="str">
        <f t="shared" si="81"/>
        <v/>
      </c>
      <c r="K746" s="20" t="str">
        <f t="shared" si="82"/>
        <v/>
      </c>
      <c r="L746" s="20" t="str">
        <f>IF(B746="","",70*'DDF Original'!$Q$4)</f>
        <v/>
      </c>
      <c r="M746" s="20" t="str">
        <f t="shared" si="83"/>
        <v/>
      </c>
      <c r="N746" s="20" t="str">
        <f>IF(AND(OR(B746="",J746&gt;G746,M746&gt;G746),'DDF Original'!L746&lt;&gt; "MI"),G746,IF(M746&gt;J746,M746,J746))</f>
        <v/>
      </c>
    </row>
    <row r="747" spans="2:14" x14ac:dyDescent="0.2">
      <c r="B747" s="19" t="str">
        <f>IF('DDF Original'!B747="","",'DDF Original'!B747)</f>
        <v/>
      </c>
      <c r="C747" s="19" t="e">
        <f t="shared" si="77"/>
        <v>#VALUE!</v>
      </c>
      <c r="D747" s="20" t="str">
        <f>IF('DDF Original'!C747="","",'DDF Original'!C747)</f>
        <v/>
      </c>
      <c r="E747" s="24" t="str">
        <f>IF('DDF Original'!B747="","",IF(TRIM('DDF Original'!I747)="",0,'DDF Original'!I747))</f>
        <v/>
      </c>
      <c r="F747" s="20" t="str">
        <f t="shared" si="78"/>
        <v/>
      </c>
      <c r="G747" s="37" t="str">
        <f>IF('DDF Original'!B747="","",IF(TRIM('DDF Original'!P747)="",0,'DDF Original'!P747))</f>
        <v/>
      </c>
      <c r="H747" s="20" t="str">
        <f t="shared" si="79"/>
        <v/>
      </c>
      <c r="I747" s="25" t="str">
        <f t="shared" si="80"/>
        <v/>
      </c>
      <c r="J747" s="20" t="str">
        <f t="shared" si="81"/>
        <v/>
      </c>
      <c r="K747" s="20" t="str">
        <f t="shared" si="82"/>
        <v/>
      </c>
      <c r="L747" s="20" t="str">
        <f>IF(B747="","",70*'DDF Original'!$Q$4)</f>
        <v/>
      </c>
      <c r="M747" s="20" t="str">
        <f t="shared" si="83"/>
        <v/>
      </c>
      <c r="N747" s="20" t="str">
        <f>IF(AND(OR(B747="",J747&gt;G747,M747&gt;G747),'DDF Original'!L747&lt;&gt; "MI"),G747,IF(M747&gt;J747,M747,J747))</f>
        <v/>
      </c>
    </row>
    <row r="748" spans="2:14" x14ac:dyDescent="0.2">
      <c r="B748" s="19" t="str">
        <f>IF('DDF Original'!B748="","",'DDF Original'!B748)</f>
        <v/>
      </c>
      <c r="C748" s="19" t="e">
        <f t="shared" si="77"/>
        <v>#VALUE!</v>
      </c>
      <c r="D748" s="20" t="str">
        <f>IF('DDF Original'!C748="","",'DDF Original'!C748)</f>
        <v/>
      </c>
      <c r="E748" s="24" t="str">
        <f>IF('DDF Original'!B748="","",IF(TRIM('DDF Original'!I748)="",0,'DDF Original'!I748))</f>
        <v/>
      </c>
      <c r="F748" s="20" t="str">
        <f t="shared" si="78"/>
        <v/>
      </c>
      <c r="G748" s="37" t="str">
        <f>IF('DDF Original'!B748="","",IF(TRIM('DDF Original'!P748)="",0,'DDF Original'!P748))</f>
        <v/>
      </c>
      <c r="H748" s="20" t="str">
        <f t="shared" si="79"/>
        <v/>
      </c>
      <c r="I748" s="25" t="str">
        <f t="shared" si="80"/>
        <v/>
      </c>
      <c r="J748" s="20" t="str">
        <f t="shared" si="81"/>
        <v/>
      </c>
      <c r="K748" s="20" t="str">
        <f t="shared" si="82"/>
        <v/>
      </c>
      <c r="L748" s="20" t="str">
        <f>IF(B748="","",70*'DDF Original'!$Q$4)</f>
        <v/>
      </c>
      <c r="M748" s="20" t="str">
        <f t="shared" si="83"/>
        <v/>
      </c>
      <c r="N748" s="20" t="str">
        <f>IF(AND(OR(B748="",J748&gt;G748,M748&gt;G748),'DDF Original'!L748&lt;&gt; "MI"),G748,IF(M748&gt;J748,M748,J748))</f>
        <v/>
      </c>
    </row>
    <row r="749" spans="2:14" x14ac:dyDescent="0.2">
      <c r="B749" s="19" t="str">
        <f>IF('DDF Original'!B749="","",'DDF Original'!B749)</f>
        <v/>
      </c>
      <c r="C749" s="19" t="e">
        <f t="shared" si="77"/>
        <v>#VALUE!</v>
      </c>
      <c r="D749" s="20" t="str">
        <f>IF('DDF Original'!C749="","",'DDF Original'!C749)</f>
        <v/>
      </c>
      <c r="E749" s="24" t="str">
        <f>IF('DDF Original'!B749="","",IF(TRIM('DDF Original'!I749)="",0,'DDF Original'!I749))</f>
        <v/>
      </c>
      <c r="F749" s="20" t="str">
        <f t="shared" si="78"/>
        <v/>
      </c>
      <c r="G749" s="37" t="str">
        <f>IF('DDF Original'!B749="","",IF(TRIM('DDF Original'!P749)="",0,'DDF Original'!P749))</f>
        <v/>
      </c>
      <c r="H749" s="20" t="str">
        <f t="shared" si="79"/>
        <v/>
      </c>
      <c r="I749" s="25" t="str">
        <f t="shared" si="80"/>
        <v/>
      </c>
      <c r="J749" s="20" t="str">
        <f t="shared" si="81"/>
        <v/>
      </c>
      <c r="K749" s="20" t="str">
        <f t="shared" si="82"/>
        <v/>
      </c>
      <c r="L749" s="20" t="str">
        <f>IF(B749="","",70*'DDF Original'!$Q$4)</f>
        <v/>
      </c>
      <c r="M749" s="20" t="str">
        <f t="shared" si="83"/>
        <v/>
      </c>
      <c r="N749" s="20" t="str">
        <f>IF(AND(OR(B749="",J749&gt;G749,M749&gt;G749),'DDF Original'!L749&lt;&gt; "MI"),G749,IF(M749&gt;J749,M749,J749))</f>
        <v/>
      </c>
    </row>
    <row r="750" spans="2:14" x14ac:dyDescent="0.2">
      <c r="B750" s="19" t="str">
        <f>IF('DDF Original'!B750="","",'DDF Original'!B750)</f>
        <v/>
      </c>
      <c r="C750" s="19" t="e">
        <f t="shared" si="77"/>
        <v>#VALUE!</v>
      </c>
      <c r="D750" s="20" t="str">
        <f>IF('DDF Original'!C750="","",'DDF Original'!C750)</f>
        <v/>
      </c>
      <c r="E750" s="24" t="str">
        <f>IF('DDF Original'!B750="","",IF(TRIM('DDF Original'!I750)="",0,'DDF Original'!I750))</f>
        <v/>
      </c>
      <c r="F750" s="20" t="str">
        <f t="shared" si="78"/>
        <v/>
      </c>
      <c r="G750" s="37" t="str">
        <f>IF('DDF Original'!B750="","",IF(TRIM('DDF Original'!P750)="",0,'DDF Original'!P750))</f>
        <v/>
      </c>
      <c r="H750" s="20" t="str">
        <f t="shared" si="79"/>
        <v/>
      </c>
      <c r="I750" s="25" t="str">
        <f t="shared" si="80"/>
        <v/>
      </c>
      <c r="J750" s="20" t="str">
        <f t="shared" si="81"/>
        <v/>
      </c>
      <c r="K750" s="20" t="str">
        <f t="shared" si="82"/>
        <v/>
      </c>
      <c r="L750" s="20" t="str">
        <f>IF(B750="","",70*'DDF Original'!$Q$4)</f>
        <v/>
      </c>
      <c r="M750" s="20" t="str">
        <f t="shared" si="83"/>
        <v/>
      </c>
      <c r="N750" s="20" t="str">
        <f>IF(AND(OR(B750="",J750&gt;G750,M750&gt;G750),'DDF Original'!L750&lt;&gt; "MI"),G750,IF(M750&gt;J750,M750,J750))</f>
        <v/>
      </c>
    </row>
    <row r="751" spans="2:14" x14ac:dyDescent="0.2">
      <c r="B751" s="19" t="str">
        <f>IF('DDF Original'!B751="","",'DDF Original'!B751)</f>
        <v/>
      </c>
      <c r="C751" s="19" t="e">
        <f t="shared" si="77"/>
        <v>#VALUE!</v>
      </c>
      <c r="D751" s="20" t="str">
        <f>IF('DDF Original'!C751="","",'DDF Original'!C751)</f>
        <v/>
      </c>
      <c r="E751" s="24" t="str">
        <f>IF('DDF Original'!B751="","",IF(TRIM('DDF Original'!I751)="",0,'DDF Original'!I751))</f>
        <v/>
      </c>
      <c r="F751" s="20" t="str">
        <f t="shared" si="78"/>
        <v/>
      </c>
      <c r="G751" s="37" t="str">
        <f>IF('DDF Original'!B751="","",IF(TRIM('DDF Original'!P751)="",0,'DDF Original'!P751))</f>
        <v/>
      </c>
      <c r="H751" s="20" t="str">
        <f t="shared" si="79"/>
        <v/>
      </c>
      <c r="I751" s="25" t="str">
        <f t="shared" si="80"/>
        <v/>
      </c>
      <c r="J751" s="20" t="str">
        <f t="shared" si="81"/>
        <v/>
      </c>
      <c r="K751" s="20" t="str">
        <f t="shared" si="82"/>
        <v/>
      </c>
      <c r="L751" s="20" t="str">
        <f>IF(B751="","",70*'DDF Original'!$Q$4)</f>
        <v/>
      </c>
      <c r="M751" s="20" t="str">
        <f t="shared" si="83"/>
        <v/>
      </c>
      <c r="N751" s="20" t="str">
        <f>IF(AND(OR(B751="",J751&gt;G751,M751&gt;G751),'DDF Original'!L751&lt;&gt; "MI"),G751,IF(M751&gt;J751,M751,J751))</f>
        <v/>
      </c>
    </row>
    <row r="752" spans="2:14" x14ac:dyDescent="0.2">
      <c r="B752" s="19" t="str">
        <f>IF('DDF Original'!B752="","",'DDF Original'!B752)</f>
        <v/>
      </c>
      <c r="C752" s="19" t="e">
        <f t="shared" si="77"/>
        <v>#VALUE!</v>
      </c>
      <c r="D752" s="20" t="str">
        <f>IF('DDF Original'!C752="","",'DDF Original'!C752)</f>
        <v/>
      </c>
      <c r="E752" s="24" t="str">
        <f>IF('DDF Original'!B752="","",IF(TRIM('DDF Original'!I752)="",0,'DDF Original'!I752))</f>
        <v/>
      </c>
      <c r="F752" s="20" t="str">
        <f t="shared" si="78"/>
        <v/>
      </c>
      <c r="G752" s="37" t="str">
        <f>IF('DDF Original'!B752="","",IF(TRIM('DDF Original'!P752)="",0,'DDF Original'!P752))</f>
        <v/>
      </c>
      <c r="H752" s="20" t="str">
        <f t="shared" si="79"/>
        <v/>
      </c>
      <c r="I752" s="25" t="str">
        <f t="shared" si="80"/>
        <v/>
      </c>
      <c r="J752" s="20" t="str">
        <f t="shared" si="81"/>
        <v/>
      </c>
      <c r="K752" s="20" t="str">
        <f t="shared" si="82"/>
        <v/>
      </c>
      <c r="L752" s="20" t="str">
        <f>IF(B752="","",70*'DDF Original'!$Q$4)</f>
        <v/>
      </c>
      <c r="M752" s="20" t="str">
        <f t="shared" si="83"/>
        <v/>
      </c>
      <c r="N752" s="20" t="str">
        <f>IF(AND(OR(B752="",J752&gt;G752,M752&gt;G752),'DDF Original'!L752&lt;&gt; "MI"),G752,IF(M752&gt;J752,M752,J752))</f>
        <v/>
      </c>
    </row>
    <row r="753" spans="2:14" x14ac:dyDescent="0.2">
      <c r="B753" s="19" t="str">
        <f>IF('DDF Original'!B753="","",'DDF Original'!B753)</f>
        <v/>
      </c>
      <c r="C753" s="19" t="e">
        <f t="shared" si="77"/>
        <v>#VALUE!</v>
      </c>
      <c r="D753" s="20" t="str">
        <f>IF('DDF Original'!C753="","",'DDF Original'!C753)</f>
        <v/>
      </c>
      <c r="E753" s="24" t="str">
        <f>IF('DDF Original'!B753="","",IF(TRIM('DDF Original'!I753)="",0,'DDF Original'!I753))</f>
        <v/>
      </c>
      <c r="F753" s="20" t="str">
        <f t="shared" si="78"/>
        <v/>
      </c>
      <c r="G753" s="37" t="str">
        <f>IF('DDF Original'!B753="","",IF(TRIM('DDF Original'!P753)="",0,'DDF Original'!P753))</f>
        <v/>
      </c>
      <c r="H753" s="20" t="str">
        <f t="shared" si="79"/>
        <v/>
      </c>
      <c r="I753" s="25" t="str">
        <f t="shared" si="80"/>
        <v/>
      </c>
      <c r="J753" s="20" t="str">
        <f t="shared" si="81"/>
        <v/>
      </c>
      <c r="K753" s="20" t="str">
        <f t="shared" si="82"/>
        <v/>
      </c>
      <c r="L753" s="20" t="str">
        <f>IF(B753="","",70*'DDF Original'!$Q$4)</f>
        <v/>
      </c>
      <c r="M753" s="20" t="str">
        <f t="shared" si="83"/>
        <v/>
      </c>
      <c r="N753" s="20" t="str">
        <f>IF(AND(OR(B753="",J753&gt;G753,M753&gt;G753),'DDF Original'!L753&lt;&gt; "MI"),G753,IF(M753&gt;J753,M753,J753))</f>
        <v/>
      </c>
    </row>
    <row r="754" spans="2:14" x14ac:dyDescent="0.2">
      <c r="B754" s="19" t="str">
        <f>IF('DDF Original'!B754="","",'DDF Original'!B754)</f>
        <v/>
      </c>
      <c r="C754" s="19" t="e">
        <f t="shared" si="77"/>
        <v>#VALUE!</v>
      </c>
      <c r="D754" s="20" t="str">
        <f>IF('DDF Original'!C754="","",'DDF Original'!C754)</f>
        <v/>
      </c>
      <c r="E754" s="24" t="str">
        <f>IF('DDF Original'!B754="","",IF(TRIM('DDF Original'!I754)="",0,'DDF Original'!I754))</f>
        <v/>
      </c>
      <c r="F754" s="20" t="str">
        <f t="shared" si="78"/>
        <v/>
      </c>
      <c r="G754" s="37" t="str">
        <f>IF('DDF Original'!B754="","",IF(TRIM('DDF Original'!P754)="",0,'DDF Original'!P754))</f>
        <v/>
      </c>
      <c r="H754" s="20" t="str">
        <f t="shared" si="79"/>
        <v/>
      </c>
      <c r="I754" s="25" t="str">
        <f t="shared" si="80"/>
        <v/>
      </c>
      <c r="J754" s="20" t="str">
        <f t="shared" si="81"/>
        <v/>
      </c>
      <c r="K754" s="20" t="str">
        <f t="shared" si="82"/>
        <v/>
      </c>
      <c r="L754" s="20" t="str">
        <f>IF(B754="","",70*'DDF Original'!$Q$4)</f>
        <v/>
      </c>
      <c r="M754" s="20" t="str">
        <f t="shared" si="83"/>
        <v/>
      </c>
      <c r="N754" s="20" t="str">
        <f>IF(AND(OR(B754="",J754&gt;G754,M754&gt;G754),'DDF Original'!L754&lt;&gt; "MI"),G754,IF(M754&gt;J754,M754,J754))</f>
        <v/>
      </c>
    </row>
    <row r="755" spans="2:14" x14ac:dyDescent="0.2">
      <c r="B755" s="19" t="str">
        <f>IF('DDF Original'!B755="","",'DDF Original'!B755)</f>
        <v/>
      </c>
      <c r="C755" s="19" t="e">
        <f t="shared" si="77"/>
        <v>#VALUE!</v>
      </c>
      <c r="D755" s="20" t="str">
        <f>IF('DDF Original'!C755="","",'DDF Original'!C755)</f>
        <v/>
      </c>
      <c r="E755" s="24" t="str">
        <f>IF('DDF Original'!B755="","",IF(TRIM('DDF Original'!I755)="",0,'DDF Original'!I755))</f>
        <v/>
      </c>
      <c r="F755" s="20" t="str">
        <f t="shared" si="78"/>
        <v/>
      </c>
      <c r="G755" s="37" t="str">
        <f>IF('DDF Original'!B755="","",IF(TRIM('DDF Original'!P755)="",0,'DDF Original'!P755))</f>
        <v/>
      </c>
      <c r="H755" s="20" t="str">
        <f t="shared" si="79"/>
        <v/>
      </c>
      <c r="I755" s="25" t="str">
        <f t="shared" si="80"/>
        <v/>
      </c>
      <c r="J755" s="20" t="str">
        <f t="shared" si="81"/>
        <v/>
      </c>
      <c r="K755" s="20" t="str">
        <f t="shared" si="82"/>
        <v/>
      </c>
      <c r="L755" s="20" t="str">
        <f>IF(B755="","",70*'DDF Original'!$Q$4)</f>
        <v/>
      </c>
      <c r="M755" s="20" t="str">
        <f t="shared" si="83"/>
        <v/>
      </c>
      <c r="N755" s="20" t="str">
        <f>IF(AND(OR(B755="",J755&gt;G755,M755&gt;G755),'DDF Original'!L755&lt;&gt; "MI"),G755,IF(M755&gt;J755,M755,J755))</f>
        <v/>
      </c>
    </row>
    <row r="756" spans="2:14" x14ac:dyDescent="0.2">
      <c r="B756" s="19" t="str">
        <f>IF('DDF Original'!B756="","",'DDF Original'!B756)</f>
        <v/>
      </c>
      <c r="C756" s="19" t="e">
        <f t="shared" si="77"/>
        <v>#VALUE!</v>
      </c>
      <c r="D756" s="20" t="str">
        <f>IF('DDF Original'!C756="","",'DDF Original'!C756)</f>
        <v/>
      </c>
      <c r="E756" s="24" t="str">
        <f>IF('DDF Original'!B756="","",IF(TRIM('DDF Original'!I756)="",0,'DDF Original'!I756))</f>
        <v/>
      </c>
      <c r="F756" s="20" t="str">
        <f t="shared" si="78"/>
        <v/>
      </c>
      <c r="G756" s="37" t="str">
        <f>IF('DDF Original'!B756="","",IF(TRIM('DDF Original'!P756)="",0,'DDF Original'!P756))</f>
        <v/>
      </c>
      <c r="H756" s="20" t="str">
        <f t="shared" si="79"/>
        <v/>
      </c>
      <c r="I756" s="25" t="str">
        <f t="shared" si="80"/>
        <v/>
      </c>
      <c r="J756" s="20" t="str">
        <f t="shared" si="81"/>
        <v/>
      </c>
      <c r="K756" s="20" t="str">
        <f t="shared" si="82"/>
        <v/>
      </c>
      <c r="L756" s="20" t="str">
        <f>IF(B756="","",70*'DDF Original'!$Q$4)</f>
        <v/>
      </c>
      <c r="M756" s="20" t="str">
        <f t="shared" si="83"/>
        <v/>
      </c>
      <c r="N756" s="20" t="str">
        <f>IF(AND(OR(B756="",J756&gt;G756,M756&gt;G756),'DDF Original'!L756&lt;&gt; "MI"),G756,IF(M756&gt;J756,M756,J756))</f>
        <v/>
      </c>
    </row>
    <row r="757" spans="2:14" x14ac:dyDescent="0.2">
      <c r="B757" s="19" t="str">
        <f>IF('DDF Original'!B757="","",'DDF Original'!B757)</f>
        <v/>
      </c>
      <c r="C757" s="19" t="e">
        <f t="shared" si="77"/>
        <v>#VALUE!</v>
      </c>
      <c r="D757" s="20" t="str">
        <f>IF('DDF Original'!C757="","",'DDF Original'!C757)</f>
        <v/>
      </c>
      <c r="E757" s="24" t="str">
        <f>IF('DDF Original'!B757="","",IF(TRIM('DDF Original'!I757)="",0,'DDF Original'!I757))</f>
        <v/>
      </c>
      <c r="F757" s="20" t="str">
        <f t="shared" si="78"/>
        <v/>
      </c>
      <c r="G757" s="37" t="str">
        <f>IF('DDF Original'!B757="","",IF(TRIM('DDF Original'!P757)="",0,'DDF Original'!P757))</f>
        <v/>
      </c>
      <c r="H757" s="20" t="str">
        <f t="shared" si="79"/>
        <v/>
      </c>
      <c r="I757" s="25" t="str">
        <f t="shared" si="80"/>
        <v/>
      </c>
      <c r="J757" s="20" t="str">
        <f t="shared" si="81"/>
        <v/>
      </c>
      <c r="K757" s="20" t="str">
        <f t="shared" si="82"/>
        <v/>
      </c>
      <c r="L757" s="20" t="str">
        <f>IF(B757="","",70*'DDF Original'!$Q$4)</f>
        <v/>
      </c>
      <c r="M757" s="20" t="str">
        <f t="shared" si="83"/>
        <v/>
      </c>
      <c r="N757" s="20" t="str">
        <f>IF(AND(OR(B757="",J757&gt;G757,M757&gt;G757),'DDF Original'!L757&lt;&gt; "MI"),G757,IF(M757&gt;J757,M757,J757))</f>
        <v/>
      </c>
    </row>
    <row r="758" spans="2:14" x14ac:dyDescent="0.2">
      <c r="B758" s="19" t="str">
        <f>IF('DDF Original'!B758="","",'DDF Original'!B758)</f>
        <v/>
      </c>
      <c r="C758" s="19" t="e">
        <f t="shared" si="77"/>
        <v>#VALUE!</v>
      </c>
      <c r="D758" s="20" t="str">
        <f>IF('DDF Original'!C758="","",'DDF Original'!C758)</f>
        <v/>
      </c>
      <c r="E758" s="24" t="str">
        <f>IF('DDF Original'!B758="","",IF(TRIM('DDF Original'!I758)="",0,'DDF Original'!I758))</f>
        <v/>
      </c>
      <c r="F758" s="20" t="str">
        <f t="shared" si="78"/>
        <v/>
      </c>
      <c r="G758" s="37" t="str">
        <f>IF('DDF Original'!B758="","",IF(TRIM('DDF Original'!P758)="",0,'DDF Original'!P758))</f>
        <v/>
      </c>
      <c r="H758" s="20" t="str">
        <f t="shared" si="79"/>
        <v/>
      </c>
      <c r="I758" s="25" t="str">
        <f t="shared" si="80"/>
        <v/>
      </c>
      <c r="J758" s="20" t="str">
        <f t="shared" si="81"/>
        <v/>
      </c>
      <c r="K758" s="20" t="str">
        <f t="shared" si="82"/>
        <v/>
      </c>
      <c r="L758" s="20" t="str">
        <f>IF(B758="","",70*'DDF Original'!$Q$4)</f>
        <v/>
      </c>
      <c r="M758" s="20" t="str">
        <f t="shared" si="83"/>
        <v/>
      </c>
      <c r="N758" s="20" t="str">
        <f>IF(AND(OR(B758="",J758&gt;G758,M758&gt;G758),'DDF Original'!L758&lt;&gt; "MI"),G758,IF(M758&gt;J758,M758,J758))</f>
        <v/>
      </c>
    </row>
    <row r="759" spans="2:14" x14ac:dyDescent="0.2">
      <c r="B759" s="19" t="str">
        <f>IF('DDF Original'!B759="","",'DDF Original'!B759)</f>
        <v/>
      </c>
      <c r="C759" s="19" t="e">
        <f t="shared" si="77"/>
        <v>#VALUE!</v>
      </c>
      <c r="D759" s="20" t="str">
        <f>IF('DDF Original'!C759="","",'DDF Original'!C759)</f>
        <v/>
      </c>
      <c r="E759" s="24" t="str">
        <f>IF('DDF Original'!B759="","",IF(TRIM('DDF Original'!I759)="",0,'DDF Original'!I759))</f>
        <v/>
      </c>
      <c r="F759" s="20" t="str">
        <f t="shared" si="78"/>
        <v/>
      </c>
      <c r="G759" s="37" t="str">
        <f>IF('DDF Original'!B759="","",IF(TRIM('DDF Original'!P759)="",0,'DDF Original'!P759))</f>
        <v/>
      </c>
      <c r="H759" s="20" t="str">
        <f t="shared" si="79"/>
        <v/>
      </c>
      <c r="I759" s="25" t="str">
        <f t="shared" si="80"/>
        <v/>
      </c>
      <c r="J759" s="20" t="str">
        <f t="shared" si="81"/>
        <v/>
      </c>
      <c r="K759" s="20" t="str">
        <f t="shared" si="82"/>
        <v/>
      </c>
      <c r="L759" s="20" t="str">
        <f>IF(B759="","",70*'DDF Original'!$Q$4)</f>
        <v/>
      </c>
      <c r="M759" s="20" t="str">
        <f t="shared" si="83"/>
        <v/>
      </c>
      <c r="N759" s="20" t="str">
        <f>IF(AND(OR(B759="",J759&gt;G759,M759&gt;G759),'DDF Original'!L759&lt;&gt; "MI"),G759,IF(M759&gt;J759,M759,J759))</f>
        <v/>
      </c>
    </row>
    <row r="760" spans="2:14" x14ac:dyDescent="0.2">
      <c r="B760" s="19" t="str">
        <f>IF('DDF Original'!B760="","",'DDF Original'!B760)</f>
        <v/>
      </c>
      <c r="C760" s="19" t="e">
        <f t="shared" si="77"/>
        <v>#VALUE!</v>
      </c>
      <c r="D760" s="20" t="str">
        <f>IF('DDF Original'!C760="","",'DDF Original'!C760)</f>
        <v/>
      </c>
      <c r="E760" s="24" t="str">
        <f>IF('DDF Original'!B760="","",IF(TRIM('DDF Original'!I760)="",0,'DDF Original'!I760))</f>
        <v/>
      </c>
      <c r="F760" s="20" t="str">
        <f t="shared" si="78"/>
        <v/>
      </c>
      <c r="G760" s="37" t="str">
        <f>IF('DDF Original'!B760="","",IF(TRIM('DDF Original'!P760)="",0,'DDF Original'!P760))</f>
        <v/>
      </c>
      <c r="H760" s="20" t="str">
        <f t="shared" si="79"/>
        <v/>
      </c>
      <c r="I760" s="25" t="str">
        <f t="shared" si="80"/>
        <v/>
      </c>
      <c r="J760" s="20" t="str">
        <f t="shared" si="81"/>
        <v/>
      </c>
      <c r="K760" s="20" t="str">
        <f t="shared" si="82"/>
        <v/>
      </c>
      <c r="L760" s="20" t="str">
        <f>IF(B760="","",70*'DDF Original'!$Q$4)</f>
        <v/>
      </c>
      <c r="M760" s="20" t="str">
        <f t="shared" si="83"/>
        <v/>
      </c>
      <c r="N760" s="20" t="str">
        <f>IF(AND(OR(B760="",J760&gt;G760,M760&gt;G760),'DDF Original'!L760&lt;&gt; "MI"),G760,IF(M760&gt;J760,M760,J760))</f>
        <v/>
      </c>
    </row>
    <row r="761" spans="2:14" x14ac:dyDescent="0.2">
      <c r="B761" s="19" t="str">
        <f>IF('DDF Original'!B761="","",'DDF Original'!B761)</f>
        <v/>
      </c>
      <c r="C761" s="19" t="e">
        <f t="shared" si="77"/>
        <v>#VALUE!</v>
      </c>
      <c r="D761" s="20" t="str">
        <f>IF('DDF Original'!C761="","",'DDF Original'!C761)</f>
        <v/>
      </c>
      <c r="E761" s="24" t="str">
        <f>IF('DDF Original'!B761="","",IF(TRIM('DDF Original'!I761)="",0,'DDF Original'!I761))</f>
        <v/>
      </c>
      <c r="F761" s="20" t="str">
        <f t="shared" si="78"/>
        <v/>
      </c>
      <c r="G761" s="37" t="str">
        <f>IF('DDF Original'!B761="","",IF(TRIM('DDF Original'!P761)="",0,'DDF Original'!P761))</f>
        <v/>
      </c>
      <c r="H761" s="20" t="str">
        <f t="shared" si="79"/>
        <v/>
      </c>
      <c r="I761" s="25" t="str">
        <f t="shared" si="80"/>
        <v/>
      </c>
      <c r="J761" s="20" t="str">
        <f t="shared" si="81"/>
        <v/>
      </c>
      <c r="K761" s="20" t="str">
        <f t="shared" si="82"/>
        <v/>
      </c>
      <c r="L761" s="20" t="str">
        <f>IF(B761="","",70*'DDF Original'!$Q$4)</f>
        <v/>
      </c>
      <c r="M761" s="20" t="str">
        <f t="shared" si="83"/>
        <v/>
      </c>
      <c r="N761" s="20" t="str">
        <f>IF(AND(OR(B761="",J761&gt;G761,M761&gt;G761),'DDF Original'!L761&lt;&gt; "MI"),G761,IF(M761&gt;J761,M761,J761))</f>
        <v/>
      </c>
    </row>
    <row r="762" spans="2:14" x14ac:dyDescent="0.2">
      <c r="B762" s="19" t="str">
        <f>IF('DDF Original'!B762="","",'DDF Original'!B762)</f>
        <v/>
      </c>
      <c r="C762" s="19" t="e">
        <f t="shared" si="77"/>
        <v>#VALUE!</v>
      </c>
      <c r="D762" s="20" t="str">
        <f>IF('DDF Original'!C762="","",'DDF Original'!C762)</f>
        <v/>
      </c>
      <c r="E762" s="24" t="str">
        <f>IF('DDF Original'!B762="","",IF(TRIM('DDF Original'!I762)="",0,'DDF Original'!I762))</f>
        <v/>
      </c>
      <c r="F762" s="20" t="str">
        <f t="shared" si="78"/>
        <v/>
      </c>
      <c r="G762" s="37" t="str">
        <f>IF('DDF Original'!B762="","",IF(TRIM('DDF Original'!P762)="",0,'DDF Original'!P762))</f>
        <v/>
      </c>
      <c r="H762" s="20" t="str">
        <f t="shared" si="79"/>
        <v/>
      </c>
      <c r="I762" s="25" t="str">
        <f t="shared" si="80"/>
        <v/>
      </c>
      <c r="J762" s="20" t="str">
        <f t="shared" si="81"/>
        <v/>
      </c>
      <c r="K762" s="20" t="str">
        <f t="shared" si="82"/>
        <v/>
      </c>
      <c r="L762" s="20" t="str">
        <f>IF(B762="","",70*'DDF Original'!$Q$4)</f>
        <v/>
      </c>
      <c r="M762" s="20" t="str">
        <f t="shared" si="83"/>
        <v/>
      </c>
      <c r="N762" s="20" t="str">
        <f>IF(AND(OR(B762="",J762&gt;G762,M762&gt;G762),'DDF Original'!L762&lt;&gt; "MI"),G762,IF(M762&gt;J762,M762,J762))</f>
        <v/>
      </c>
    </row>
    <row r="763" spans="2:14" x14ac:dyDescent="0.2">
      <c r="B763" s="19" t="str">
        <f>IF('DDF Original'!B763="","",'DDF Original'!B763)</f>
        <v/>
      </c>
      <c r="C763" s="19" t="e">
        <f t="shared" si="77"/>
        <v>#VALUE!</v>
      </c>
      <c r="D763" s="20" t="str">
        <f>IF('DDF Original'!C763="","",'DDF Original'!C763)</f>
        <v/>
      </c>
      <c r="E763" s="24" t="str">
        <f>IF('DDF Original'!B763="","",IF(TRIM('DDF Original'!I763)="",0,'DDF Original'!I763))</f>
        <v/>
      </c>
      <c r="F763" s="20" t="str">
        <f t="shared" si="78"/>
        <v/>
      </c>
      <c r="G763" s="37" t="str">
        <f>IF('DDF Original'!B763="","",IF(TRIM('DDF Original'!P763)="",0,'DDF Original'!P763))</f>
        <v/>
      </c>
      <c r="H763" s="20" t="str">
        <f t="shared" si="79"/>
        <v/>
      </c>
      <c r="I763" s="25" t="str">
        <f t="shared" si="80"/>
        <v/>
      </c>
      <c r="J763" s="20" t="str">
        <f t="shared" si="81"/>
        <v/>
      </c>
      <c r="K763" s="20" t="str">
        <f t="shared" si="82"/>
        <v/>
      </c>
      <c r="L763" s="20" t="str">
        <f>IF(B763="","",70*'DDF Original'!$Q$4)</f>
        <v/>
      </c>
      <c r="M763" s="20" t="str">
        <f t="shared" si="83"/>
        <v/>
      </c>
      <c r="N763" s="20" t="str">
        <f>IF(AND(OR(B763="",J763&gt;G763,M763&gt;G763),'DDF Original'!L763&lt;&gt; "MI"),G763,IF(M763&gt;J763,M763,J763))</f>
        <v/>
      </c>
    </row>
    <row r="764" spans="2:14" x14ac:dyDescent="0.2">
      <c r="B764" s="19" t="str">
        <f>IF('DDF Original'!B764="","",'DDF Original'!B764)</f>
        <v/>
      </c>
      <c r="C764" s="19" t="e">
        <f t="shared" si="77"/>
        <v>#VALUE!</v>
      </c>
      <c r="D764" s="20" t="str">
        <f>IF('DDF Original'!C764="","",'DDF Original'!C764)</f>
        <v/>
      </c>
      <c r="E764" s="24" t="str">
        <f>IF('DDF Original'!B764="","",IF(TRIM('DDF Original'!I764)="",0,'DDF Original'!I764))</f>
        <v/>
      </c>
      <c r="F764" s="20" t="str">
        <f t="shared" si="78"/>
        <v/>
      </c>
      <c r="G764" s="37" t="str">
        <f>IF('DDF Original'!B764="","",IF(TRIM('DDF Original'!P764)="",0,'DDF Original'!P764))</f>
        <v/>
      </c>
      <c r="H764" s="20" t="str">
        <f t="shared" si="79"/>
        <v/>
      </c>
      <c r="I764" s="25" t="str">
        <f t="shared" si="80"/>
        <v/>
      </c>
      <c r="J764" s="20" t="str">
        <f t="shared" si="81"/>
        <v/>
      </c>
      <c r="K764" s="20" t="str">
        <f t="shared" si="82"/>
        <v/>
      </c>
      <c r="L764" s="20" t="str">
        <f>IF(B764="","",70*'DDF Original'!$Q$4)</f>
        <v/>
      </c>
      <c r="M764" s="20" t="str">
        <f t="shared" si="83"/>
        <v/>
      </c>
      <c r="N764" s="20" t="str">
        <f>IF(AND(OR(B764="",J764&gt;G764,M764&gt;G764),'DDF Original'!L764&lt;&gt; "MI"),G764,IF(M764&gt;J764,M764,J764))</f>
        <v/>
      </c>
    </row>
    <row r="765" spans="2:14" x14ac:dyDescent="0.2">
      <c r="B765" s="19" t="str">
        <f>IF('DDF Original'!B765="","",'DDF Original'!B765)</f>
        <v/>
      </c>
      <c r="C765" s="19" t="e">
        <f t="shared" ref="C765:C828" si="84">LEFT(B765,FIND(".",B765)-1)</f>
        <v>#VALUE!</v>
      </c>
      <c r="D765" s="20" t="str">
        <f>IF('DDF Original'!C765="","",'DDF Original'!C765)</f>
        <v/>
      </c>
      <c r="E765" s="24" t="str">
        <f>IF('DDF Original'!B765="","",IF(TRIM('DDF Original'!I765)="",0,'DDF Original'!I765))</f>
        <v/>
      </c>
      <c r="F765" s="20" t="str">
        <f t="shared" ref="F765:F828" si="85">IF(D765="",D765,ROUND(D765*(1+E765/100),2))</f>
        <v/>
      </c>
      <c r="G765" s="37" t="str">
        <f>IF('DDF Original'!B765="","",IF(TRIM('DDF Original'!P765)="",0,'DDF Original'!P765))</f>
        <v/>
      </c>
      <c r="H765" s="20" t="str">
        <f t="shared" ref="H765:H828" si="86">IF(OR(D765=0,D765=""),G765,F765)</f>
        <v/>
      </c>
      <c r="I765" s="25" t="str">
        <f t="shared" ref="I765:I828" si="87">IF(B765="","",IF(OR(D765=0,D765=""),50,35))</f>
        <v/>
      </c>
      <c r="J765" s="20" t="str">
        <f t="shared" ref="J765:J828" si="88">IF(B765="","",ROUND(H765*I765/100,2))</f>
        <v/>
      </c>
      <c r="K765" s="20" t="str">
        <f t="shared" ref="K765:K828" si="89">IF(B765="","",SUMIFS($J$9:$J$508,$C$9:$C$508,"="&amp;C765))</f>
        <v/>
      </c>
      <c r="L765" s="20" t="str">
        <f>IF(B765="","",70*'DDF Original'!$Q$4)</f>
        <v/>
      </c>
      <c r="M765" s="20" t="str">
        <f t="shared" ref="M765:M828" si="90">IF(B765="","",ROUND(J765/K765*L765,2))</f>
        <v/>
      </c>
      <c r="N765" s="20" t="str">
        <f>IF(AND(OR(B765="",J765&gt;G765,M765&gt;G765),'DDF Original'!L765&lt;&gt; "MI"),G765,IF(M765&gt;J765,M765,J765))</f>
        <v/>
      </c>
    </row>
    <row r="766" spans="2:14" x14ac:dyDescent="0.2">
      <c r="B766" s="19" t="str">
        <f>IF('DDF Original'!B766="","",'DDF Original'!B766)</f>
        <v/>
      </c>
      <c r="C766" s="19" t="e">
        <f t="shared" si="84"/>
        <v>#VALUE!</v>
      </c>
      <c r="D766" s="20" t="str">
        <f>IF('DDF Original'!C766="","",'DDF Original'!C766)</f>
        <v/>
      </c>
      <c r="E766" s="24" t="str">
        <f>IF('DDF Original'!B766="","",IF(TRIM('DDF Original'!I766)="",0,'DDF Original'!I766))</f>
        <v/>
      </c>
      <c r="F766" s="20" t="str">
        <f t="shared" si="85"/>
        <v/>
      </c>
      <c r="G766" s="37" t="str">
        <f>IF('DDF Original'!B766="","",IF(TRIM('DDF Original'!P766)="",0,'DDF Original'!P766))</f>
        <v/>
      </c>
      <c r="H766" s="20" t="str">
        <f t="shared" si="86"/>
        <v/>
      </c>
      <c r="I766" s="25" t="str">
        <f t="shared" si="87"/>
        <v/>
      </c>
      <c r="J766" s="20" t="str">
        <f t="shared" si="88"/>
        <v/>
      </c>
      <c r="K766" s="20" t="str">
        <f t="shared" si="89"/>
        <v/>
      </c>
      <c r="L766" s="20" t="str">
        <f>IF(B766="","",70*'DDF Original'!$Q$4)</f>
        <v/>
      </c>
      <c r="M766" s="20" t="str">
        <f t="shared" si="90"/>
        <v/>
      </c>
      <c r="N766" s="20" t="str">
        <f>IF(AND(OR(B766="",J766&gt;G766,M766&gt;G766),'DDF Original'!L766&lt;&gt; "MI"),G766,IF(M766&gt;J766,M766,J766))</f>
        <v/>
      </c>
    </row>
    <row r="767" spans="2:14" x14ac:dyDescent="0.2">
      <c r="B767" s="19" t="str">
        <f>IF('DDF Original'!B767="","",'DDF Original'!B767)</f>
        <v/>
      </c>
      <c r="C767" s="19" t="e">
        <f t="shared" si="84"/>
        <v>#VALUE!</v>
      </c>
      <c r="D767" s="20" t="str">
        <f>IF('DDF Original'!C767="","",'DDF Original'!C767)</f>
        <v/>
      </c>
      <c r="E767" s="24" t="str">
        <f>IF('DDF Original'!B767="","",IF(TRIM('DDF Original'!I767)="",0,'DDF Original'!I767))</f>
        <v/>
      </c>
      <c r="F767" s="20" t="str">
        <f t="shared" si="85"/>
        <v/>
      </c>
      <c r="G767" s="37" t="str">
        <f>IF('DDF Original'!B767="","",IF(TRIM('DDF Original'!P767)="",0,'DDF Original'!P767))</f>
        <v/>
      </c>
      <c r="H767" s="20" t="str">
        <f t="shared" si="86"/>
        <v/>
      </c>
      <c r="I767" s="25" t="str">
        <f t="shared" si="87"/>
        <v/>
      </c>
      <c r="J767" s="20" t="str">
        <f t="shared" si="88"/>
        <v/>
      </c>
      <c r="K767" s="20" t="str">
        <f t="shared" si="89"/>
        <v/>
      </c>
      <c r="L767" s="20" t="str">
        <f>IF(B767="","",70*'DDF Original'!$Q$4)</f>
        <v/>
      </c>
      <c r="M767" s="20" t="str">
        <f t="shared" si="90"/>
        <v/>
      </c>
      <c r="N767" s="20" t="str">
        <f>IF(AND(OR(B767="",J767&gt;G767,M767&gt;G767),'DDF Original'!L767&lt;&gt; "MI"),G767,IF(M767&gt;J767,M767,J767))</f>
        <v/>
      </c>
    </row>
    <row r="768" spans="2:14" x14ac:dyDescent="0.2">
      <c r="B768" s="19" t="str">
        <f>IF('DDF Original'!B768="","",'DDF Original'!B768)</f>
        <v/>
      </c>
      <c r="C768" s="19" t="e">
        <f t="shared" si="84"/>
        <v>#VALUE!</v>
      </c>
      <c r="D768" s="20" t="str">
        <f>IF('DDF Original'!C768="","",'DDF Original'!C768)</f>
        <v/>
      </c>
      <c r="E768" s="24" t="str">
        <f>IF('DDF Original'!B768="","",IF(TRIM('DDF Original'!I768)="",0,'DDF Original'!I768))</f>
        <v/>
      </c>
      <c r="F768" s="20" t="str">
        <f t="shared" si="85"/>
        <v/>
      </c>
      <c r="G768" s="37" t="str">
        <f>IF('DDF Original'!B768="","",IF(TRIM('DDF Original'!P768)="",0,'DDF Original'!P768))</f>
        <v/>
      </c>
      <c r="H768" s="20" t="str">
        <f t="shared" si="86"/>
        <v/>
      </c>
      <c r="I768" s="25" t="str">
        <f t="shared" si="87"/>
        <v/>
      </c>
      <c r="J768" s="20" t="str">
        <f t="shared" si="88"/>
        <v/>
      </c>
      <c r="K768" s="20" t="str">
        <f t="shared" si="89"/>
        <v/>
      </c>
      <c r="L768" s="20" t="str">
        <f>IF(B768="","",70*'DDF Original'!$Q$4)</f>
        <v/>
      </c>
      <c r="M768" s="20" t="str">
        <f t="shared" si="90"/>
        <v/>
      </c>
      <c r="N768" s="20" t="str">
        <f>IF(AND(OR(B768="",J768&gt;G768,M768&gt;G768),'DDF Original'!L768&lt;&gt; "MI"),G768,IF(M768&gt;J768,M768,J768))</f>
        <v/>
      </c>
    </row>
    <row r="769" spans="2:14" x14ac:dyDescent="0.2">
      <c r="B769" s="19" t="str">
        <f>IF('DDF Original'!B769="","",'DDF Original'!B769)</f>
        <v/>
      </c>
      <c r="C769" s="19" t="e">
        <f t="shared" si="84"/>
        <v>#VALUE!</v>
      </c>
      <c r="D769" s="20" t="str">
        <f>IF('DDF Original'!C769="","",'DDF Original'!C769)</f>
        <v/>
      </c>
      <c r="E769" s="24" t="str">
        <f>IF('DDF Original'!B769="","",IF(TRIM('DDF Original'!I769)="",0,'DDF Original'!I769))</f>
        <v/>
      </c>
      <c r="F769" s="20" t="str">
        <f t="shared" si="85"/>
        <v/>
      </c>
      <c r="G769" s="37" t="str">
        <f>IF('DDF Original'!B769="","",IF(TRIM('DDF Original'!P769)="",0,'DDF Original'!P769))</f>
        <v/>
      </c>
      <c r="H769" s="20" t="str">
        <f t="shared" si="86"/>
        <v/>
      </c>
      <c r="I769" s="25" t="str">
        <f t="shared" si="87"/>
        <v/>
      </c>
      <c r="J769" s="20" t="str">
        <f t="shared" si="88"/>
        <v/>
      </c>
      <c r="K769" s="20" t="str">
        <f t="shared" si="89"/>
        <v/>
      </c>
      <c r="L769" s="20" t="str">
        <f>IF(B769="","",70*'DDF Original'!$Q$4)</f>
        <v/>
      </c>
      <c r="M769" s="20" t="str">
        <f t="shared" si="90"/>
        <v/>
      </c>
      <c r="N769" s="20" t="str">
        <f>IF(AND(OR(B769="",J769&gt;G769,M769&gt;G769),'DDF Original'!L769&lt;&gt; "MI"),G769,IF(M769&gt;J769,M769,J769))</f>
        <v/>
      </c>
    </row>
    <row r="770" spans="2:14" x14ac:dyDescent="0.2">
      <c r="B770" s="19" t="str">
        <f>IF('DDF Original'!B770="","",'DDF Original'!B770)</f>
        <v/>
      </c>
      <c r="C770" s="19" t="e">
        <f t="shared" si="84"/>
        <v>#VALUE!</v>
      </c>
      <c r="D770" s="20" t="str">
        <f>IF('DDF Original'!C770="","",'DDF Original'!C770)</f>
        <v/>
      </c>
      <c r="E770" s="24" t="str">
        <f>IF('DDF Original'!B770="","",IF(TRIM('DDF Original'!I770)="",0,'DDF Original'!I770))</f>
        <v/>
      </c>
      <c r="F770" s="20" t="str">
        <f t="shared" si="85"/>
        <v/>
      </c>
      <c r="G770" s="37" t="str">
        <f>IF('DDF Original'!B770="","",IF(TRIM('DDF Original'!P770)="",0,'DDF Original'!P770))</f>
        <v/>
      </c>
      <c r="H770" s="20" t="str">
        <f t="shared" si="86"/>
        <v/>
      </c>
      <c r="I770" s="25" t="str">
        <f t="shared" si="87"/>
        <v/>
      </c>
      <c r="J770" s="20" t="str">
        <f t="shared" si="88"/>
        <v/>
      </c>
      <c r="K770" s="20" t="str">
        <f t="shared" si="89"/>
        <v/>
      </c>
      <c r="L770" s="20" t="str">
        <f>IF(B770="","",70*'DDF Original'!$Q$4)</f>
        <v/>
      </c>
      <c r="M770" s="20" t="str">
        <f t="shared" si="90"/>
        <v/>
      </c>
      <c r="N770" s="20" t="str">
        <f>IF(AND(OR(B770="",J770&gt;G770,M770&gt;G770),'DDF Original'!L770&lt;&gt; "MI"),G770,IF(M770&gt;J770,M770,J770))</f>
        <v/>
      </c>
    </row>
    <row r="771" spans="2:14" x14ac:dyDescent="0.2">
      <c r="B771" s="19" t="str">
        <f>IF('DDF Original'!B771="","",'DDF Original'!B771)</f>
        <v/>
      </c>
      <c r="C771" s="19" t="e">
        <f t="shared" si="84"/>
        <v>#VALUE!</v>
      </c>
      <c r="D771" s="20" t="str">
        <f>IF('DDF Original'!C771="","",'DDF Original'!C771)</f>
        <v/>
      </c>
      <c r="E771" s="24" t="str">
        <f>IF('DDF Original'!B771="","",IF(TRIM('DDF Original'!I771)="",0,'DDF Original'!I771))</f>
        <v/>
      </c>
      <c r="F771" s="20" t="str">
        <f t="shared" si="85"/>
        <v/>
      </c>
      <c r="G771" s="37" t="str">
        <f>IF('DDF Original'!B771="","",IF(TRIM('DDF Original'!P771)="",0,'DDF Original'!P771))</f>
        <v/>
      </c>
      <c r="H771" s="20" t="str">
        <f t="shared" si="86"/>
        <v/>
      </c>
      <c r="I771" s="25" t="str">
        <f t="shared" si="87"/>
        <v/>
      </c>
      <c r="J771" s="20" t="str">
        <f t="shared" si="88"/>
        <v/>
      </c>
      <c r="K771" s="20" t="str">
        <f t="shared" si="89"/>
        <v/>
      </c>
      <c r="L771" s="20" t="str">
        <f>IF(B771="","",70*'DDF Original'!$Q$4)</f>
        <v/>
      </c>
      <c r="M771" s="20" t="str">
        <f t="shared" si="90"/>
        <v/>
      </c>
      <c r="N771" s="20" t="str">
        <f>IF(AND(OR(B771="",J771&gt;G771,M771&gt;G771),'DDF Original'!L771&lt;&gt; "MI"),G771,IF(M771&gt;J771,M771,J771))</f>
        <v/>
      </c>
    </row>
    <row r="772" spans="2:14" x14ac:dyDescent="0.2">
      <c r="B772" s="19" t="str">
        <f>IF('DDF Original'!B772="","",'DDF Original'!B772)</f>
        <v/>
      </c>
      <c r="C772" s="19" t="e">
        <f t="shared" si="84"/>
        <v>#VALUE!</v>
      </c>
      <c r="D772" s="20" t="str">
        <f>IF('DDF Original'!C772="","",'DDF Original'!C772)</f>
        <v/>
      </c>
      <c r="E772" s="24" t="str">
        <f>IF('DDF Original'!B772="","",IF(TRIM('DDF Original'!I772)="",0,'DDF Original'!I772))</f>
        <v/>
      </c>
      <c r="F772" s="20" t="str">
        <f t="shared" si="85"/>
        <v/>
      </c>
      <c r="G772" s="37" t="str">
        <f>IF('DDF Original'!B772="","",IF(TRIM('DDF Original'!P772)="",0,'DDF Original'!P772))</f>
        <v/>
      </c>
      <c r="H772" s="20" t="str">
        <f t="shared" si="86"/>
        <v/>
      </c>
      <c r="I772" s="25" t="str">
        <f t="shared" si="87"/>
        <v/>
      </c>
      <c r="J772" s="20" t="str">
        <f t="shared" si="88"/>
        <v/>
      </c>
      <c r="K772" s="20" t="str">
        <f t="shared" si="89"/>
        <v/>
      </c>
      <c r="L772" s="20" t="str">
        <f>IF(B772="","",70*'DDF Original'!$Q$4)</f>
        <v/>
      </c>
      <c r="M772" s="20" t="str">
        <f t="shared" si="90"/>
        <v/>
      </c>
      <c r="N772" s="20" t="str">
        <f>IF(AND(OR(B772="",J772&gt;G772,M772&gt;G772),'DDF Original'!L772&lt;&gt; "MI"),G772,IF(M772&gt;J772,M772,J772))</f>
        <v/>
      </c>
    </row>
    <row r="773" spans="2:14" x14ac:dyDescent="0.2">
      <c r="B773" s="19" t="str">
        <f>IF('DDF Original'!B773="","",'DDF Original'!B773)</f>
        <v/>
      </c>
      <c r="C773" s="19" t="e">
        <f t="shared" si="84"/>
        <v>#VALUE!</v>
      </c>
      <c r="D773" s="20" t="str">
        <f>IF('DDF Original'!C773="","",'DDF Original'!C773)</f>
        <v/>
      </c>
      <c r="E773" s="24" t="str">
        <f>IF('DDF Original'!B773="","",IF(TRIM('DDF Original'!I773)="",0,'DDF Original'!I773))</f>
        <v/>
      </c>
      <c r="F773" s="20" t="str">
        <f t="shared" si="85"/>
        <v/>
      </c>
      <c r="G773" s="37" t="str">
        <f>IF('DDF Original'!B773="","",IF(TRIM('DDF Original'!P773)="",0,'DDF Original'!P773))</f>
        <v/>
      </c>
      <c r="H773" s="20" t="str">
        <f t="shared" si="86"/>
        <v/>
      </c>
      <c r="I773" s="25" t="str">
        <f t="shared" si="87"/>
        <v/>
      </c>
      <c r="J773" s="20" t="str">
        <f t="shared" si="88"/>
        <v/>
      </c>
      <c r="K773" s="20" t="str">
        <f t="shared" si="89"/>
        <v/>
      </c>
      <c r="L773" s="20" t="str">
        <f>IF(B773="","",70*'DDF Original'!$Q$4)</f>
        <v/>
      </c>
      <c r="M773" s="20" t="str">
        <f t="shared" si="90"/>
        <v/>
      </c>
      <c r="N773" s="20" t="str">
        <f>IF(AND(OR(B773="",J773&gt;G773,M773&gt;G773),'DDF Original'!L773&lt;&gt; "MI"),G773,IF(M773&gt;J773,M773,J773))</f>
        <v/>
      </c>
    </row>
    <row r="774" spans="2:14" x14ac:dyDescent="0.2">
      <c r="B774" s="19" t="str">
        <f>IF('DDF Original'!B774="","",'DDF Original'!B774)</f>
        <v/>
      </c>
      <c r="C774" s="19" t="e">
        <f t="shared" si="84"/>
        <v>#VALUE!</v>
      </c>
      <c r="D774" s="20" t="str">
        <f>IF('DDF Original'!C774="","",'DDF Original'!C774)</f>
        <v/>
      </c>
      <c r="E774" s="24" t="str">
        <f>IF('DDF Original'!B774="","",IF(TRIM('DDF Original'!I774)="",0,'DDF Original'!I774))</f>
        <v/>
      </c>
      <c r="F774" s="20" t="str">
        <f t="shared" si="85"/>
        <v/>
      </c>
      <c r="G774" s="37" t="str">
        <f>IF('DDF Original'!B774="","",IF(TRIM('DDF Original'!P774)="",0,'DDF Original'!P774))</f>
        <v/>
      </c>
      <c r="H774" s="20" t="str">
        <f t="shared" si="86"/>
        <v/>
      </c>
      <c r="I774" s="25" t="str">
        <f t="shared" si="87"/>
        <v/>
      </c>
      <c r="J774" s="20" t="str">
        <f t="shared" si="88"/>
        <v/>
      </c>
      <c r="K774" s="20" t="str">
        <f t="shared" si="89"/>
        <v/>
      </c>
      <c r="L774" s="20" t="str">
        <f>IF(B774="","",70*'DDF Original'!$Q$4)</f>
        <v/>
      </c>
      <c r="M774" s="20" t="str">
        <f t="shared" si="90"/>
        <v/>
      </c>
      <c r="N774" s="20" t="str">
        <f>IF(AND(OR(B774="",J774&gt;G774,M774&gt;G774),'DDF Original'!L774&lt;&gt; "MI"),G774,IF(M774&gt;J774,M774,J774))</f>
        <v/>
      </c>
    </row>
    <row r="775" spans="2:14" x14ac:dyDescent="0.2">
      <c r="B775" s="19" t="str">
        <f>IF('DDF Original'!B775="","",'DDF Original'!B775)</f>
        <v/>
      </c>
      <c r="C775" s="19" t="e">
        <f t="shared" si="84"/>
        <v>#VALUE!</v>
      </c>
      <c r="D775" s="20" t="str">
        <f>IF('DDF Original'!C775="","",'DDF Original'!C775)</f>
        <v/>
      </c>
      <c r="E775" s="24" t="str">
        <f>IF('DDF Original'!B775="","",IF(TRIM('DDF Original'!I775)="",0,'DDF Original'!I775))</f>
        <v/>
      </c>
      <c r="F775" s="20" t="str">
        <f t="shared" si="85"/>
        <v/>
      </c>
      <c r="G775" s="37" t="str">
        <f>IF('DDF Original'!B775="","",IF(TRIM('DDF Original'!P775)="",0,'DDF Original'!P775))</f>
        <v/>
      </c>
      <c r="H775" s="20" t="str">
        <f t="shared" si="86"/>
        <v/>
      </c>
      <c r="I775" s="25" t="str">
        <f t="shared" si="87"/>
        <v/>
      </c>
      <c r="J775" s="20" t="str">
        <f t="shared" si="88"/>
        <v/>
      </c>
      <c r="K775" s="20" t="str">
        <f t="shared" si="89"/>
        <v/>
      </c>
      <c r="L775" s="20" t="str">
        <f>IF(B775="","",70*'DDF Original'!$Q$4)</f>
        <v/>
      </c>
      <c r="M775" s="20" t="str">
        <f t="shared" si="90"/>
        <v/>
      </c>
      <c r="N775" s="20" t="str">
        <f>IF(AND(OR(B775="",J775&gt;G775,M775&gt;G775),'DDF Original'!L775&lt;&gt; "MI"),G775,IF(M775&gt;J775,M775,J775))</f>
        <v/>
      </c>
    </row>
    <row r="776" spans="2:14" x14ac:dyDescent="0.2">
      <c r="B776" s="19" t="str">
        <f>IF('DDF Original'!B776="","",'DDF Original'!B776)</f>
        <v/>
      </c>
      <c r="C776" s="19" t="e">
        <f t="shared" si="84"/>
        <v>#VALUE!</v>
      </c>
      <c r="D776" s="20" t="str">
        <f>IF('DDF Original'!C776="","",'DDF Original'!C776)</f>
        <v/>
      </c>
      <c r="E776" s="24" t="str">
        <f>IF('DDF Original'!B776="","",IF(TRIM('DDF Original'!I776)="",0,'DDF Original'!I776))</f>
        <v/>
      </c>
      <c r="F776" s="20" t="str">
        <f t="shared" si="85"/>
        <v/>
      </c>
      <c r="G776" s="37" t="str">
        <f>IF('DDF Original'!B776="","",IF(TRIM('DDF Original'!P776)="",0,'DDF Original'!P776))</f>
        <v/>
      </c>
      <c r="H776" s="20" t="str">
        <f t="shared" si="86"/>
        <v/>
      </c>
      <c r="I776" s="25" t="str">
        <f t="shared" si="87"/>
        <v/>
      </c>
      <c r="J776" s="20" t="str">
        <f t="shared" si="88"/>
        <v/>
      </c>
      <c r="K776" s="20" t="str">
        <f t="shared" si="89"/>
        <v/>
      </c>
      <c r="L776" s="20" t="str">
        <f>IF(B776="","",70*'DDF Original'!$Q$4)</f>
        <v/>
      </c>
      <c r="M776" s="20" t="str">
        <f t="shared" si="90"/>
        <v/>
      </c>
      <c r="N776" s="20" t="str">
        <f>IF(AND(OR(B776="",J776&gt;G776,M776&gt;G776),'DDF Original'!L776&lt;&gt; "MI"),G776,IF(M776&gt;J776,M776,J776))</f>
        <v/>
      </c>
    </row>
    <row r="777" spans="2:14" x14ac:dyDescent="0.2">
      <c r="B777" s="19" t="str">
        <f>IF('DDF Original'!B777="","",'DDF Original'!B777)</f>
        <v/>
      </c>
      <c r="C777" s="19" t="e">
        <f t="shared" si="84"/>
        <v>#VALUE!</v>
      </c>
      <c r="D777" s="20" t="str">
        <f>IF('DDF Original'!C777="","",'DDF Original'!C777)</f>
        <v/>
      </c>
      <c r="E777" s="24" t="str">
        <f>IF('DDF Original'!B777="","",IF(TRIM('DDF Original'!I777)="",0,'DDF Original'!I777))</f>
        <v/>
      </c>
      <c r="F777" s="20" t="str">
        <f t="shared" si="85"/>
        <v/>
      </c>
      <c r="G777" s="37" t="str">
        <f>IF('DDF Original'!B777="","",IF(TRIM('DDF Original'!P777)="",0,'DDF Original'!P777))</f>
        <v/>
      </c>
      <c r="H777" s="20" t="str">
        <f t="shared" si="86"/>
        <v/>
      </c>
      <c r="I777" s="25" t="str">
        <f t="shared" si="87"/>
        <v/>
      </c>
      <c r="J777" s="20" t="str">
        <f t="shared" si="88"/>
        <v/>
      </c>
      <c r="K777" s="20" t="str">
        <f t="shared" si="89"/>
        <v/>
      </c>
      <c r="L777" s="20" t="str">
        <f>IF(B777="","",70*'DDF Original'!$Q$4)</f>
        <v/>
      </c>
      <c r="M777" s="20" t="str">
        <f t="shared" si="90"/>
        <v/>
      </c>
      <c r="N777" s="20" t="str">
        <f>IF(AND(OR(B777="",J777&gt;G777,M777&gt;G777),'DDF Original'!L777&lt;&gt; "MI"),G777,IF(M777&gt;J777,M777,J777))</f>
        <v/>
      </c>
    </row>
    <row r="778" spans="2:14" x14ac:dyDescent="0.2">
      <c r="B778" s="19" t="str">
        <f>IF('DDF Original'!B778="","",'DDF Original'!B778)</f>
        <v/>
      </c>
      <c r="C778" s="19" t="e">
        <f t="shared" si="84"/>
        <v>#VALUE!</v>
      </c>
      <c r="D778" s="20" t="str">
        <f>IF('DDF Original'!C778="","",'DDF Original'!C778)</f>
        <v/>
      </c>
      <c r="E778" s="24" t="str">
        <f>IF('DDF Original'!B778="","",IF(TRIM('DDF Original'!I778)="",0,'DDF Original'!I778))</f>
        <v/>
      </c>
      <c r="F778" s="20" t="str">
        <f t="shared" si="85"/>
        <v/>
      </c>
      <c r="G778" s="37" t="str">
        <f>IF('DDF Original'!B778="","",IF(TRIM('DDF Original'!P778)="",0,'DDF Original'!P778))</f>
        <v/>
      </c>
      <c r="H778" s="20" t="str">
        <f t="shared" si="86"/>
        <v/>
      </c>
      <c r="I778" s="25" t="str">
        <f t="shared" si="87"/>
        <v/>
      </c>
      <c r="J778" s="20" t="str">
        <f t="shared" si="88"/>
        <v/>
      </c>
      <c r="K778" s="20" t="str">
        <f t="shared" si="89"/>
        <v/>
      </c>
      <c r="L778" s="20" t="str">
        <f>IF(B778="","",70*'DDF Original'!$Q$4)</f>
        <v/>
      </c>
      <c r="M778" s="20" t="str">
        <f t="shared" si="90"/>
        <v/>
      </c>
      <c r="N778" s="20" t="str">
        <f>IF(AND(OR(B778="",J778&gt;G778,M778&gt;G778),'DDF Original'!L778&lt;&gt; "MI"),G778,IF(M778&gt;J778,M778,J778))</f>
        <v/>
      </c>
    </row>
    <row r="779" spans="2:14" x14ac:dyDescent="0.2">
      <c r="B779" s="19" t="str">
        <f>IF('DDF Original'!B779="","",'DDF Original'!B779)</f>
        <v/>
      </c>
      <c r="C779" s="19" t="e">
        <f t="shared" si="84"/>
        <v>#VALUE!</v>
      </c>
      <c r="D779" s="20" t="str">
        <f>IF('DDF Original'!C779="","",'DDF Original'!C779)</f>
        <v/>
      </c>
      <c r="E779" s="24" t="str">
        <f>IF('DDF Original'!B779="","",IF(TRIM('DDF Original'!I779)="",0,'DDF Original'!I779))</f>
        <v/>
      </c>
      <c r="F779" s="20" t="str">
        <f t="shared" si="85"/>
        <v/>
      </c>
      <c r="G779" s="37" t="str">
        <f>IF('DDF Original'!B779="","",IF(TRIM('DDF Original'!P779)="",0,'DDF Original'!P779))</f>
        <v/>
      </c>
      <c r="H779" s="20" t="str">
        <f t="shared" si="86"/>
        <v/>
      </c>
      <c r="I779" s="25" t="str">
        <f t="shared" si="87"/>
        <v/>
      </c>
      <c r="J779" s="20" t="str">
        <f t="shared" si="88"/>
        <v/>
      </c>
      <c r="K779" s="20" t="str">
        <f t="shared" si="89"/>
        <v/>
      </c>
      <c r="L779" s="20" t="str">
        <f>IF(B779="","",70*'DDF Original'!$Q$4)</f>
        <v/>
      </c>
      <c r="M779" s="20" t="str">
        <f t="shared" si="90"/>
        <v/>
      </c>
      <c r="N779" s="20" t="str">
        <f>IF(AND(OR(B779="",J779&gt;G779,M779&gt;G779),'DDF Original'!L779&lt;&gt; "MI"),G779,IF(M779&gt;J779,M779,J779))</f>
        <v/>
      </c>
    </row>
    <row r="780" spans="2:14" x14ac:dyDescent="0.2">
      <c r="B780" s="19" t="str">
        <f>IF('DDF Original'!B780="","",'DDF Original'!B780)</f>
        <v/>
      </c>
      <c r="C780" s="19" t="e">
        <f t="shared" si="84"/>
        <v>#VALUE!</v>
      </c>
      <c r="D780" s="20" t="str">
        <f>IF('DDF Original'!C780="","",'DDF Original'!C780)</f>
        <v/>
      </c>
      <c r="E780" s="24" t="str">
        <f>IF('DDF Original'!B780="","",IF(TRIM('DDF Original'!I780)="",0,'DDF Original'!I780))</f>
        <v/>
      </c>
      <c r="F780" s="20" t="str">
        <f t="shared" si="85"/>
        <v/>
      </c>
      <c r="G780" s="37" t="str">
        <f>IF('DDF Original'!B780="","",IF(TRIM('DDF Original'!P780)="",0,'DDF Original'!P780))</f>
        <v/>
      </c>
      <c r="H780" s="20" t="str">
        <f t="shared" si="86"/>
        <v/>
      </c>
      <c r="I780" s="25" t="str">
        <f t="shared" si="87"/>
        <v/>
      </c>
      <c r="J780" s="20" t="str">
        <f t="shared" si="88"/>
        <v/>
      </c>
      <c r="K780" s="20" t="str">
        <f t="shared" si="89"/>
        <v/>
      </c>
      <c r="L780" s="20" t="str">
        <f>IF(B780="","",70*'DDF Original'!$Q$4)</f>
        <v/>
      </c>
      <c r="M780" s="20" t="str">
        <f t="shared" si="90"/>
        <v/>
      </c>
      <c r="N780" s="20" t="str">
        <f>IF(AND(OR(B780="",J780&gt;G780,M780&gt;G780),'DDF Original'!L780&lt;&gt; "MI"),G780,IF(M780&gt;J780,M780,J780))</f>
        <v/>
      </c>
    </row>
    <row r="781" spans="2:14" x14ac:dyDescent="0.2">
      <c r="B781" s="19" t="str">
        <f>IF('DDF Original'!B781="","",'DDF Original'!B781)</f>
        <v/>
      </c>
      <c r="C781" s="19" t="e">
        <f t="shared" si="84"/>
        <v>#VALUE!</v>
      </c>
      <c r="D781" s="20" t="str">
        <f>IF('DDF Original'!C781="","",'DDF Original'!C781)</f>
        <v/>
      </c>
      <c r="E781" s="24" t="str">
        <f>IF('DDF Original'!B781="","",IF(TRIM('DDF Original'!I781)="",0,'DDF Original'!I781))</f>
        <v/>
      </c>
      <c r="F781" s="20" t="str">
        <f t="shared" si="85"/>
        <v/>
      </c>
      <c r="G781" s="37" t="str">
        <f>IF('DDF Original'!B781="","",IF(TRIM('DDF Original'!P781)="",0,'DDF Original'!P781))</f>
        <v/>
      </c>
      <c r="H781" s="20" t="str">
        <f t="shared" si="86"/>
        <v/>
      </c>
      <c r="I781" s="25" t="str">
        <f t="shared" si="87"/>
        <v/>
      </c>
      <c r="J781" s="20" t="str">
        <f t="shared" si="88"/>
        <v/>
      </c>
      <c r="K781" s="20" t="str">
        <f t="shared" si="89"/>
        <v/>
      </c>
      <c r="L781" s="20" t="str">
        <f>IF(B781="","",70*'DDF Original'!$Q$4)</f>
        <v/>
      </c>
      <c r="M781" s="20" t="str">
        <f t="shared" si="90"/>
        <v/>
      </c>
      <c r="N781" s="20" t="str">
        <f>IF(AND(OR(B781="",J781&gt;G781,M781&gt;G781),'DDF Original'!L781&lt;&gt; "MI"),G781,IF(M781&gt;J781,M781,J781))</f>
        <v/>
      </c>
    </row>
    <row r="782" spans="2:14" x14ac:dyDescent="0.2">
      <c r="B782" s="19" t="str">
        <f>IF('DDF Original'!B782="","",'DDF Original'!B782)</f>
        <v/>
      </c>
      <c r="C782" s="19" t="e">
        <f t="shared" si="84"/>
        <v>#VALUE!</v>
      </c>
      <c r="D782" s="20" t="str">
        <f>IF('DDF Original'!C782="","",'DDF Original'!C782)</f>
        <v/>
      </c>
      <c r="E782" s="24" t="str">
        <f>IF('DDF Original'!B782="","",IF(TRIM('DDF Original'!I782)="",0,'DDF Original'!I782))</f>
        <v/>
      </c>
      <c r="F782" s="20" t="str">
        <f t="shared" si="85"/>
        <v/>
      </c>
      <c r="G782" s="37" t="str">
        <f>IF('DDF Original'!B782="","",IF(TRIM('DDF Original'!P782)="",0,'DDF Original'!P782))</f>
        <v/>
      </c>
      <c r="H782" s="20" t="str">
        <f t="shared" si="86"/>
        <v/>
      </c>
      <c r="I782" s="25" t="str">
        <f t="shared" si="87"/>
        <v/>
      </c>
      <c r="J782" s="20" t="str">
        <f t="shared" si="88"/>
        <v/>
      </c>
      <c r="K782" s="20" t="str">
        <f t="shared" si="89"/>
        <v/>
      </c>
      <c r="L782" s="20" t="str">
        <f>IF(B782="","",70*'DDF Original'!$Q$4)</f>
        <v/>
      </c>
      <c r="M782" s="20" t="str">
        <f t="shared" si="90"/>
        <v/>
      </c>
      <c r="N782" s="20" t="str">
        <f>IF(AND(OR(B782="",J782&gt;G782,M782&gt;G782),'DDF Original'!L782&lt;&gt; "MI"),G782,IF(M782&gt;J782,M782,J782))</f>
        <v/>
      </c>
    </row>
    <row r="783" spans="2:14" x14ac:dyDescent="0.2">
      <c r="B783" s="19" t="str">
        <f>IF('DDF Original'!B783="","",'DDF Original'!B783)</f>
        <v/>
      </c>
      <c r="C783" s="19" t="e">
        <f t="shared" si="84"/>
        <v>#VALUE!</v>
      </c>
      <c r="D783" s="20" t="str">
        <f>IF('DDF Original'!C783="","",'DDF Original'!C783)</f>
        <v/>
      </c>
      <c r="E783" s="24" t="str">
        <f>IF('DDF Original'!B783="","",IF(TRIM('DDF Original'!I783)="",0,'DDF Original'!I783))</f>
        <v/>
      </c>
      <c r="F783" s="20" t="str">
        <f t="shared" si="85"/>
        <v/>
      </c>
      <c r="G783" s="37" t="str">
        <f>IF('DDF Original'!B783="","",IF(TRIM('DDF Original'!P783)="",0,'DDF Original'!P783))</f>
        <v/>
      </c>
      <c r="H783" s="20" t="str">
        <f t="shared" si="86"/>
        <v/>
      </c>
      <c r="I783" s="25" t="str">
        <f t="shared" si="87"/>
        <v/>
      </c>
      <c r="J783" s="20" t="str">
        <f t="shared" si="88"/>
        <v/>
      </c>
      <c r="K783" s="20" t="str">
        <f t="shared" si="89"/>
        <v/>
      </c>
      <c r="L783" s="20" t="str">
        <f>IF(B783="","",70*'DDF Original'!$Q$4)</f>
        <v/>
      </c>
      <c r="M783" s="20" t="str">
        <f t="shared" si="90"/>
        <v/>
      </c>
      <c r="N783" s="20" t="str">
        <f>IF(AND(OR(B783="",J783&gt;G783,M783&gt;G783),'DDF Original'!L783&lt;&gt; "MI"),G783,IF(M783&gt;J783,M783,J783))</f>
        <v/>
      </c>
    </row>
    <row r="784" spans="2:14" x14ac:dyDescent="0.2">
      <c r="B784" s="19" t="str">
        <f>IF('DDF Original'!B784="","",'DDF Original'!B784)</f>
        <v/>
      </c>
      <c r="C784" s="19" t="e">
        <f t="shared" si="84"/>
        <v>#VALUE!</v>
      </c>
      <c r="D784" s="20" t="str">
        <f>IF('DDF Original'!C784="","",'DDF Original'!C784)</f>
        <v/>
      </c>
      <c r="E784" s="24" t="str">
        <f>IF('DDF Original'!B784="","",IF(TRIM('DDF Original'!I784)="",0,'DDF Original'!I784))</f>
        <v/>
      </c>
      <c r="F784" s="20" t="str">
        <f t="shared" si="85"/>
        <v/>
      </c>
      <c r="G784" s="37" t="str">
        <f>IF('DDF Original'!B784="","",IF(TRIM('DDF Original'!P784)="",0,'DDF Original'!P784))</f>
        <v/>
      </c>
      <c r="H784" s="20" t="str">
        <f t="shared" si="86"/>
        <v/>
      </c>
      <c r="I784" s="25" t="str">
        <f t="shared" si="87"/>
        <v/>
      </c>
      <c r="J784" s="20" t="str">
        <f t="shared" si="88"/>
        <v/>
      </c>
      <c r="K784" s="20" t="str">
        <f t="shared" si="89"/>
        <v/>
      </c>
      <c r="L784" s="20" t="str">
        <f>IF(B784="","",70*'DDF Original'!$Q$4)</f>
        <v/>
      </c>
      <c r="M784" s="20" t="str">
        <f t="shared" si="90"/>
        <v/>
      </c>
      <c r="N784" s="20" t="str">
        <f>IF(AND(OR(B784="",J784&gt;G784,M784&gt;G784),'DDF Original'!L784&lt;&gt; "MI"),G784,IF(M784&gt;J784,M784,J784))</f>
        <v/>
      </c>
    </row>
    <row r="785" spans="2:14" x14ac:dyDescent="0.2">
      <c r="B785" s="19" t="str">
        <f>IF('DDF Original'!B785="","",'DDF Original'!B785)</f>
        <v/>
      </c>
      <c r="C785" s="19" t="e">
        <f t="shared" si="84"/>
        <v>#VALUE!</v>
      </c>
      <c r="D785" s="20" t="str">
        <f>IF('DDF Original'!C785="","",'DDF Original'!C785)</f>
        <v/>
      </c>
      <c r="E785" s="24" t="str">
        <f>IF('DDF Original'!B785="","",IF(TRIM('DDF Original'!I785)="",0,'DDF Original'!I785))</f>
        <v/>
      </c>
      <c r="F785" s="20" t="str">
        <f t="shared" si="85"/>
        <v/>
      </c>
      <c r="G785" s="37" t="str">
        <f>IF('DDF Original'!B785="","",IF(TRIM('DDF Original'!P785)="",0,'DDF Original'!P785))</f>
        <v/>
      </c>
      <c r="H785" s="20" t="str">
        <f t="shared" si="86"/>
        <v/>
      </c>
      <c r="I785" s="25" t="str">
        <f t="shared" si="87"/>
        <v/>
      </c>
      <c r="J785" s="20" t="str">
        <f t="shared" si="88"/>
        <v/>
      </c>
      <c r="K785" s="20" t="str">
        <f t="shared" si="89"/>
        <v/>
      </c>
      <c r="L785" s="20" t="str">
        <f>IF(B785="","",70*'DDF Original'!$Q$4)</f>
        <v/>
      </c>
      <c r="M785" s="20" t="str">
        <f t="shared" si="90"/>
        <v/>
      </c>
      <c r="N785" s="20" t="str">
        <f>IF(AND(OR(B785="",J785&gt;G785,M785&gt;G785),'DDF Original'!L785&lt;&gt; "MI"),G785,IF(M785&gt;J785,M785,J785))</f>
        <v/>
      </c>
    </row>
    <row r="786" spans="2:14" x14ac:dyDescent="0.2">
      <c r="B786" s="19" t="str">
        <f>IF('DDF Original'!B786="","",'DDF Original'!B786)</f>
        <v/>
      </c>
      <c r="C786" s="19" t="e">
        <f t="shared" si="84"/>
        <v>#VALUE!</v>
      </c>
      <c r="D786" s="20" t="str">
        <f>IF('DDF Original'!C786="","",'DDF Original'!C786)</f>
        <v/>
      </c>
      <c r="E786" s="24" t="str">
        <f>IF('DDF Original'!B786="","",IF(TRIM('DDF Original'!I786)="",0,'DDF Original'!I786))</f>
        <v/>
      </c>
      <c r="F786" s="20" t="str">
        <f t="shared" si="85"/>
        <v/>
      </c>
      <c r="G786" s="37" t="str">
        <f>IF('DDF Original'!B786="","",IF(TRIM('DDF Original'!P786)="",0,'DDF Original'!P786))</f>
        <v/>
      </c>
      <c r="H786" s="20" t="str">
        <f t="shared" si="86"/>
        <v/>
      </c>
      <c r="I786" s="25" t="str">
        <f t="shared" si="87"/>
        <v/>
      </c>
      <c r="J786" s="20" t="str">
        <f t="shared" si="88"/>
        <v/>
      </c>
      <c r="K786" s="20" t="str">
        <f t="shared" si="89"/>
        <v/>
      </c>
      <c r="L786" s="20" t="str">
        <f>IF(B786="","",70*'DDF Original'!$Q$4)</f>
        <v/>
      </c>
      <c r="M786" s="20" t="str">
        <f t="shared" si="90"/>
        <v/>
      </c>
      <c r="N786" s="20" t="str">
        <f>IF(AND(OR(B786="",J786&gt;G786,M786&gt;G786),'DDF Original'!L786&lt;&gt; "MI"),G786,IF(M786&gt;J786,M786,J786))</f>
        <v/>
      </c>
    </row>
    <row r="787" spans="2:14" x14ac:dyDescent="0.2">
      <c r="B787" s="19" t="str">
        <f>IF('DDF Original'!B787="","",'DDF Original'!B787)</f>
        <v/>
      </c>
      <c r="C787" s="19" t="e">
        <f t="shared" si="84"/>
        <v>#VALUE!</v>
      </c>
      <c r="D787" s="20" t="str">
        <f>IF('DDF Original'!C787="","",'DDF Original'!C787)</f>
        <v/>
      </c>
      <c r="E787" s="24" t="str">
        <f>IF('DDF Original'!B787="","",IF(TRIM('DDF Original'!I787)="",0,'DDF Original'!I787))</f>
        <v/>
      </c>
      <c r="F787" s="20" t="str">
        <f t="shared" si="85"/>
        <v/>
      </c>
      <c r="G787" s="37" t="str">
        <f>IF('DDF Original'!B787="","",IF(TRIM('DDF Original'!P787)="",0,'DDF Original'!P787))</f>
        <v/>
      </c>
      <c r="H787" s="20" t="str">
        <f t="shared" si="86"/>
        <v/>
      </c>
      <c r="I787" s="25" t="str">
        <f t="shared" si="87"/>
        <v/>
      </c>
      <c r="J787" s="20" t="str">
        <f t="shared" si="88"/>
        <v/>
      </c>
      <c r="K787" s="20" t="str">
        <f t="shared" si="89"/>
        <v/>
      </c>
      <c r="L787" s="20" t="str">
        <f>IF(B787="","",70*'DDF Original'!$Q$4)</f>
        <v/>
      </c>
      <c r="M787" s="20" t="str">
        <f t="shared" si="90"/>
        <v/>
      </c>
      <c r="N787" s="20" t="str">
        <f>IF(AND(OR(B787="",J787&gt;G787,M787&gt;G787),'DDF Original'!L787&lt;&gt; "MI"),G787,IF(M787&gt;J787,M787,J787))</f>
        <v/>
      </c>
    </row>
    <row r="788" spans="2:14" x14ac:dyDescent="0.2">
      <c r="B788" s="19" t="str">
        <f>IF('DDF Original'!B788="","",'DDF Original'!B788)</f>
        <v/>
      </c>
      <c r="C788" s="19" t="e">
        <f t="shared" si="84"/>
        <v>#VALUE!</v>
      </c>
      <c r="D788" s="20" t="str">
        <f>IF('DDF Original'!C788="","",'DDF Original'!C788)</f>
        <v/>
      </c>
      <c r="E788" s="24" t="str">
        <f>IF('DDF Original'!B788="","",IF(TRIM('DDF Original'!I788)="",0,'DDF Original'!I788))</f>
        <v/>
      </c>
      <c r="F788" s="20" t="str">
        <f t="shared" si="85"/>
        <v/>
      </c>
      <c r="G788" s="37" t="str">
        <f>IF('DDF Original'!B788="","",IF(TRIM('DDF Original'!P788)="",0,'DDF Original'!P788))</f>
        <v/>
      </c>
      <c r="H788" s="20" t="str">
        <f t="shared" si="86"/>
        <v/>
      </c>
      <c r="I788" s="25" t="str">
        <f t="shared" si="87"/>
        <v/>
      </c>
      <c r="J788" s="20" t="str">
        <f t="shared" si="88"/>
        <v/>
      </c>
      <c r="K788" s="20" t="str">
        <f t="shared" si="89"/>
        <v/>
      </c>
      <c r="L788" s="20" t="str">
        <f>IF(B788="","",70*'DDF Original'!$Q$4)</f>
        <v/>
      </c>
      <c r="M788" s="20" t="str">
        <f t="shared" si="90"/>
        <v/>
      </c>
      <c r="N788" s="20" t="str">
        <f>IF(AND(OR(B788="",J788&gt;G788,M788&gt;G788),'DDF Original'!L788&lt;&gt; "MI"),G788,IF(M788&gt;J788,M788,J788))</f>
        <v/>
      </c>
    </row>
    <row r="789" spans="2:14" x14ac:dyDescent="0.2">
      <c r="B789" s="19" t="str">
        <f>IF('DDF Original'!B789="","",'DDF Original'!B789)</f>
        <v/>
      </c>
      <c r="C789" s="19" t="e">
        <f t="shared" si="84"/>
        <v>#VALUE!</v>
      </c>
      <c r="D789" s="20" t="str">
        <f>IF('DDF Original'!C789="","",'DDF Original'!C789)</f>
        <v/>
      </c>
      <c r="E789" s="24" t="str">
        <f>IF('DDF Original'!B789="","",IF(TRIM('DDF Original'!I789)="",0,'DDF Original'!I789))</f>
        <v/>
      </c>
      <c r="F789" s="20" t="str">
        <f t="shared" si="85"/>
        <v/>
      </c>
      <c r="G789" s="37" t="str">
        <f>IF('DDF Original'!B789="","",IF(TRIM('DDF Original'!P789)="",0,'DDF Original'!P789))</f>
        <v/>
      </c>
      <c r="H789" s="20" t="str">
        <f t="shared" si="86"/>
        <v/>
      </c>
      <c r="I789" s="25" t="str">
        <f t="shared" si="87"/>
        <v/>
      </c>
      <c r="J789" s="20" t="str">
        <f t="shared" si="88"/>
        <v/>
      </c>
      <c r="K789" s="20" t="str">
        <f t="shared" si="89"/>
        <v/>
      </c>
      <c r="L789" s="20" t="str">
        <f>IF(B789="","",70*'DDF Original'!$Q$4)</f>
        <v/>
      </c>
      <c r="M789" s="20" t="str">
        <f t="shared" si="90"/>
        <v/>
      </c>
      <c r="N789" s="20" t="str">
        <f>IF(AND(OR(B789="",J789&gt;G789,M789&gt;G789),'DDF Original'!L789&lt;&gt; "MI"),G789,IF(M789&gt;J789,M789,J789))</f>
        <v/>
      </c>
    </row>
    <row r="790" spans="2:14" x14ac:dyDescent="0.2">
      <c r="B790" s="19" t="str">
        <f>IF('DDF Original'!B790="","",'DDF Original'!B790)</f>
        <v/>
      </c>
      <c r="C790" s="19" t="e">
        <f t="shared" si="84"/>
        <v>#VALUE!</v>
      </c>
      <c r="D790" s="20" t="str">
        <f>IF('DDF Original'!C790="","",'DDF Original'!C790)</f>
        <v/>
      </c>
      <c r="E790" s="24" t="str">
        <f>IF('DDF Original'!B790="","",IF(TRIM('DDF Original'!I790)="",0,'DDF Original'!I790))</f>
        <v/>
      </c>
      <c r="F790" s="20" t="str">
        <f t="shared" si="85"/>
        <v/>
      </c>
      <c r="G790" s="37" t="str">
        <f>IF('DDF Original'!B790="","",IF(TRIM('DDF Original'!P790)="",0,'DDF Original'!P790))</f>
        <v/>
      </c>
      <c r="H790" s="20" t="str">
        <f t="shared" si="86"/>
        <v/>
      </c>
      <c r="I790" s="25" t="str">
        <f t="shared" si="87"/>
        <v/>
      </c>
      <c r="J790" s="20" t="str">
        <f t="shared" si="88"/>
        <v/>
      </c>
      <c r="K790" s="20" t="str">
        <f t="shared" si="89"/>
        <v/>
      </c>
      <c r="L790" s="20" t="str">
        <f>IF(B790="","",70*'DDF Original'!$Q$4)</f>
        <v/>
      </c>
      <c r="M790" s="20" t="str">
        <f t="shared" si="90"/>
        <v/>
      </c>
      <c r="N790" s="20" t="str">
        <f>IF(AND(OR(B790="",J790&gt;G790,M790&gt;G790),'DDF Original'!L790&lt;&gt; "MI"),G790,IF(M790&gt;J790,M790,J790))</f>
        <v/>
      </c>
    </row>
    <row r="791" spans="2:14" x14ac:dyDescent="0.2">
      <c r="B791" s="19" t="str">
        <f>IF('DDF Original'!B791="","",'DDF Original'!B791)</f>
        <v/>
      </c>
      <c r="C791" s="19" t="e">
        <f t="shared" si="84"/>
        <v>#VALUE!</v>
      </c>
      <c r="D791" s="20" t="str">
        <f>IF('DDF Original'!C791="","",'DDF Original'!C791)</f>
        <v/>
      </c>
      <c r="E791" s="24" t="str">
        <f>IF('DDF Original'!B791="","",IF(TRIM('DDF Original'!I791)="",0,'DDF Original'!I791))</f>
        <v/>
      </c>
      <c r="F791" s="20" t="str">
        <f t="shared" si="85"/>
        <v/>
      </c>
      <c r="G791" s="37" t="str">
        <f>IF('DDF Original'!B791="","",IF(TRIM('DDF Original'!P791)="",0,'DDF Original'!P791))</f>
        <v/>
      </c>
      <c r="H791" s="20" t="str">
        <f t="shared" si="86"/>
        <v/>
      </c>
      <c r="I791" s="25" t="str">
        <f t="shared" si="87"/>
        <v/>
      </c>
      <c r="J791" s="20" t="str">
        <f t="shared" si="88"/>
        <v/>
      </c>
      <c r="K791" s="20" t="str">
        <f t="shared" si="89"/>
        <v/>
      </c>
      <c r="L791" s="20" t="str">
        <f>IF(B791="","",70*'DDF Original'!$Q$4)</f>
        <v/>
      </c>
      <c r="M791" s="20" t="str">
        <f t="shared" si="90"/>
        <v/>
      </c>
      <c r="N791" s="20" t="str">
        <f>IF(AND(OR(B791="",J791&gt;G791,M791&gt;G791),'DDF Original'!L791&lt;&gt; "MI"),G791,IF(M791&gt;J791,M791,J791))</f>
        <v/>
      </c>
    </row>
    <row r="792" spans="2:14" x14ac:dyDescent="0.2">
      <c r="B792" s="19" t="str">
        <f>IF('DDF Original'!B792="","",'DDF Original'!B792)</f>
        <v/>
      </c>
      <c r="C792" s="19" t="e">
        <f t="shared" si="84"/>
        <v>#VALUE!</v>
      </c>
      <c r="D792" s="20" t="str">
        <f>IF('DDF Original'!C792="","",'DDF Original'!C792)</f>
        <v/>
      </c>
      <c r="E792" s="24" t="str">
        <f>IF('DDF Original'!B792="","",IF(TRIM('DDF Original'!I792)="",0,'DDF Original'!I792))</f>
        <v/>
      </c>
      <c r="F792" s="20" t="str">
        <f t="shared" si="85"/>
        <v/>
      </c>
      <c r="G792" s="37" t="str">
        <f>IF('DDF Original'!B792="","",IF(TRIM('DDF Original'!P792)="",0,'DDF Original'!P792))</f>
        <v/>
      </c>
      <c r="H792" s="20" t="str">
        <f t="shared" si="86"/>
        <v/>
      </c>
      <c r="I792" s="25" t="str">
        <f t="shared" si="87"/>
        <v/>
      </c>
      <c r="J792" s="20" t="str">
        <f t="shared" si="88"/>
        <v/>
      </c>
      <c r="K792" s="20" t="str">
        <f t="shared" si="89"/>
        <v/>
      </c>
      <c r="L792" s="20" t="str">
        <f>IF(B792="","",70*'DDF Original'!$Q$4)</f>
        <v/>
      </c>
      <c r="M792" s="20" t="str">
        <f t="shared" si="90"/>
        <v/>
      </c>
      <c r="N792" s="20" t="str">
        <f>IF(AND(OR(B792="",J792&gt;G792,M792&gt;G792),'DDF Original'!L792&lt;&gt; "MI"),G792,IF(M792&gt;J792,M792,J792))</f>
        <v/>
      </c>
    </row>
    <row r="793" spans="2:14" x14ac:dyDescent="0.2">
      <c r="B793" s="19" t="str">
        <f>IF('DDF Original'!B793="","",'DDF Original'!B793)</f>
        <v/>
      </c>
      <c r="C793" s="19" t="e">
        <f t="shared" si="84"/>
        <v>#VALUE!</v>
      </c>
      <c r="D793" s="20" t="str">
        <f>IF('DDF Original'!C793="","",'DDF Original'!C793)</f>
        <v/>
      </c>
      <c r="E793" s="24" t="str">
        <f>IF('DDF Original'!B793="","",IF(TRIM('DDF Original'!I793)="",0,'DDF Original'!I793))</f>
        <v/>
      </c>
      <c r="F793" s="20" t="str">
        <f t="shared" si="85"/>
        <v/>
      </c>
      <c r="G793" s="37" t="str">
        <f>IF('DDF Original'!B793="","",IF(TRIM('DDF Original'!P793)="",0,'DDF Original'!P793))</f>
        <v/>
      </c>
      <c r="H793" s="20" t="str">
        <f t="shared" si="86"/>
        <v/>
      </c>
      <c r="I793" s="25" t="str">
        <f t="shared" si="87"/>
        <v/>
      </c>
      <c r="J793" s="20" t="str">
        <f t="shared" si="88"/>
        <v/>
      </c>
      <c r="K793" s="20" t="str">
        <f t="shared" si="89"/>
        <v/>
      </c>
      <c r="L793" s="20" t="str">
        <f>IF(B793="","",70*'DDF Original'!$Q$4)</f>
        <v/>
      </c>
      <c r="M793" s="20" t="str">
        <f t="shared" si="90"/>
        <v/>
      </c>
      <c r="N793" s="20" t="str">
        <f>IF(AND(OR(B793="",J793&gt;G793,M793&gt;G793),'DDF Original'!L793&lt;&gt; "MI"),G793,IF(M793&gt;J793,M793,J793))</f>
        <v/>
      </c>
    </row>
    <row r="794" spans="2:14" x14ac:dyDescent="0.2">
      <c r="B794" s="19" t="str">
        <f>IF('DDF Original'!B794="","",'DDF Original'!B794)</f>
        <v/>
      </c>
      <c r="C794" s="19" t="e">
        <f t="shared" si="84"/>
        <v>#VALUE!</v>
      </c>
      <c r="D794" s="20" t="str">
        <f>IF('DDF Original'!C794="","",'DDF Original'!C794)</f>
        <v/>
      </c>
      <c r="E794" s="24" t="str">
        <f>IF('DDF Original'!B794="","",IF(TRIM('DDF Original'!I794)="",0,'DDF Original'!I794))</f>
        <v/>
      </c>
      <c r="F794" s="20" t="str">
        <f t="shared" si="85"/>
        <v/>
      </c>
      <c r="G794" s="37" t="str">
        <f>IF('DDF Original'!B794="","",IF(TRIM('DDF Original'!P794)="",0,'DDF Original'!P794))</f>
        <v/>
      </c>
      <c r="H794" s="20" t="str">
        <f t="shared" si="86"/>
        <v/>
      </c>
      <c r="I794" s="25" t="str">
        <f t="shared" si="87"/>
        <v/>
      </c>
      <c r="J794" s="20" t="str">
        <f t="shared" si="88"/>
        <v/>
      </c>
      <c r="K794" s="20" t="str">
        <f t="shared" si="89"/>
        <v/>
      </c>
      <c r="L794" s="20" t="str">
        <f>IF(B794="","",70*'DDF Original'!$Q$4)</f>
        <v/>
      </c>
      <c r="M794" s="20" t="str">
        <f t="shared" si="90"/>
        <v/>
      </c>
      <c r="N794" s="20" t="str">
        <f>IF(AND(OR(B794="",J794&gt;G794,M794&gt;G794),'DDF Original'!L794&lt;&gt; "MI"),G794,IF(M794&gt;J794,M794,J794))</f>
        <v/>
      </c>
    </row>
    <row r="795" spans="2:14" x14ac:dyDescent="0.2">
      <c r="B795" s="19" t="str">
        <f>IF('DDF Original'!B795="","",'DDF Original'!B795)</f>
        <v/>
      </c>
      <c r="C795" s="19" t="e">
        <f t="shared" si="84"/>
        <v>#VALUE!</v>
      </c>
      <c r="D795" s="20" t="str">
        <f>IF('DDF Original'!C795="","",'DDF Original'!C795)</f>
        <v/>
      </c>
      <c r="E795" s="24" t="str">
        <f>IF('DDF Original'!B795="","",IF(TRIM('DDF Original'!I795)="",0,'DDF Original'!I795))</f>
        <v/>
      </c>
      <c r="F795" s="20" t="str">
        <f t="shared" si="85"/>
        <v/>
      </c>
      <c r="G795" s="37" t="str">
        <f>IF('DDF Original'!B795="","",IF(TRIM('DDF Original'!P795)="",0,'DDF Original'!P795))</f>
        <v/>
      </c>
      <c r="H795" s="20" t="str">
        <f t="shared" si="86"/>
        <v/>
      </c>
      <c r="I795" s="25" t="str">
        <f t="shared" si="87"/>
        <v/>
      </c>
      <c r="J795" s="20" t="str">
        <f t="shared" si="88"/>
        <v/>
      </c>
      <c r="K795" s="20" t="str">
        <f t="shared" si="89"/>
        <v/>
      </c>
      <c r="L795" s="20" t="str">
        <f>IF(B795="","",70*'DDF Original'!$Q$4)</f>
        <v/>
      </c>
      <c r="M795" s="20" t="str">
        <f t="shared" si="90"/>
        <v/>
      </c>
      <c r="N795" s="20" t="str">
        <f>IF(AND(OR(B795="",J795&gt;G795,M795&gt;G795),'DDF Original'!L795&lt;&gt; "MI"),G795,IF(M795&gt;J795,M795,J795))</f>
        <v/>
      </c>
    </row>
    <row r="796" spans="2:14" x14ac:dyDescent="0.2">
      <c r="B796" s="19" t="str">
        <f>IF('DDF Original'!B796="","",'DDF Original'!B796)</f>
        <v/>
      </c>
      <c r="C796" s="19" t="e">
        <f t="shared" si="84"/>
        <v>#VALUE!</v>
      </c>
      <c r="D796" s="20" t="str">
        <f>IF('DDF Original'!C796="","",'DDF Original'!C796)</f>
        <v/>
      </c>
      <c r="E796" s="24" t="str">
        <f>IF('DDF Original'!B796="","",IF(TRIM('DDF Original'!I796)="",0,'DDF Original'!I796))</f>
        <v/>
      </c>
      <c r="F796" s="20" t="str">
        <f t="shared" si="85"/>
        <v/>
      </c>
      <c r="G796" s="37" t="str">
        <f>IF('DDF Original'!B796="","",IF(TRIM('DDF Original'!P796)="",0,'DDF Original'!P796))</f>
        <v/>
      </c>
      <c r="H796" s="20" t="str">
        <f t="shared" si="86"/>
        <v/>
      </c>
      <c r="I796" s="25" t="str">
        <f t="shared" si="87"/>
        <v/>
      </c>
      <c r="J796" s="20" t="str">
        <f t="shared" si="88"/>
        <v/>
      </c>
      <c r="K796" s="20" t="str">
        <f t="shared" si="89"/>
        <v/>
      </c>
      <c r="L796" s="20" t="str">
        <f>IF(B796="","",70*'DDF Original'!$Q$4)</f>
        <v/>
      </c>
      <c r="M796" s="20" t="str">
        <f t="shared" si="90"/>
        <v/>
      </c>
      <c r="N796" s="20" t="str">
        <f>IF(AND(OR(B796="",J796&gt;G796,M796&gt;G796),'DDF Original'!L796&lt;&gt; "MI"),G796,IF(M796&gt;J796,M796,J796))</f>
        <v/>
      </c>
    </row>
    <row r="797" spans="2:14" x14ac:dyDescent="0.2">
      <c r="B797" s="19" t="str">
        <f>IF('DDF Original'!B797="","",'DDF Original'!B797)</f>
        <v/>
      </c>
      <c r="C797" s="19" t="e">
        <f t="shared" si="84"/>
        <v>#VALUE!</v>
      </c>
      <c r="D797" s="20" t="str">
        <f>IF('DDF Original'!C797="","",'DDF Original'!C797)</f>
        <v/>
      </c>
      <c r="E797" s="24" t="str">
        <f>IF('DDF Original'!B797="","",IF(TRIM('DDF Original'!I797)="",0,'DDF Original'!I797))</f>
        <v/>
      </c>
      <c r="F797" s="20" t="str">
        <f t="shared" si="85"/>
        <v/>
      </c>
      <c r="G797" s="37" t="str">
        <f>IF('DDF Original'!B797="","",IF(TRIM('DDF Original'!P797)="",0,'DDF Original'!P797))</f>
        <v/>
      </c>
      <c r="H797" s="20" t="str">
        <f t="shared" si="86"/>
        <v/>
      </c>
      <c r="I797" s="25" t="str">
        <f t="shared" si="87"/>
        <v/>
      </c>
      <c r="J797" s="20" t="str">
        <f t="shared" si="88"/>
        <v/>
      </c>
      <c r="K797" s="20" t="str">
        <f t="shared" si="89"/>
        <v/>
      </c>
      <c r="L797" s="20" t="str">
        <f>IF(B797="","",70*'DDF Original'!$Q$4)</f>
        <v/>
      </c>
      <c r="M797" s="20" t="str">
        <f t="shared" si="90"/>
        <v/>
      </c>
      <c r="N797" s="20" t="str">
        <f>IF(AND(OR(B797="",J797&gt;G797,M797&gt;G797),'DDF Original'!L797&lt;&gt; "MI"),G797,IF(M797&gt;J797,M797,J797))</f>
        <v/>
      </c>
    </row>
    <row r="798" spans="2:14" x14ac:dyDescent="0.2">
      <c r="B798" s="19" t="str">
        <f>IF('DDF Original'!B798="","",'DDF Original'!B798)</f>
        <v/>
      </c>
      <c r="C798" s="19" t="e">
        <f t="shared" si="84"/>
        <v>#VALUE!</v>
      </c>
      <c r="D798" s="20" t="str">
        <f>IF('DDF Original'!C798="","",'DDF Original'!C798)</f>
        <v/>
      </c>
      <c r="E798" s="24" t="str">
        <f>IF('DDF Original'!B798="","",IF(TRIM('DDF Original'!I798)="",0,'DDF Original'!I798))</f>
        <v/>
      </c>
      <c r="F798" s="20" t="str">
        <f t="shared" si="85"/>
        <v/>
      </c>
      <c r="G798" s="37" t="str">
        <f>IF('DDF Original'!B798="","",IF(TRIM('DDF Original'!P798)="",0,'DDF Original'!P798))</f>
        <v/>
      </c>
      <c r="H798" s="20" t="str">
        <f t="shared" si="86"/>
        <v/>
      </c>
      <c r="I798" s="25" t="str">
        <f t="shared" si="87"/>
        <v/>
      </c>
      <c r="J798" s="20" t="str">
        <f t="shared" si="88"/>
        <v/>
      </c>
      <c r="K798" s="20" t="str">
        <f t="shared" si="89"/>
        <v/>
      </c>
      <c r="L798" s="20" t="str">
        <f>IF(B798="","",70*'DDF Original'!$Q$4)</f>
        <v/>
      </c>
      <c r="M798" s="20" t="str">
        <f t="shared" si="90"/>
        <v/>
      </c>
      <c r="N798" s="20" t="str">
        <f>IF(AND(OR(B798="",J798&gt;G798,M798&gt;G798),'DDF Original'!L798&lt;&gt; "MI"),G798,IF(M798&gt;J798,M798,J798))</f>
        <v/>
      </c>
    </row>
    <row r="799" spans="2:14" x14ac:dyDescent="0.2">
      <c r="B799" s="19" t="str">
        <f>IF('DDF Original'!B799="","",'DDF Original'!B799)</f>
        <v/>
      </c>
      <c r="C799" s="19" t="e">
        <f t="shared" si="84"/>
        <v>#VALUE!</v>
      </c>
      <c r="D799" s="20" t="str">
        <f>IF('DDF Original'!C799="","",'DDF Original'!C799)</f>
        <v/>
      </c>
      <c r="E799" s="24" t="str">
        <f>IF('DDF Original'!B799="","",IF(TRIM('DDF Original'!I799)="",0,'DDF Original'!I799))</f>
        <v/>
      </c>
      <c r="F799" s="20" t="str">
        <f t="shared" si="85"/>
        <v/>
      </c>
      <c r="G799" s="37" t="str">
        <f>IF('DDF Original'!B799="","",IF(TRIM('DDF Original'!P799)="",0,'DDF Original'!P799))</f>
        <v/>
      </c>
      <c r="H799" s="20" t="str">
        <f t="shared" si="86"/>
        <v/>
      </c>
      <c r="I799" s="25" t="str">
        <f t="shared" si="87"/>
        <v/>
      </c>
      <c r="J799" s="20" t="str">
        <f t="shared" si="88"/>
        <v/>
      </c>
      <c r="K799" s="20" t="str">
        <f t="shared" si="89"/>
        <v/>
      </c>
      <c r="L799" s="20" t="str">
        <f>IF(B799="","",70*'DDF Original'!$Q$4)</f>
        <v/>
      </c>
      <c r="M799" s="20" t="str">
        <f t="shared" si="90"/>
        <v/>
      </c>
      <c r="N799" s="20" t="str">
        <f>IF(AND(OR(B799="",J799&gt;G799,M799&gt;G799),'DDF Original'!L799&lt;&gt; "MI"),G799,IF(M799&gt;J799,M799,J799))</f>
        <v/>
      </c>
    </row>
    <row r="800" spans="2:14" x14ac:dyDescent="0.2">
      <c r="B800" s="19" t="str">
        <f>IF('DDF Original'!B800="","",'DDF Original'!B800)</f>
        <v/>
      </c>
      <c r="C800" s="19" t="e">
        <f t="shared" si="84"/>
        <v>#VALUE!</v>
      </c>
      <c r="D800" s="20" t="str">
        <f>IF('DDF Original'!C800="","",'DDF Original'!C800)</f>
        <v/>
      </c>
      <c r="E800" s="24" t="str">
        <f>IF('DDF Original'!B800="","",IF(TRIM('DDF Original'!I800)="",0,'DDF Original'!I800))</f>
        <v/>
      </c>
      <c r="F800" s="20" t="str">
        <f t="shared" si="85"/>
        <v/>
      </c>
      <c r="G800" s="37" t="str">
        <f>IF('DDF Original'!B800="","",IF(TRIM('DDF Original'!P800)="",0,'DDF Original'!P800))</f>
        <v/>
      </c>
      <c r="H800" s="20" t="str">
        <f t="shared" si="86"/>
        <v/>
      </c>
      <c r="I800" s="25" t="str">
        <f t="shared" si="87"/>
        <v/>
      </c>
      <c r="J800" s="20" t="str">
        <f t="shared" si="88"/>
        <v/>
      </c>
      <c r="K800" s="20" t="str">
        <f t="shared" si="89"/>
        <v/>
      </c>
      <c r="L800" s="20" t="str">
        <f>IF(B800="","",70*'DDF Original'!$Q$4)</f>
        <v/>
      </c>
      <c r="M800" s="20" t="str">
        <f t="shared" si="90"/>
        <v/>
      </c>
      <c r="N800" s="20" t="str">
        <f>IF(AND(OR(B800="",J800&gt;G800,M800&gt;G800),'DDF Original'!L800&lt;&gt; "MI"),G800,IF(M800&gt;J800,M800,J800))</f>
        <v/>
      </c>
    </row>
    <row r="801" spans="2:14" x14ac:dyDescent="0.2">
      <c r="B801" s="19" t="str">
        <f>IF('DDF Original'!B801="","",'DDF Original'!B801)</f>
        <v/>
      </c>
      <c r="C801" s="19" t="e">
        <f t="shared" si="84"/>
        <v>#VALUE!</v>
      </c>
      <c r="D801" s="20" t="str">
        <f>IF('DDF Original'!C801="","",'DDF Original'!C801)</f>
        <v/>
      </c>
      <c r="E801" s="24" t="str">
        <f>IF('DDF Original'!B801="","",IF(TRIM('DDF Original'!I801)="",0,'DDF Original'!I801))</f>
        <v/>
      </c>
      <c r="F801" s="20" t="str">
        <f t="shared" si="85"/>
        <v/>
      </c>
      <c r="G801" s="37" t="str">
        <f>IF('DDF Original'!B801="","",IF(TRIM('DDF Original'!P801)="",0,'DDF Original'!P801))</f>
        <v/>
      </c>
      <c r="H801" s="20" t="str">
        <f t="shared" si="86"/>
        <v/>
      </c>
      <c r="I801" s="25" t="str">
        <f t="shared" si="87"/>
        <v/>
      </c>
      <c r="J801" s="20" t="str">
        <f t="shared" si="88"/>
        <v/>
      </c>
      <c r="K801" s="20" t="str">
        <f t="shared" si="89"/>
        <v/>
      </c>
      <c r="L801" s="20" t="str">
        <f>IF(B801="","",70*'DDF Original'!$Q$4)</f>
        <v/>
      </c>
      <c r="M801" s="20" t="str">
        <f t="shared" si="90"/>
        <v/>
      </c>
      <c r="N801" s="20" t="str">
        <f>IF(AND(OR(B801="",J801&gt;G801,M801&gt;G801),'DDF Original'!L801&lt;&gt; "MI"),G801,IF(M801&gt;J801,M801,J801))</f>
        <v/>
      </c>
    </row>
    <row r="802" spans="2:14" x14ac:dyDescent="0.2">
      <c r="B802" s="19" t="str">
        <f>IF('DDF Original'!B802="","",'DDF Original'!B802)</f>
        <v/>
      </c>
      <c r="C802" s="19" t="e">
        <f t="shared" si="84"/>
        <v>#VALUE!</v>
      </c>
      <c r="D802" s="20" t="str">
        <f>IF('DDF Original'!C802="","",'DDF Original'!C802)</f>
        <v/>
      </c>
      <c r="E802" s="24" t="str">
        <f>IF('DDF Original'!B802="","",IF(TRIM('DDF Original'!I802)="",0,'DDF Original'!I802))</f>
        <v/>
      </c>
      <c r="F802" s="20" t="str">
        <f t="shared" si="85"/>
        <v/>
      </c>
      <c r="G802" s="37" t="str">
        <f>IF('DDF Original'!B802="","",IF(TRIM('DDF Original'!P802)="",0,'DDF Original'!P802))</f>
        <v/>
      </c>
      <c r="H802" s="20" t="str">
        <f t="shared" si="86"/>
        <v/>
      </c>
      <c r="I802" s="25" t="str">
        <f t="shared" si="87"/>
        <v/>
      </c>
      <c r="J802" s="20" t="str">
        <f t="shared" si="88"/>
        <v/>
      </c>
      <c r="K802" s="20" t="str">
        <f t="shared" si="89"/>
        <v/>
      </c>
      <c r="L802" s="20" t="str">
        <f>IF(B802="","",70*'DDF Original'!$Q$4)</f>
        <v/>
      </c>
      <c r="M802" s="20" t="str">
        <f t="shared" si="90"/>
        <v/>
      </c>
      <c r="N802" s="20" t="str">
        <f>IF(AND(OR(B802="",J802&gt;G802,M802&gt;G802),'DDF Original'!L802&lt;&gt; "MI"),G802,IF(M802&gt;J802,M802,J802))</f>
        <v/>
      </c>
    </row>
    <row r="803" spans="2:14" x14ac:dyDescent="0.2">
      <c r="B803" s="19" t="str">
        <f>IF('DDF Original'!B803="","",'DDF Original'!B803)</f>
        <v/>
      </c>
      <c r="C803" s="19" t="e">
        <f t="shared" si="84"/>
        <v>#VALUE!</v>
      </c>
      <c r="D803" s="20" t="str">
        <f>IF('DDF Original'!C803="","",'DDF Original'!C803)</f>
        <v/>
      </c>
      <c r="E803" s="24" t="str">
        <f>IF('DDF Original'!B803="","",IF(TRIM('DDF Original'!I803)="",0,'DDF Original'!I803))</f>
        <v/>
      </c>
      <c r="F803" s="20" t="str">
        <f t="shared" si="85"/>
        <v/>
      </c>
      <c r="G803" s="37" t="str">
        <f>IF('DDF Original'!B803="","",IF(TRIM('DDF Original'!P803)="",0,'DDF Original'!P803))</f>
        <v/>
      </c>
      <c r="H803" s="20" t="str">
        <f t="shared" si="86"/>
        <v/>
      </c>
      <c r="I803" s="25" t="str">
        <f t="shared" si="87"/>
        <v/>
      </c>
      <c r="J803" s="20" t="str">
        <f t="shared" si="88"/>
        <v/>
      </c>
      <c r="K803" s="20" t="str">
        <f t="shared" si="89"/>
        <v/>
      </c>
      <c r="L803" s="20" t="str">
        <f>IF(B803="","",70*'DDF Original'!$Q$4)</f>
        <v/>
      </c>
      <c r="M803" s="20" t="str">
        <f t="shared" si="90"/>
        <v/>
      </c>
      <c r="N803" s="20" t="str">
        <f>IF(AND(OR(B803="",J803&gt;G803,M803&gt;G803),'DDF Original'!L803&lt;&gt; "MI"),G803,IF(M803&gt;J803,M803,J803))</f>
        <v/>
      </c>
    </row>
    <row r="804" spans="2:14" x14ac:dyDescent="0.2">
      <c r="B804" s="19" t="str">
        <f>IF('DDF Original'!B804="","",'DDF Original'!B804)</f>
        <v/>
      </c>
      <c r="C804" s="19" t="e">
        <f t="shared" si="84"/>
        <v>#VALUE!</v>
      </c>
      <c r="D804" s="20" t="str">
        <f>IF('DDF Original'!C804="","",'DDF Original'!C804)</f>
        <v/>
      </c>
      <c r="E804" s="24" t="str">
        <f>IF('DDF Original'!B804="","",IF(TRIM('DDF Original'!I804)="",0,'DDF Original'!I804))</f>
        <v/>
      </c>
      <c r="F804" s="20" t="str">
        <f t="shared" si="85"/>
        <v/>
      </c>
      <c r="G804" s="37" t="str">
        <f>IF('DDF Original'!B804="","",IF(TRIM('DDF Original'!P804)="",0,'DDF Original'!P804))</f>
        <v/>
      </c>
      <c r="H804" s="20" t="str">
        <f t="shared" si="86"/>
        <v/>
      </c>
      <c r="I804" s="25" t="str">
        <f t="shared" si="87"/>
        <v/>
      </c>
      <c r="J804" s="20" t="str">
        <f t="shared" si="88"/>
        <v/>
      </c>
      <c r="K804" s="20" t="str">
        <f t="shared" si="89"/>
        <v/>
      </c>
      <c r="L804" s="20" t="str">
        <f>IF(B804="","",70*'DDF Original'!$Q$4)</f>
        <v/>
      </c>
      <c r="M804" s="20" t="str">
        <f t="shared" si="90"/>
        <v/>
      </c>
      <c r="N804" s="20" t="str">
        <f>IF(AND(OR(B804="",J804&gt;G804,M804&gt;G804),'DDF Original'!L804&lt;&gt; "MI"),G804,IF(M804&gt;J804,M804,J804))</f>
        <v/>
      </c>
    </row>
    <row r="805" spans="2:14" x14ac:dyDescent="0.2">
      <c r="B805" s="19" t="str">
        <f>IF('DDF Original'!B805="","",'DDF Original'!B805)</f>
        <v/>
      </c>
      <c r="C805" s="19" t="e">
        <f t="shared" si="84"/>
        <v>#VALUE!</v>
      </c>
      <c r="D805" s="20" t="str">
        <f>IF('DDF Original'!C805="","",'DDF Original'!C805)</f>
        <v/>
      </c>
      <c r="E805" s="24" t="str">
        <f>IF('DDF Original'!B805="","",IF(TRIM('DDF Original'!I805)="",0,'DDF Original'!I805))</f>
        <v/>
      </c>
      <c r="F805" s="20" t="str">
        <f t="shared" si="85"/>
        <v/>
      </c>
      <c r="G805" s="37" t="str">
        <f>IF('DDF Original'!B805="","",IF(TRIM('DDF Original'!P805)="",0,'DDF Original'!P805))</f>
        <v/>
      </c>
      <c r="H805" s="20" t="str">
        <f t="shared" si="86"/>
        <v/>
      </c>
      <c r="I805" s="25" t="str">
        <f t="shared" si="87"/>
        <v/>
      </c>
      <c r="J805" s="20" t="str">
        <f t="shared" si="88"/>
        <v/>
      </c>
      <c r="K805" s="20" t="str">
        <f t="shared" si="89"/>
        <v/>
      </c>
      <c r="L805" s="20" t="str">
        <f>IF(B805="","",70*'DDF Original'!$Q$4)</f>
        <v/>
      </c>
      <c r="M805" s="20" t="str">
        <f t="shared" si="90"/>
        <v/>
      </c>
      <c r="N805" s="20" t="str">
        <f>IF(AND(OR(B805="",J805&gt;G805,M805&gt;G805),'DDF Original'!L805&lt;&gt; "MI"),G805,IF(M805&gt;J805,M805,J805))</f>
        <v/>
      </c>
    </row>
    <row r="806" spans="2:14" x14ac:dyDescent="0.2">
      <c r="B806" s="19" t="str">
        <f>IF('DDF Original'!B806="","",'DDF Original'!B806)</f>
        <v/>
      </c>
      <c r="C806" s="19" t="e">
        <f t="shared" si="84"/>
        <v>#VALUE!</v>
      </c>
      <c r="D806" s="20" t="str">
        <f>IF('DDF Original'!C806="","",'DDF Original'!C806)</f>
        <v/>
      </c>
      <c r="E806" s="24" t="str">
        <f>IF('DDF Original'!B806="","",IF(TRIM('DDF Original'!I806)="",0,'DDF Original'!I806))</f>
        <v/>
      </c>
      <c r="F806" s="20" t="str">
        <f t="shared" si="85"/>
        <v/>
      </c>
      <c r="G806" s="37" t="str">
        <f>IF('DDF Original'!B806="","",IF(TRIM('DDF Original'!P806)="",0,'DDF Original'!P806))</f>
        <v/>
      </c>
      <c r="H806" s="20" t="str">
        <f t="shared" si="86"/>
        <v/>
      </c>
      <c r="I806" s="25" t="str">
        <f t="shared" si="87"/>
        <v/>
      </c>
      <c r="J806" s="20" t="str">
        <f t="shared" si="88"/>
        <v/>
      </c>
      <c r="K806" s="20" t="str">
        <f t="shared" si="89"/>
        <v/>
      </c>
      <c r="L806" s="20" t="str">
        <f>IF(B806="","",70*'DDF Original'!$Q$4)</f>
        <v/>
      </c>
      <c r="M806" s="20" t="str">
        <f t="shared" si="90"/>
        <v/>
      </c>
      <c r="N806" s="20" t="str">
        <f>IF(AND(OR(B806="",J806&gt;G806,M806&gt;G806),'DDF Original'!L806&lt;&gt; "MI"),G806,IF(M806&gt;J806,M806,J806))</f>
        <v/>
      </c>
    </row>
    <row r="807" spans="2:14" x14ac:dyDescent="0.2">
      <c r="B807" s="19" t="str">
        <f>IF('DDF Original'!B807="","",'DDF Original'!B807)</f>
        <v/>
      </c>
      <c r="C807" s="19" t="e">
        <f t="shared" si="84"/>
        <v>#VALUE!</v>
      </c>
      <c r="D807" s="20" t="str">
        <f>IF('DDF Original'!C807="","",'DDF Original'!C807)</f>
        <v/>
      </c>
      <c r="E807" s="24" t="str">
        <f>IF('DDF Original'!B807="","",IF(TRIM('DDF Original'!I807)="",0,'DDF Original'!I807))</f>
        <v/>
      </c>
      <c r="F807" s="20" t="str">
        <f t="shared" si="85"/>
        <v/>
      </c>
      <c r="G807" s="37" t="str">
        <f>IF('DDF Original'!B807="","",IF(TRIM('DDF Original'!P807)="",0,'DDF Original'!P807))</f>
        <v/>
      </c>
      <c r="H807" s="20" t="str">
        <f t="shared" si="86"/>
        <v/>
      </c>
      <c r="I807" s="25" t="str">
        <f t="shared" si="87"/>
        <v/>
      </c>
      <c r="J807" s="20" t="str">
        <f t="shared" si="88"/>
        <v/>
      </c>
      <c r="K807" s="20" t="str">
        <f t="shared" si="89"/>
        <v/>
      </c>
      <c r="L807" s="20" t="str">
        <f>IF(B807="","",70*'DDF Original'!$Q$4)</f>
        <v/>
      </c>
      <c r="M807" s="20" t="str">
        <f t="shared" si="90"/>
        <v/>
      </c>
      <c r="N807" s="20" t="str">
        <f>IF(AND(OR(B807="",J807&gt;G807,M807&gt;G807),'DDF Original'!L807&lt;&gt; "MI"),G807,IF(M807&gt;J807,M807,J807))</f>
        <v/>
      </c>
    </row>
    <row r="808" spans="2:14" x14ac:dyDescent="0.2">
      <c r="B808" s="19" t="str">
        <f>IF('DDF Original'!B808="","",'DDF Original'!B808)</f>
        <v/>
      </c>
      <c r="C808" s="19" t="e">
        <f t="shared" si="84"/>
        <v>#VALUE!</v>
      </c>
      <c r="D808" s="20" t="str">
        <f>IF('DDF Original'!C808="","",'DDF Original'!C808)</f>
        <v/>
      </c>
      <c r="E808" s="24" t="str">
        <f>IF('DDF Original'!B808="","",IF(TRIM('DDF Original'!I808)="",0,'DDF Original'!I808))</f>
        <v/>
      </c>
      <c r="F808" s="20" t="str">
        <f t="shared" si="85"/>
        <v/>
      </c>
      <c r="G808" s="37" t="str">
        <f>IF('DDF Original'!B808="","",IF(TRIM('DDF Original'!P808)="",0,'DDF Original'!P808))</f>
        <v/>
      </c>
      <c r="H808" s="20" t="str">
        <f t="shared" si="86"/>
        <v/>
      </c>
      <c r="I808" s="25" t="str">
        <f t="shared" si="87"/>
        <v/>
      </c>
      <c r="J808" s="20" t="str">
        <f t="shared" si="88"/>
        <v/>
      </c>
      <c r="K808" s="20" t="str">
        <f t="shared" si="89"/>
        <v/>
      </c>
      <c r="L808" s="20" t="str">
        <f>IF(B808="","",70*'DDF Original'!$Q$4)</f>
        <v/>
      </c>
      <c r="M808" s="20" t="str">
        <f t="shared" si="90"/>
        <v/>
      </c>
      <c r="N808" s="20" t="str">
        <f>IF(AND(OR(B808="",J808&gt;G808,M808&gt;G808),'DDF Original'!L808&lt;&gt; "MI"),G808,IF(M808&gt;J808,M808,J808))</f>
        <v/>
      </c>
    </row>
    <row r="809" spans="2:14" x14ac:dyDescent="0.2">
      <c r="B809" s="19" t="str">
        <f>IF('DDF Original'!B809="","",'DDF Original'!B809)</f>
        <v/>
      </c>
      <c r="C809" s="19" t="e">
        <f t="shared" si="84"/>
        <v>#VALUE!</v>
      </c>
      <c r="D809" s="20" t="str">
        <f>IF('DDF Original'!C809="","",'DDF Original'!C809)</f>
        <v/>
      </c>
      <c r="E809" s="24" t="str">
        <f>IF('DDF Original'!B809="","",IF(TRIM('DDF Original'!I809)="",0,'DDF Original'!I809))</f>
        <v/>
      </c>
      <c r="F809" s="20" t="str">
        <f t="shared" si="85"/>
        <v/>
      </c>
      <c r="G809" s="37" t="str">
        <f>IF('DDF Original'!B809="","",IF(TRIM('DDF Original'!P809)="",0,'DDF Original'!P809))</f>
        <v/>
      </c>
      <c r="H809" s="20" t="str">
        <f t="shared" si="86"/>
        <v/>
      </c>
      <c r="I809" s="25" t="str">
        <f t="shared" si="87"/>
        <v/>
      </c>
      <c r="J809" s="20" t="str">
        <f t="shared" si="88"/>
        <v/>
      </c>
      <c r="K809" s="20" t="str">
        <f t="shared" si="89"/>
        <v/>
      </c>
      <c r="L809" s="20" t="str">
        <f>IF(B809="","",70*'DDF Original'!$Q$4)</f>
        <v/>
      </c>
      <c r="M809" s="20" t="str">
        <f t="shared" si="90"/>
        <v/>
      </c>
      <c r="N809" s="20" t="str">
        <f>IF(AND(OR(B809="",J809&gt;G809,M809&gt;G809),'DDF Original'!L809&lt;&gt; "MI"),G809,IF(M809&gt;J809,M809,J809))</f>
        <v/>
      </c>
    </row>
    <row r="810" spans="2:14" x14ac:dyDescent="0.2">
      <c r="B810" s="19" t="str">
        <f>IF('DDF Original'!B810="","",'DDF Original'!B810)</f>
        <v/>
      </c>
      <c r="C810" s="19" t="e">
        <f t="shared" si="84"/>
        <v>#VALUE!</v>
      </c>
      <c r="D810" s="20" t="str">
        <f>IF('DDF Original'!C810="","",'DDF Original'!C810)</f>
        <v/>
      </c>
      <c r="E810" s="24" t="str">
        <f>IF('DDF Original'!B810="","",IF(TRIM('DDF Original'!I810)="",0,'DDF Original'!I810))</f>
        <v/>
      </c>
      <c r="F810" s="20" t="str">
        <f t="shared" si="85"/>
        <v/>
      </c>
      <c r="G810" s="37" t="str">
        <f>IF('DDF Original'!B810="","",IF(TRIM('DDF Original'!P810)="",0,'DDF Original'!P810))</f>
        <v/>
      </c>
      <c r="H810" s="20" t="str">
        <f t="shared" si="86"/>
        <v/>
      </c>
      <c r="I810" s="25" t="str">
        <f t="shared" si="87"/>
        <v/>
      </c>
      <c r="J810" s="20" t="str">
        <f t="shared" si="88"/>
        <v/>
      </c>
      <c r="K810" s="20" t="str">
        <f t="shared" si="89"/>
        <v/>
      </c>
      <c r="L810" s="20" t="str">
        <f>IF(B810="","",70*'DDF Original'!$Q$4)</f>
        <v/>
      </c>
      <c r="M810" s="20" t="str">
        <f t="shared" si="90"/>
        <v/>
      </c>
      <c r="N810" s="20" t="str">
        <f>IF(AND(OR(B810="",J810&gt;G810,M810&gt;G810),'DDF Original'!L810&lt;&gt; "MI"),G810,IF(M810&gt;J810,M810,J810))</f>
        <v/>
      </c>
    </row>
    <row r="811" spans="2:14" x14ac:dyDescent="0.2">
      <c r="B811" s="19" t="str">
        <f>IF('DDF Original'!B811="","",'DDF Original'!B811)</f>
        <v/>
      </c>
      <c r="C811" s="19" t="e">
        <f t="shared" si="84"/>
        <v>#VALUE!</v>
      </c>
      <c r="D811" s="20" t="str">
        <f>IF('DDF Original'!C811="","",'DDF Original'!C811)</f>
        <v/>
      </c>
      <c r="E811" s="24" t="str">
        <f>IF('DDF Original'!B811="","",IF(TRIM('DDF Original'!I811)="",0,'DDF Original'!I811))</f>
        <v/>
      </c>
      <c r="F811" s="20" t="str">
        <f t="shared" si="85"/>
        <v/>
      </c>
      <c r="G811" s="37" t="str">
        <f>IF('DDF Original'!B811="","",IF(TRIM('DDF Original'!P811)="",0,'DDF Original'!P811))</f>
        <v/>
      </c>
      <c r="H811" s="20" t="str">
        <f t="shared" si="86"/>
        <v/>
      </c>
      <c r="I811" s="25" t="str">
        <f t="shared" si="87"/>
        <v/>
      </c>
      <c r="J811" s="20" t="str">
        <f t="shared" si="88"/>
        <v/>
      </c>
      <c r="K811" s="20" t="str">
        <f t="shared" si="89"/>
        <v/>
      </c>
      <c r="L811" s="20" t="str">
        <f>IF(B811="","",70*'DDF Original'!$Q$4)</f>
        <v/>
      </c>
      <c r="M811" s="20" t="str">
        <f t="shared" si="90"/>
        <v/>
      </c>
      <c r="N811" s="20" t="str">
        <f>IF(AND(OR(B811="",J811&gt;G811,M811&gt;G811),'DDF Original'!L811&lt;&gt; "MI"),G811,IF(M811&gt;J811,M811,J811))</f>
        <v/>
      </c>
    </row>
    <row r="812" spans="2:14" x14ac:dyDescent="0.2">
      <c r="B812" s="19" t="str">
        <f>IF('DDF Original'!B812="","",'DDF Original'!B812)</f>
        <v/>
      </c>
      <c r="C812" s="19" t="e">
        <f t="shared" si="84"/>
        <v>#VALUE!</v>
      </c>
      <c r="D812" s="20" t="str">
        <f>IF('DDF Original'!C812="","",'DDF Original'!C812)</f>
        <v/>
      </c>
      <c r="E812" s="24" t="str">
        <f>IF('DDF Original'!B812="","",IF(TRIM('DDF Original'!I812)="",0,'DDF Original'!I812))</f>
        <v/>
      </c>
      <c r="F812" s="20" t="str">
        <f t="shared" si="85"/>
        <v/>
      </c>
      <c r="G812" s="37" t="str">
        <f>IF('DDF Original'!B812="","",IF(TRIM('DDF Original'!P812)="",0,'DDF Original'!P812))</f>
        <v/>
      </c>
      <c r="H812" s="20" t="str">
        <f t="shared" si="86"/>
        <v/>
      </c>
      <c r="I812" s="25" t="str">
        <f t="shared" si="87"/>
        <v/>
      </c>
      <c r="J812" s="20" t="str">
        <f t="shared" si="88"/>
        <v/>
      </c>
      <c r="K812" s="20" t="str">
        <f t="shared" si="89"/>
        <v/>
      </c>
      <c r="L812" s="20" t="str">
        <f>IF(B812="","",70*'DDF Original'!$Q$4)</f>
        <v/>
      </c>
      <c r="M812" s="20" t="str">
        <f t="shared" si="90"/>
        <v/>
      </c>
      <c r="N812" s="20" t="str">
        <f>IF(AND(OR(B812="",J812&gt;G812,M812&gt;G812),'DDF Original'!L812&lt;&gt; "MI"),G812,IF(M812&gt;J812,M812,J812))</f>
        <v/>
      </c>
    </row>
    <row r="813" spans="2:14" x14ac:dyDescent="0.2">
      <c r="B813" s="19" t="str">
        <f>IF('DDF Original'!B813="","",'DDF Original'!B813)</f>
        <v/>
      </c>
      <c r="C813" s="19" t="e">
        <f t="shared" si="84"/>
        <v>#VALUE!</v>
      </c>
      <c r="D813" s="20" t="str">
        <f>IF('DDF Original'!C813="","",'DDF Original'!C813)</f>
        <v/>
      </c>
      <c r="E813" s="24" t="str">
        <f>IF('DDF Original'!B813="","",IF(TRIM('DDF Original'!I813)="",0,'DDF Original'!I813))</f>
        <v/>
      </c>
      <c r="F813" s="20" t="str">
        <f t="shared" si="85"/>
        <v/>
      </c>
      <c r="G813" s="37" t="str">
        <f>IF('DDF Original'!B813="","",IF(TRIM('DDF Original'!P813)="",0,'DDF Original'!P813))</f>
        <v/>
      </c>
      <c r="H813" s="20" t="str">
        <f t="shared" si="86"/>
        <v/>
      </c>
      <c r="I813" s="25" t="str">
        <f t="shared" si="87"/>
        <v/>
      </c>
      <c r="J813" s="20" t="str">
        <f t="shared" si="88"/>
        <v/>
      </c>
      <c r="K813" s="20" t="str">
        <f t="shared" si="89"/>
        <v/>
      </c>
      <c r="L813" s="20" t="str">
        <f>IF(B813="","",70*'DDF Original'!$Q$4)</f>
        <v/>
      </c>
      <c r="M813" s="20" t="str">
        <f t="shared" si="90"/>
        <v/>
      </c>
      <c r="N813" s="20" t="str">
        <f>IF(AND(OR(B813="",J813&gt;G813,M813&gt;G813),'DDF Original'!L813&lt;&gt; "MI"),G813,IF(M813&gt;J813,M813,J813))</f>
        <v/>
      </c>
    </row>
    <row r="814" spans="2:14" x14ac:dyDescent="0.2">
      <c r="B814" s="19" t="str">
        <f>IF('DDF Original'!B814="","",'DDF Original'!B814)</f>
        <v/>
      </c>
      <c r="C814" s="19" t="e">
        <f t="shared" si="84"/>
        <v>#VALUE!</v>
      </c>
      <c r="D814" s="20" t="str">
        <f>IF('DDF Original'!C814="","",'DDF Original'!C814)</f>
        <v/>
      </c>
      <c r="E814" s="24" t="str">
        <f>IF('DDF Original'!B814="","",IF(TRIM('DDF Original'!I814)="",0,'DDF Original'!I814))</f>
        <v/>
      </c>
      <c r="F814" s="20" t="str">
        <f t="shared" si="85"/>
        <v/>
      </c>
      <c r="G814" s="37" t="str">
        <f>IF('DDF Original'!B814="","",IF(TRIM('DDF Original'!P814)="",0,'DDF Original'!P814))</f>
        <v/>
      </c>
      <c r="H814" s="20" t="str">
        <f t="shared" si="86"/>
        <v/>
      </c>
      <c r="I814" s="25" t="str">
        <f t="shared" si="87"/>
        <v/>
      </c>
      <c r="J814" s="20" t="str">
        <f t="shared" si="88"/>
        <v/>
      </c>
      <c r="K814" s="20" t="str">
        <f t="shared" si="89"/>
        <v/>
      </c>
      <c r="L814" s="20" t="str">
        <f>IF(B814="","",70*'DDF Original'!$Q$4)</f>
        <v/>
      </c>
      <c r="M814" s="20" t="str">
        <f t="shared" si="90"/>
        <v/>
      </c>
      <c r="N814" s="20" t="str">
        <f>IF(AND(OR(B814="",J814&gt;G814,M814&gt;G814),'DDF Original'!L814&lt;&gt; "MI"),G814,IF(M814&gt;J814,M814,J814))</f>
        <v/>
      </c>
    </row>
    <row r="815" spans="2:14" x14ac:dyDescent="0.2">
      <c r="B815" s="19" t="str">
        <f>IF('DDF Original'!B815="","",'DDF Original'!B815)</f>
        <v/>
      </c>
      <c r="C815" s="19" t="e">
        <f t="shared" si="84"/>
        <v>#VALUE!</v>
      </c>
      <c r="D815" s="20" t="str">
        <f>IF('DDF Original'!C815="","",'DDF Original'!C815)</f>
        <v/>
      </c>
      <c r="E815" s="24" t="str">
        <f>IF('DDF Original'!B815="","",IF(TRIM('DDF Original'!I815)="",0,'DDF Original'!I815))</f>
        <v/>
      </c>
      <c r="F815" s="20" t="str">
        <f t="shared" si="85"/>
        <v/>
      </c>
      <c r="G815" s="37" t="str">
        <f>IF('DDF Original'!B815="","",IF(TRIM('DDF Original'!P815)="",0,'DDF Original'!P815))</f>
        <v/>
      </c>
      <c r="H815" s="20" t="str">
        <f t="shared" si="86"/>
        <v/>
      </c>
      <c r="I815" s="25" t="str">
        <f t="shared" si="87"/>
        <v/>
      </c>
      <c r="J815" s="20" t="str">
        <f t="shared" si="88"/>
        <v/>
      </c>
      <c r="K815" s="20" t="str">
        <f t="shared" si="89"/>
        <v/>
      </c>
      <c r="L815" s="20" t="str">
        <f>IF(B815="","",70*'DDF Original'!$Q$4)</f>
        <v/>
      </c>
      <c r="M815" s="20" t="str">
        <f t="shared" si="90"/>
        <v/>
      </c>
      <c r="N815" s="20" t="str">
        <f>IF(AND(OR(B815="",J815&gt;G815,M815&gt;G815),'DDF Original'!L815&lt;&gt; "MI"),G815,IF(M815&gt;J815,M815,J815))</f>
        <v/>
      </c>
    </row>
    <row r="816" spans="2:14" x14ac:dyDescent="0.2">
      <c r="B816" s="19" t="str">
        <f>IF('DDF Original'!B816="","",'DDF Original'!B816)</f>
        <v/>
      </c>
      <c r="C816" s="19" t="e">
        <f t="shared" si="84"/>
        <v>#VALUE!</v>
      </c>
      <c r="D816" s="20" t="str">
        <f>IF('DDF Original'!C816="","",'DDF Original'!C816)</f>
        <v/>
      </c>
      <c r="E816" s="24" t="str">
        <f>IF('DDF Original'!B816="","",IF(TRIM('DDF Original'!I816)="",0,'DDF Original'!I816))</f>
        <v/>
      </c>
      <c r="F816" s="20" t="str">
        <f t="shared" si="85"/>
        <v/>
      </c>
      <c r="G816" s="37" t="str">
        <f>IF('DDF Original'!B816="","",IF(TRIM('DDF Original'!P816)="",0,'DDF Original'!P816))</f>
        <v/>
      </c>
      <c r="H816" s="20" t="str">
        <f t="shared" si="86"/>
        <v/>
      </c>
      <c r="I816" s="25" t="str">
        <f t="shared" si="87"/>
        <v/>
      </c>
      <c r="J816" s="20" t="str">
        <f t="shared" si="88"/>
        <v/>
      </c>
      <c r="K816" s="20" t="str">
        <f t="shared" si="89"/>
        <v/>
      </c>
      <c r="L816" s="20" t="str">
        <f>IF(B816="","",70*'DDF Original'!$Q$4)</f>
        <v/>
      </c>
      <c r="M816" s="20" t="str">
        <f t="shared" si="90"/>
        <v/>
      </c>
      <c r="N816" s="20" t="str">
        <f>IF(AND(OR(B816="",J816&gt;G816,M816&gt;G816),'DDF Original'!L816&lt;&gt; "MI"),G816,IF(M816&gt;J816,M816,J816))</f>
        <v/>
      </c>
    </row>
    <row r="817" spans="2:14" x14ac:dyDescent="0.2">
      <c r="B817" s="19" t="str">
        <f>IF('DDF Original'!B817="","",'DDF Original'!B817)</f>
        <v/>
      </c>
      <c r="C817" s="19" t="e">
        <f t="shared" si="84"/>
        <v>#VALUE!</v>
      </c>
      <c r="D817" s="20" t="str">
        <f>IF('DDF Original'!C817="","",'DDF Original'!C817)</f>
        <v/>
      </c>
      <c r="E817" s="24" t="str">
        <f>IF('DDF Original'!B817="","",IF(TRIM('DDF Original'!I817)="",0,'DDF Original'!I817))</f>
        <v/>
      </c>
      <c r="F817" s="20" t="str">
        <f t="shared" si="85"/>
        <v/>
      </c>
      <c r="G817" s="37" t="str">
        <f>IF('DDF Original'!B817="","",IF(TRIM('DDF Original'!P817)="",0,'DDF Original'!P817))</f>
        <v/>
      </c>
      <c r="H817" s="20" t="str">
        <f t="shared" si="86"/>
        <v/>
      </c>
      <c r="I817" s="25" t="str">
        <f t="shared" si="87"/>
        <v/>
      </c>
      <c r="J817" s="20" t="str">
        <f t="shared" si="88"/>
        <v/>
      </c>
      <c r="K817" s="20" t="str">
        <f t="shared" si="89"/>
        <v/>
      </c>
      <c r="L817" s="20" t="str">
        <f>IF(B817="","",70*'DDF Original'!$Q$4)</f>
        <v/>
      </c>
      <c r="M817" s="20" t="str">
        <f t="shared" si="90"/>
        <v/>
      </c>
      <c r="N817" s="20" t="str">
        <f>IF(AND(OR(B817="",J817&gt;G817,M817&gt;G817),'DDF Original'!L817&lt;&gt; "MI"),G817,IF(M817&gt;J817,M817,J817))</f>
        <v/>
      </c>
    </row>
    <row r="818" spans="2:14" x14ac:dyDescent="0.2">
      <c r="B818" s="19" t="str">
        <f>IF('DDF Original'!B818="","",'DDF Original'!B818)</f>
        <v/>
      </c>
      <c r="C818" s="19" t="e">
        <f t="shared" si="84"/>
        <v>#VALUE!</v>
      </c>
      <c r="D818" s="20" t="str">
        <f>IF('DDF Original'!C818="","",'DDF Original'!C818)</f>
        <v/>
      </c>
      <c r="E818" s="24" t="str">
        <f>IF('DDF Original'!B818="","",IF(TRIM('DDF Original'!I818)="",0,'DDF Original'!I818))</f>
        <v/>
      </c>
      <c r="F818" s="20" t="str">
        <f t="shared" si="85"/>
        <v/>
      </c>
      <c r="G818" s="37" t="str">
        <f>IF('DDF Original'!B818="","",IF(TRIM('DDF Original'!P818)="",0,'DDF Original'!P818))</f>
        <v/>
      </c>
      <c r="H818" s="20" t="str">
        <f t="shared" si="86"/>
        <v/>
      </c>
      <c r="I818" s="25" t="str">
        <f t="shared" si="87"/>
        <v/>
      </c>
      <c r="J818" s="20" t="str">
        <f t="shared" si="88"/>
        <v/>
      </c>
      <c r="K818" s="20" t="str">
        <f t="shared" si="89"/>
        <v/>
      </c>
      <c r="L818" s="20" t="str">
        <f>IF(B818="","",70*'DDF Original'!$Q$4)</f>
        <v/>
      </c>
      <c r="M818" s="20" t="str">
        <f t="shared" si="90"/>
        <v/>
      </c>
      <c r="N818" s="20" t="str">
        <f>IF(AND(OR(B818="",J818&gt;G818,M818&gt;G818),'DDF Original'!L818&lt;&gt; "MI"),G818,IF(M818&gt;J818,M818,J818))</f>
        <v/>
      </c>
    </row>
    <row r="819" spans="2:14" x14ac:dyDescent="0.2">
      <c r="B819" s="19" t="str">
        <f>IF('DDF Original'!B819="","",'DDF Original'!B819)</f>
        <v/>
      </c>
      <c r="C819" s="19" t="e">
        <f t="shared" si="84"/>
        <v>#VALUE!</v>
      </c>
      <c r="D819" s="20" t="str">
        <f>IF('DDF Original'!C819="","",'DDF Original'!C819)</f>
        <v/>
      </c>
      <c r="E819" s="24" t="str">
        <f>IF('DDF Original'!B819="","",IF(TRIM('DDF Original'!I819)="",0,'DDF Original'!I819))</f>
        <v/>
      </c>
      <c r="F819" s="20" t="str">
        <f t="shared" si="85"/>
        <v/>
      </c>
      <c r="G819" s="37" t="str">
        <f>IF('DDF Original'!B819="","",IF(TRIM('DDF Original'!P819)="",0,'DDF Original'!P819))</f>
        <v/>
      </c>
      <c r="H819" s="20" t="str">
        <f t="shared" si="86"/>
        <v/>
      </c>
      <c r="I819" s="25" t="str">
        <f t="shared" si="87"/>
        <v/>
      </c>
      <c r="J819" s="20" t="str">
        <f t="shared" si="88"/>
        <v/>
      </c>
      <c r="K819" s="20" t="str">
        <f t="shared" si="89"/>
        <v/>
      </c>
      <c r="L819" s="20" t="str">
        <f>IF(B819="","",70*'DDF Original'!$Q$4)</f>
        <v/>
      </c>
      <c r="M819" s="20" t="str">
        <f t="shared" si="90"/>
        <v/>
      </c>
      <c r="N819" s="20" t="str">
        <f>IF(AND(OR(B819="",J819&gt;G819,M819&gt;G819),'DDF Original'!L819&lt;&gt; "MI"),G819,IF(M819&gt;J819,M819,J819))</f>
        <v/>
      </c>
    </row>
    <row r="820" spans="2:14" x14ac:dyDescent="0.2">
      <c r="B820" s="19" t="str">
        <f>IF('DDF Original'!B820="","",'DDF Original'!B820)</f>
        <v/>
      </c>
      <c r="C820" s="19" t="e">
        <f t="shared" si="84"/>
        <v>#VALUE!</v>
      </c>
      <c r="D820" s="20" t="str">
        <f>IF('DDF Original'!C820="","",'DDF Original'!C820)</f>
        <v/>
      </c>
      <c r="E820" s="24" t="str">
        <f>IF('DDF Original'!B820="","",IF(TRIM('DDF Original'!I820)="",0,'DDF Original'!I820))</f>
        <v/>
      </c>
      <c r="F820" s="20" t="str">
        <f t="shared" si="85"/>
        <v/>
      </c>
      <c r="G820" s="37" t="str">
        <f>IF('DDF Original'!B820="","",IF(TRIM('DDF Original'!P820)="",0,'DDF Original'!P820))</f>
        <v/>
      </c>
      <c r="H820" s="20" t="str">
        <f t="shared" si="86"/>
        <v/>
      </c>
      <c r="I820" s="25" t="str">
        <f t="shared" si="87"/>
        <v/>
      </c>
      <c r="J820" s="20" t="str">
        <f t="shared" si="88"/>
        <v/>
      </c>
      <c r="K820" s="20" t="str">
        <f t="shared" si="89"/>
        <v/>
      </c>
      <c r="L820" s="20" t="str">
        <f>IF(B820="","",70*'DDF Original'!$Q$4)</f>
        <v/>
      </c>
      <c r="M820" s="20" t="str">
        <f t="shared" si="90"/>
        <v/>
      </c>
      <c r="N820" s="20" t="str">
        <f>IF(AND(OR(B820="",J820&gt;G820,M820&gt;G820),'DDF Original'!L820&lt;&gt; "MI"),G820,IF(M820&gt;J820,M820,J820))</f>
        <v/>
      </c>
    </row>
    <row r="821" spans="2:14" x14ac:dyDescent="0.2">
      <c r="B821" s="19" t="str">
        <f>IF('DDF Original'!B821="","",'DDF Original'!B821)</f>
        <v/>
      </c>
      <c r="C821" s="19" t="e">
        <f t="shared" si="84"/>
        <v>#VALUE!</v>
      </c>
      <c r="D821" s="20" t="str">
        <f>IF('DDF Original'!C821="","",'DDF Original'!C821)</f>
        <v/>
      </c>
      <c r="E821" s="24" t="str">
        <f>IF('DDF Original'!B821="","",IF(TRIM('DDF Original'!I821)="",0,'DDF Original'!I821))</f>
        <v/>
      </c>
      <c r="F821" s="20" t="str">
        <f t="shared" si="85"/>
        <v/>
      </c>
      <c r="G821" s="37" t="str">
        <f>IF('DDF Original'!B821="","",IF(TRIM('DDF Original'!P821)="",0,'DDF Original'!P821))</f>
        <v/>
      </c>
      <c r="H821" s="20" t="str">
        <f t="shared" si="86"/>
        <v/>
      </c>
      <c r="I821" s="25" t="str">
        <f t="shared" si="87"/>
        <v/>
      </c>
      <c r="J821" s="20" t="str">
        <f t="shared" si="88"/>
        <v/>
      </c>
      <c r="K821" s="20" t="str">
        <f t="shared" si="89"/>
        <v/>
      </c>
      <c r="L821" s="20" t="str">
        <f>IF(B821="","",70*'DDF Original'!$Q$4)</f>
        <v/>
      </c>
      <c r="M821" s="20" t="str">
        <f t="shared" si="90"/>
        <v/>
      </c>
      <c r="N821" s="20" t="str">
        <f>IF(AND(OR(B821="",J821&gt;G821,M821&gt;G821),'DDF Original'!L821&lt;&gt; "MI"),G821,IF(M821&gt;J821,M821,J821))</f>
        <v/>
      </c>
    </row>
    <row r="822" spans="2:14" x14ac:dyDescent="0.2">
      <c r="B822" s="19" t="str">
        <f>IF('DDF Original'!B822="","",'DDF Original'!B822)</f>
        <v/>
      </c>
      <c r="C822" s="19" t="e">
        <f t="shared" si="84"/>
        <v>#VALUE!</v>
      </c>
      <c r="D822" s="20" t="str">
        <f>IF('DDF Original'!C822="","",'DDF Original'!C822)</f>
        <v/>
      </c>
      <c r="E822" s="24" t="str">
        <f>IF('DDF Original'!B822="","",IF(TRIM('DDF Original'!I822)="",0,'DDF Original'!I822))</f>
        <v/>
      </c>
      <c r="F822" s="20" t="str">
        <f t="shared" si="85"/>
        <v/>
      </c>
      <c r="G822" s="37" t="str">
        <f>IF('DDF Original'!B822="","",IF(TRIM('DDF Original'!P822)="",0,'DDF Original'!P822))</f>
        <v/>
      </c>
      <c r="H822" s="20" t="str">
        <f t="shared" si="86"/>
        <v/>
      </c>
      <c r="I822" s="25" t="str">
        <f t="shared" si="87"/>
        <v/>
      </c>
      <c r="J822" s="20" t="str">
        <f t="shared" si="88"/>
        <v/>
      </c>
      <c r="K822" s="20" t="str">
        <f t="shared" si="89"/>
        <v/>
      </c>
      <c r="L822" s="20" t="str">
        <f>IF(B822="","",70*'DDF Original'!$Q$4)</f>
        <v/>
      </c>
      <c r="M822" s="20" t="str">
        <f t="shared" si="90"/>
        <v/>
      </c>
      <c r="N822" s="20" t="str">
        <f>IF(AND(OR(B822="",J822&gt;G822,M822&gt;G822),'DDF Original'!L822&lt;&gt; "MI"),G822,IF(M822&gt;J822,M822,J822))</f>
        <v/>
      </c>
    </row>
    <row r="823" spans="2:14" x14ac:dyDescent="0.2">
      <c r="B823" s="19" t="str">
        <f>IF('DDF Original'!B823="","",'DDF Original'!B823)</f>
        <v/>
      </c>
      <c r="C823" s="19" t="e">
        <f t="shared" si="84"/>
        <v>#VALUE!</v>
      </c>
      <c r="D823" s="20" t="str">
        <f>IF('DDF Original'!C823="","",'DDF Original'!C823)</f>
        <v/>
      </c>
      <c r="E823" s="24" t="str">
        <f>IF('DDF Original'!B823="","",IF(TRIM('DDF Original'!I823)="",0,'DDF Original'!I823))</f>
        <v/>
      </c>
      <c r="F823" s="20" t="str">
        <f t="shared" si="85"/>
        <v/>
      </c>
      <c r="G823" s="37" t="str">
        <f>IF('DDF Original'!B823="","",IF(TRIM('DDF Original'!P823)="",0,'DDF Original'!P823))</f>
        <v/>
      </c>
      <c r="H823" s="20" t="str">
        <f t="shared" si="86"/>
        <v/>
      </c>
      <c r="I823" s="25" t="str">
        <f t="shared" si="87"/>
        <v/>
      </c>
      <c r="J823" s="20" t="str">
        <f t="shared" si="88"/>
        <v/>
      </c>
      <c r="K823" s="20" t="str">
        <f t="shared" si="89"/>
        <v/>
      </c>
      <c r="L823" s="20" t="str">
        <f>IF(B823="","",70*'DDF Original'!$Q$4)</f>
        <v/>
      </c>
      <c r="M823" s="20" t="str">
        <f t="shared" si="90"/>
        <v/>
      </c>
      <c r="N823" s="20" t="str">
        <f>IF(AND(OR(B823="",J823&gt;G823,M823&gt;G823),'DDF Original'!L823&lt;&gt; "MI"),G823,IF(M823&gt;J823,M823,J823))</f>
        <v/>
      </c>
    </row>
    <row r="824" spans="2:14" x14ac:dyDescent="0.2">
      <c r="B824" s="19" t="str">
        <f>IF('DDF Original'!B824="","",'DDF Original'!B824)</f>
        <v/>
      </c>
      <c r="C824" s="19" t="e">
        <f t="shared" si="84"/>
        <v>#VALUE!</v>
      </c>
      <c r="D824" s="20" t="str">
        <f>IF('DDF Original'!C824="","",'DDF Original'!C824)</f>
        <v/>
      </c>
      <c r="E824" s="24" t="str">
        <f>IF('DDF Original'!B824="","",IF(TRIM('DDF Original'!I824)="",0,'DDF Original'!I824))</f>
        <v/>
      </c>
      <c r="F824" s="20" t="str">
        <f t="shared" si="85"/>
        <v/>
      </c>
      <c r="G824" s="37" t="str">
        <f>IF('DDF Original'!B824="","",IF(TRIM('DDF Original'!P824)="",0,'DDF Original'!P824))</f>
        <v/>
      </c>
      <c r="H824" s="20" t="str">
        <f t="shared" si="86"/>
        <v/>
      </c>
      <c r="I824" s="25" t="str">
        <f t="shared" si="87"/>
        <v/>
      </c>
      <c r="J824" s="20" t="str">
        <f t="shared" si="88"/>
        <v/>
      </c>
      <c r="K824" s="20" t="str">
        <f t="shared" si="89"/>
        <v/>
      </c>
      <c r="L824" s="20" t="str">
        <f>IF(B824="","",70*'DDF Original'!$Q$4)</f>
        <v/>
      </c>
      <c r="M824" s="20" t="str">
        <f t="shared" si="90"/>
        <v/>
      </c>
      <c r="N824" s="20" t="str">
        <f>IF(AND(OR(B824="",J824&gt;G824,M824&gt;G824),'DDF Original'!L824&lt;&gt; "MI"),G824,IF(M824&gt;J824,M824,J824))</f>
        <v/>
      </c>
    </row>
    <row r="825" spans="2:14" x14ac:dyDescent="0.2">
      <c r="B825" s="19" t="str">
        <f>IF('DDF Original'!B825="","",'DDF Original'!B825)</f>
        <v/>
      </c>
      <c r="C825" s="19" t="e">
        <f t="shared" si="84"/>
        <v>#VALUE!</v>
      </c>
      <c r="D825" s="20" t="str">
        <f>IF('DDF Original'!C825="","",'DDF Original'!C825)</f>
        <v/>
      </c>
      <c r="E825" s="24" t="str">
        <f>IF('DDF Original'!B825="","",IF(TRIM('DDF Original'!I825)="",0,'DDF Original'!I825))</f>
        <v/>
      </c>
      <c r="F825" s="20" t="str">
        <f t="shared" si="85"/>
        <v/>
      </c>
      <c r="G825" s="37" t="str">
        <f>IF('DDF Original'!B825="","",IF(TRIM('DDF Original'!P825)="",0,'DDF Original'!P825))</f>
        <v/>
      </c>
      <c r="H825" s="20" t="str">
        <f t="shared" si="86"/>
        <v/>
      </c>
      <c r="I825" s="25" t="str">
        <f t="shared" si="87"/>
        <v/>
      </c>
      <c r="J825" s="20" t="str">
        <f t="shared" si="88"/>
        <v/>
      </c>
      <c r="K825" s="20" t="str">
        <f t="shared" si="89"/>
        <v/>
      </c>
      <c r="L825" s="20" t="str">
        <f>IF(B825="","",70*'DDF Original'!$Q$4)</f>
        <v/>
      </c>
      <c r="M825" s="20" t="str">
        <f t="shared" si="90"/>
        <v/>
      </c>
      <c r="N825" s="20" t="str">
        <f>IF(AND(OR(B825="",J825&gt;G825,M825&gt;G825),'DDF Original'!L825&lt;&gt; "MI"),G825,IF(M825&gt;J825,M825,J825))</f>
        <v/>
      </c>
    </row>
    <row r="826" spans="2:14" x14ac:dyDescent="0.2">
      <c r="B826" s="19" t="str">
        <f>IF('DDF Original'!B826="","",'DDF Original'!B826)</f>
        <v/>
      </c>
      <c r="C826" s="19" t="e">
        <f t="shared" si="84"/>
        <v>#VALUE!</v>
      </c>
      <c r="D826" s="20" t="str">
        <f>IF('DDF Original'!C826="","",'DDF Original'!C826)</f>
        <v/>
      </c>
      <c r="E826" s="24" t="str">
        <f>IF('DDF Original'!B826="","",IF(TRIM('DDF Original'!I826)="",0,'DDF Original'!I826))</f>
        <v/>
      </c>
      <c r="F826" s="20" t="str">
        <f t="shared" si="85"/>
        <v/>
      </c>
      <c r="G826" s="37" t="str">
        <f>IF('DDF Original'!B826="","",IF(TRIM('DDF Original'!P826)="",0,'DDF Original'!P826))</f>
        <v/>
      </c>
      <c r="H826" s="20" t="str">
        <f t="shared" si="86"/>
        <v/>
      </c>
      <c r="I826" s="25" t="str">
        <f t="shared" si="87"/>
        <v/>
      </c>
      <c r="J826" s="20" t="str">
        <f t="shared" si="88"/>
        <v/>
      </c>
      <c r="K826" s="20" t="str">
        <f t="shared" si="89"/>
        <v/>
      </c>
      <c r="L826" s="20" t="str">
        <f>IF(B826="","",70*'DDF Original'!$Q$4)</f>
        <v/>
      </c>
      <c r="M826" s="20" t="str">
        <f t="shared" si="90"/>
        <v/>
      </c>
      <c r="N826" s="20" t="str">
        <f>IF(AND(OR(B826="",J826&gt;G826,M826&gt;G826),'DDF Original'!L826&lt;&gt; "MI"),G826,IF(M826&gt;J826,M826,J826))</f>
        <v/>
      </c>
    </row>
    <row r="827" spans="2:14" x14ac:dyDescent="0.2">
      <c r="B827" s="19" t="str">
        <f>IF('DDF Original'!B827="","",'DDF Original'!B827)</f>
        <v/>
      </c>
      <c r="C827" s="19" t="e">
        <f t="shared" si="84"/>
        <v>#VALUE!</v>
      </c>
      <c r="D827" s="20" t="str">
        <f>IF('DDF Original'!C827="","",'DDF Original'!C827)</f>
        <v/>
      </c>
      <c r="E827" s="24" t="str">
        <f>IF('DDF Original'!B827="","",IF(TRIM('DDF Original'!I827)="",0,'DDF Original'!I827))</f>
        <v/>
      </c>
      <c r="F827" s="20" t="str">
        <f t="shared" si="85"/>
        <v/>
      </c>
      <c r="G827" s="37" t="str">
        <f>IF('DDF Original'!B827="","",IF(TRIM('DDF Original'!P827)="",0,'DDF Original'!P827))</f>
        <v/>
      </c>
      <c r="H827" s="20" t="str">
        <f t="shared" si="86"/>
        <v/>
      </c>
      <c r="I827" s="25" t="str">
        <f t="shared" si="87"/>
        <v/>
      </c>
      <c r="J827" s="20" t="str">
        <f t="shared" si="88"/>
        <v/>
      </c>
      <c r="K827" s="20" t="str">
        <f t="shared" si="89"/>
        <v/>
      </c>
      <c r="L827" s="20" t="str">
        <f>IF(B827="","",70*'DDF Original'!$Q$4)</f>
        <v/>
      </c>
      <c r="M827" s="20" t="str">
        <f t="shared" si="90"/>
        <v/>
      </c>
      <c r="N827" s="20" t="str">
        <f>IF(AND(OR(B827="",J827&gt;G827,M827&gt;G827),'DDF Original'!L827&lt;&gt; "MI"),G827,IF(M827&gt;J827,M827,J827))</f>
        <v/>
      </c>
    </row>
    <row r="828" spans="2:14" x14ac:dyDescent="0.2">
      <c r="B828" s="19" t="str">
        <f>IF('DDF Original'!B828="","",'DDF Original'!B828)</f>
        <v/>
      </c>
      <c r="C828" s="19" t="e">
        <f t="shared" si="84"/>
        <v>#VALUE!</v>
      </c>
      <c r="D828" s="20" t="str">
        <f>IF('DDF Original'!C828="","",'DDF Original'!C828)</f>
        <v/>
      </c>
      <c r="E828" s="24" t="str">
        <f>IF('DDF Original'!B828="","",IF(TRIM('DDF Original'!I828)="",0,'DDF Original'!I828))</f>
        <v/>
      </c>
      <c r="F828" s="20" t="str">
        <f t="shared" si="85"/>
        <v/>
      </c>
      <c r="G828" s="37" t="str">
        <f>IF('DDF Original'!B828="","",IF(TRIM('DDF Original'!P828)="",0,'DDF Original'!P828))</f>
        <v/>
      </c>
      <c r="H828" s="20" t="str">
        <f t="shared" si="86"/>
        <v/>
      </c>
      <c r="I828" s="25" t="str">
        <f t="shared" si="87"/>
        <v/>
      </c>
      <c r="J828" s="20" t="str">
        <f t="shared" si="88"/>
        <v/>
      </c>
      <c r="K828" s="20" t="str">
        <f t="shared" si="89"/>
        <v/>
      </c>
      <c r="L828" s="20" t="str">
        <f>IF(B828="","",70*'DDF Original'!$Q$4)</f>
        <v/>
      </c>
      <c r="M828" s="20" t="str">
        <f t="shared" si="90"/>
        <v/>
      </c>
      <c r="N828" s="20" t="str">
        <f>IF(AND(OR(B828="",J828&gt;G828,M828&gt;G828),'DDF Original'!L828&lt;&gt; "MI"),G828,IF(M828&gt;J828,M828,J828))</f>
        <v/>
      </c>
    </row>
    <row r="829" spans="2:14" x14ac:dyDescent="0.2">
      <c r="B829" s="19" t="str">
        <f>IF('DDF Original'!B829="","",'DDF Original'!B829)</f>
        <v/>
      </c>
      <c r="C829" s="19" t="e">
        <f t="shared" ref="C829:C892" si="91">LEFT(B829,FIND(".",B829)-1)</f>
        <v>#VALUE!</v>
      </c>
      <c r="D829" s="20" t="str">
        <f>IF('DDF Original'!C829="","",'DDF Original'!C829)</f>
        <v/>
      </c>
      <c r="E829" s="24" t="str">
        <f>IF('DDF Original'!B829="","",IF(TRIM('DDF Original'!I829)="",0,'DDF Original'!I829))</f>
        <v/>
      </c>
      <c r="F829" s="20" t="str">
        <f t="shared" ref="F829:F892" si="92">IF(D829="",D829,ROUND(D829*(1+E829/100),2))</f>
        <v/>
      </c>
      <c r="G829" s="37" t="str">
        <f>IF('DDF Original'!B829="","",IF(TRIM('DDF Original'!P829)="",0,'DDF Original'!P829))</f>
        <v/>
      </c>
      <c r="H829" s="20" t="str">
        <f t="shared" ref="H829:H892" si="93">IF(OR(D829=0,D829=""),G829,F829)</f>
        <v/>
      </c>
      <c r="I829" s="25" t="str">
        <f t="shared" ref="I829:I892" si="94">IF(B829="","",IF(OR(D829=0,D829=""),50,35))</f>
        <v/>
      </c>
      <c r="J829" s="20" t="str">
        <f t="shared" ref="J829:J892" si="95">IF(B829="","",ROUND(H829*I829/100,2))</f>
        <v/>
      </c>
      <c r="K829" s="20" t="str">
        <f t="shared" ref="K829:K892" si="96">IF(B829="","",SUMIFS($J$9:$J$508,$C$9:$C$508,"="&amp;C829))</f>
        <v/>
      </c>
      <c r="L829" s="20" t="str">
        <f>IF(B829="","",70*'DDF Original'!$Q$4)</f>
        <v/>
      </c>
      <c r="M829" s="20" t="str">
        <f t="shared" ref="M829:M892" si="97">IF(B829="","",ROUND(J829/K829*L829,2))</f>
        <v/>
      </c>
      <c r="N829" s="20" t="str">
        <f>IF(AND(OR(B829="",J829&gt;G829,M829&gt;G829),'DDF Original'!L829&lt;&gt; "MI"),G829,IF(M829&gt;J829,M829,J829))</f>
        <v/>
      </c>
    </row>
    <row r="830" spans="2:14" x14ac:dyDescent="0.2">
      <c r="B830" s="19" t="str">
        <f>IF('DDF Original'!B830="","",'DDF Original'!B830)</f>
        <v/>
      </c>
      <c r="C830" s="19" t="e">
        <f t="shared" si="91"/>
        <v>#VALUE!</v>
      </c>
      <c r="D830" s="20" t="str">
        <f>IF('DDF Original'!C830="","",'DDF Original'!C830)</f>
        <v/>
      </c>
      <c r="E830" s="24" t="str">
        <f>IF('DDF Original'!B830="","",IF(TRIM('DDF Original'!I830)="",0,'DDF Original'!I830))</f>
        <v/>
      </c>
      <c r="F830" s="20" t="str">
        <f t="shared" si="92"/>
        <v/>
      </c>
      <c r="G830" s="37" t="str">
        <f>IF('DDF Original'!B830="","",IF(TRIM('DDF Original'!P830)="",0,'DDF Original'!P830))</f>
        <v/>
      </c>
      <c r="H830" s="20" t="str">
        <f t="shared" si="93"/>
        <v/>
      </c>
      <c r="I830" s="25" t="str">
        <f t="shared" si="94"/>
        <v/>
      </c>
      <c r="J830" s="20" t="str">
        <f t="shared" si="95"/>
        <v/>
      </c>
      <c r="K830" s="20" t="str">
        <f t="shared" si="96"/>
        <v/>
      </c>
      <c r="L830" s="20" t="str">
        <f>IF(B830="","",70*'DDF Original'!$Q$4)</f>
        <v/>
      </c>
      <c r="M830" s="20" t="str">
        <f t="shared" si="97"/>
        <v/>
      </c>
      <c r="N830" s="20" t="str">
        <f>IF(AND(OR(B830="",J830&gt;G830,M830&gt;G830),'DDF Original'!L830&lt;&gt; "MI"),G830,IF(M830&gt;J830,M830,J830))</f>
        <v/>
      </c>
    </row>
    <row r="831" spans="2:14" x14ac:dyDescent="0.2">
      <c r="B831" s="19" t="str">
        <f>IF('DDF Original'!B831="","",'DDF Original'!B831)</f>
        <v/>
      </c>
      <c r="C831" s="19" t="e">
        <f t="shared" si="91"/>
        <v>#VALUE!</v>
      </c>
      <c r="D831" s="20" t="str">
        <f>IF('DDF Original'!C831="","",'DDF Original'!C831)</f>
        <v/>
      </c>
      <c r="E831" s="24" t="str">
        <f>IF('DDF Original'!B831="","",IF(TRIM('DDF Original'!I831)="",0,'DDF Original'!I831))</f>
        <v/>
      </c>
      <c r="F831" s="20" t="str">
        <f t="shared" si="92"/>
        <v/>
      </c>
      <c r="G831" s="37" t="str">
        <f>IF('DDF Original'!B831="","",IF(TRIM('DDF Original'!P831)="",0,'DDF Original'!P831))</f>
        <v/>
      </c>
      <c r="H831" s="20" t="str">
        <f t="shared" si="93"/>
        <v/>
      </c>
      <c r="I831" s="25" t="str">
        <f t="shared" si="94"/>
        <v/>
      </c>
      <c r="J831" s="20" t="str">
        <f t="shared" si="95"/>
        <v/>
      </c>
      <c r="K831" s="20" t="str">
        <f t="shared" si="96"/>
        <v/>
      </c>
      <c r="L831" s="20" t="str">
        <f>IF(B831="","",70*'DDF Original'!$Q$4)</f>
        <v/>
      </c>
      <c r="M831" s="20" t="str">
        <f t="shared" si="97"/>
        <v/>
      </c>
      <c r="N831" s="20" t="str">
        <f>IF(AND(OR(B831="",J831&gt;G831,M831&gt;G831),'DDF Original'!L831&lt;&gt; "MI"),G831,IF(M831&gt;J831,M831,J831))</f>
        <v/>
      </c>
    </row>
    <row r="832" spans="2:14" x14ac:dyDescent="0.2">
      <c r="B832" s="19" t="str">
        <f>IF('DDF Original'!B832="","",'DDF Original'!B832)</f>
        <v/>
      </c>
      <c r="C832" s="19" t="e">
        <f t="shared" si="91"/>
        <v>#VALUE!</v>
      </c>
      <c r="D832" s="20" t="str">
        <f>IF('DDF Original'!C832="","",'DDF Original'!C832)</f>
        <v/>
      </c>
      <c r="E832" s="24" t="str">
        <f>IF('DDF Original'!B832="","",IF(TRIM('DDF Original'!I832)="",0,'DDF Original'!I832))</f>
        <v/>
      </c>
      <c r="F832" s="20" t="str">
        <f t="shared" si="92"/>
        <v/>
      </c>
      <c r="G832" s="37" t="str">
        <f>IF('DDF Original'!B832="","",IF(TRIM('DDF Original'!P832)="",0,'DDF Original'!P832))</f>
        <v/>
      </c>
      <c r="H832" s="20" t="str">
        <f t="shared" si="93"/>
        <v/>
      </c>
      <c r="I832" s="25" t="str">
        <f t="shared" si="94"/>
        <v/>
      </c>
      <c r="J832" s="20" t="str">
        <f t="shared" si="95"/>
        <v/>
      </c>
      <c r="K832" s="20" t="str">
        <f t="shared" si="96"/>
        <v/>
      </c>
      <c r="L832" s="20" t="str">
        <f>IF(B832="","",70*'DDF Original'!$Q$4)</f>
        <v/>
      </c>
      <c r="M832" s="20" t="str">
        <f t="shared" si="97"/>
        <v/>
      </c>
      <c r="N832" s="20" t="str">
        <f>IF(AND(OR(B832="",J832&gt;G832,M832&gt;G832),'DDF Original'!L832&lt;&gt; "MI"),G832,IF(M832&gt;J832,M832,J832))</f>
        <v/>
      </c>
    </row>
    <row r="833" spans="2:14" x14ac:dyDescent="0.2">
      <c r="B833" s="19" t="str">
        <f>IF('DDF Original'!B833="","",'DDF Original'!B833)</f>
        <v/>
      </c>
      <c r="C833" s="19" t="e">
        <f t="shared" si="91"/>
        <v>#VALUE!</v>
      </c>
      <c r="D833" s="20" t="str">
        <f>IF('DDF Original'!C833="","",'DDF Original'!C833)</f>
        <v/>
      </c>
      <c r="E833" s="24" t="str">
        <f>IF('DDF Original'!B833="","",IF(TRIM('DDF Original'!I833)="",0,'DDF Original'!I833))</f>
        <v/>
      </c>
      <c r="F833" s="20" t="str">
        <f t="shared" si="92"/>
        <v/>
      </c>
      <c r="G833" s="37" t="str">
        <f>IF('DDF Original'!B833="","",IF(TRIM('DDF Original'!P833)="",0,'DDF Original'!P833))</f>
        <v/>
      </c>
      <c r="H833" s="20" t="str">
        <f t="shared" si="93"/>
        <v/>
      </c>
      <c r="I833" s="25" t="str">
        <f t="shared" si="94"/>
        <v/>
      </c>
      <c r="J833" s="20" t="str">
        <f t="shared" si="95"/>
        <v/>
      </c>
      <c r="K833" s="20" t="str">
        <f t="shared" si="96"/>
        <v/>
      </c>
      <c r="L833" s="20" t="str">
        <f>IF(B833="","",70*'DDF Original'!$Q$4)</f>
        <v/>
      </c>
      <c r="M833" s="20" t="str">
        <f t="shared" si="97"/>
        <v/>
      </c>
      <c r="N833" s="20" t="str">
        <f>IF(AND(OR(B833="",J833&gt;G833,M833&gt;G833),'DDF Original'!L833&lt;&gt; "MI"),G833,IF(M833&gt;J833,M833,J833))</f>
        <v/>
      </c>
    </row>
    <row r="834" spans="2:14" x14ac:dyDescent="0.2">
      <c r="B834" s="19" t="str">
        <f>IF('DDF Original'!B834="","",'DDF Original'!B834)</f>
        <v/>
      </c>
      <c r="C834" s="19" t="e">
        <f t="shared" si="91"/>
        <v>#VALUE!</v>
      </c>
      <c r="D834" s="20" t="str">
        <f>IF('DDF Original'!C834="","",'DDF Original'!C834)</f>
        <v/>
      </c>
      <c r="E834" s="24" t="str">
        <f>IF('DDF Original'!B834="","",IF(TRIM('DDF Original'!I834)="",0,'DDF Original'!I834))</f>
        <v/>
      </c>
      <c r="F834" s="20" t="str">
        <f t="shared" si="92"/>
        <v/>
      </c>
      <c r="G834" s="37" t="str">
        <f>IF('DDF Original'!B834="","",IF(TRIM('DDF Original'!P834)="",0,'DDF Original'!P834))</f>
        <v/>
      </c>
      <c r="H834" s="20" t="str">
        <f t="shared" si="93"/>
        <v/>
      </c>
      <c r="I834" s="25" t="str">
        <f t="shared" si="94"/>
        <v/>
      </c>
      <c r="J834" s="20" t="str">
        <f t="shared" si="95"/>
        <v/>
      </c>
      <c r="K834" s="20" t="str">
        <f t="shared" si="96"/>
        <v/>
      </c>
      <c r="L834" s="20" t="str">
        <f>IF(B834="","",70*'DDF Original'!$Q$4)</f>
        <v/>
      </c>
      <c r="M834" s="20" t="str">
        <f t="shared" si="97"/>
        <v/>
      </c>
      <c r="N834" s="20" t="str">
        <f>IF(AND(OR(B834="",J834&gt;G834,M834&gt;G834),'DDF Original'!L834&lt;&gt; "MI"),G834,IF(M834&gt;J834,M834,J834))</f>
        <v/>
      </c>
    </row>
    <row r="835" spans="2:14" x14ac:dyDescent="0.2">
      <c r="B835" s="19" t="str">
        <f>IF('DDF Original'!B835="","",'DDF Original'!B835)</f>
        <v/>
      </c>
      <c r="C835" s="19" t="e">
        <f t="shared" si="91"/>
        <v>#VALUE!</v>
      </c>
      <c r="D835" s="20" t="str">
        <f>IF('DDF Original'!C835="","",'DDF Original'!C835)</f>
        <v/>
      </c>
      <c r="E835" s="24" t="str">
        <f>IF('DDF Original'!B835="","",IF(TRIM('DDF Original'!I835)="",0,'DDF Original'!I835))</f>
        <v/>
      </c>
      <c r="F835" s="20" t="str">
        <f t="shared" si="92"/>
        <v/>
      </c>
      <c r="G835" s="37" t="str">
        <f>IF('DDF Original'!B835="","",IF(TRIM('DDF Original'!P835)="",0,'DDF Original'!P835))</f>
        <v/>
      </c>
      <c r="H835" s="20" t="str">
        <f t="shared" si="93"/>
        <v/>
      </c>
      <c r="I835" s="25" t="str">
        <f t="shared" si="94"/>
        <v/>
      </c>
      <c r="J835" s="20" t="str">
        <f t="shared" si="95"/>
        <v/>
      </c>
      <c r="K835" s="20" t="str">
        <f t="shared" si="96"/>
        <v/>
      </c>
      <c r="L835" s="20" t="str">
        <f>IF(B835="","",70*'DDF Original'!$Q$4)</f>
        <v/>
      </c>
      <c r="M835" s="20" t="str">
        <f t="shared" si="97"/>
        <v/>
      </c>
      <c r="N835" s="20" t="str">
        <f>IF(AND(OR(B835="",J835&gt;G835,M835&gt;G835),'DDF Original'!L835&lt;&gt; "MI"),G835,IF(M835&gt;J835,M835,J835))</f>
        <v/>
      </c>
    </row>
    <row r="836" spans="2:14" x14ac:dyDescent="0.2">
      <c r="B836" s="19" t="str">
        <f>IF('DDF Original'!B836="","",'DDF Original'!B836)</f>
        <v/>
      </c>
      <c r="C836" s="19" t="e">
        <f t="shared" si="91"/>
        <v>#VALUE!</v>
      </c>
      <c r="D836" s="20" t="str">
        <f>IF('DDF Original'!C836="","",'DDF Original'!C836)</f>
        <v/>
      </c>
      <c r="E836" s="24" t="str">
        <f>IF('DDF Original'!B836="","",IF(TRIM('DDF Original'!I836)="",0,'DDF Original'!I836))</f>
        <v/>
      </c>
      <c r="F836" s="20" t="str">
        <f t="shared" si="92"/>
        <v/>
      </c>
      <c r="G836" s="37" t="str">
        <f>IF('DDF Original'!B836="","",IF(TRIM('DDF Original'!P836)="",0,'DDF Original'!P836))</f>
        <v/>
      </c>
      <c r="H836" s="20" t="str">
        <f t="shared" si="93"/>
        <v/>
      </c>
      <c r="I836" s="25" t="str">
        <f t="shared" si="94"/>
        <v/>
      </c>
      <c r="J836" s="20" t="str">
        <f t="shared" si="95"/>
        <v/>
      </c>
      <c r="K836" s="20" t="str">
        <f t="shared" si="96"/>
        <v/>
      </c>
      <c r="L836" s="20" t="str">
        <f>IF(B836="","",70*'DDF Original'!$Q$4)</f>
        <v/>
      </c>
      <c r="M836" s="20" t="str">
        <f t="shared" si="97"/>
        <v/>
      </c>
      <c r="N836" s="20" t="str">
        <f>IF(AND(OR(B836="",J836&gt;G836,M836&gt;G836),'DDF Original'!L836&lt;&gt; "MI"),G836,IF(M836&gt;J836,M836,J836))</f>
        <v/>
      </c>
    </row>
    <row r="837" spans="2:14" x14ac:dyDescent="0.2">
      <c r="B837" s="19" t="str">
        <f>IF('DDF Original'!B837="","",'DDF Original'!B837)</f>
        <v/>
      </c>
      <c r="C837" s="19" t="e">
        <f t="shared" si="91"/>
        <v>#VALUE!</v>
      </c>
      <c r="D837" s="20" t="str">
        <f>IF('DDF Original'!C837="","",'DDF Original'!C837)</f>
        <v/>
      </c>
      <c r="E837" s="24" t="str">
        <f>IF('DDF Original'!B837="","",IF(TRIM('DDF Original'!I837)="",0,'DDF Original'!I837))</f>
        <v/>
      </c>
      <c r="F837" s="20" t="str">
        <f t="shared" si="92"/>
        <v/>
      </c>
      <c r="G837" s="37" t="str">
        <f>IF('DDF Original'!B837="","",IF(TRIM('DDF Original'!P837)="",0,'DDF Original'!P837))</f>
        <v/>
      </c>
      <c r="H837" s="20" t="str">
        <f t="shared" si="93"/>
        <v/>
      </c>
      <c r="I837" s="25" t="str">
        <f t="shared" si="94"/>
        <v/>
      </c>
      <c r="J837" s="20" t="str">
        <f t="shared" si="95"/>
        <v/>
      </c>
      <c r="K837" s="20" t="str">
        <f t="shared" si="96"/>
        <v/>
      </c>
      <c r="L837" s="20" t="str">
        <f>IF(B837="","",70*'DDF Original'!$Q$4)</f>
        <v/>
      </c>
      <c r="M837" s="20" t="str">
        <f t="shared" si="97"/>
        <v/>
      </c>
      <c r="N837" s="20" t="str">
        <f>IF(AND(OR(B837="",J837&gt;G837,M837&gt;G837),'DDF Original'!L837&lt;&gt; "MI"),G837,IF(M837&gt;J837,M837,J837))</f>
        <v/>
      </c>
    </row>
    <row r="838" spans="2:14" x14ac:dyDescent="0.2">
      <c r="B838" s="19" t="str">
        <f>IF('DDF Original'!B838="","",'DDF Original'!B838)</f>
        <v/>
      </c>
      <c r="C838" s="19" t="e">
        <f t="shared" si="91"/>
        <v>#VALUE!</v>
      </c>
      <c r="D838" s="20" t="str">
        <f>IF('DDF Original'!C838="","",'DDF Original'!C838)</f>
        <v/>
      </c>
      <c r="E838" s="24" t="str">
        <f>IF('DDF Original'!B838="","",IF(TRIM('DDF Original'!I838)="",0,'DDF Original'!I838))</f>
        <v/>
      </c>
      <c r="F838" s="20" t="str">
        <f t="shared" si="92"/>
        <v/>
      </c>
      <c r="G838" s="37" t="str">
        <f>IF('DDF Original'!B838="","",IF(TRIM('DDF Original'!P838)="",0,'DDF Original'!P838))</f>
        <v/>
      </c>
      <c r="H838" s="20" t="str">
        <f t="shared" si="93"/>
        <v/>
      </c>
      <c r="I838" s="25" t="str">
        <f t="shared" si="94"/>
        <v/>
      </c>
      <c r="J838" s="20" t="str">
        <f t="shared" si="95"/>
        <v/>
      </c>
      <c r="K838" s="20" t="str">
        <f t="shared" si="96"/>
        <v/>
      </c>
      <c r="L838" s="20" t="str">
        <f>IF(B838="","",70*'DDF Original'!$Q$4)</f>
        <v/>
      </c>
      <c r="M838" s="20" t="str">
        <f t="shared" si="97"/>
        <v/>
      </c>
      <c r="N838" s="20" t="str">
        <f>IF(AND(OR(B838="",J838&gt;G838,M838&gt;G838),'DDF Original'!L838&lt;&gt; "MI"),G838,IF(M838&gt;J838,M838,J838))</f>
        <v/>
      </c>
    </row>
    <row r="839" spans="2:14" x14ac:dyDescent="0.2">
      <c r="B839" s="19" t="str">
        <f>IF('DDF Original'!B839="","",'DDF Original'!B839)</f>
        <v/>
      </c>
      <c r="C839" s="19" t="e">
        <f t="shared" si="91"/>
        <v>#VALUE!</v>
      </c>
      <c r="D839" s="20" t="str">
        <f>IF('DDF Original'!C839="","",'DDF Original'!C839)</f>
        <v/>
      </c>
      <c r="E839" s="24" t="str">
        <f>IF('DDF Original'!B839="","",IF(TRIM('DDF Original'!I839)="",0,'DDF Original'!I839))</f>
        <v/>
      </c>
      <c r="F839" s="20" t="str">
        <f t="shared" si="92"/>
        <v/>
      </c>
      <c r="G839" s="37" t="str">
        <f>IF('DDF Original'!B839="","",IF(TRIM('DDF Original'!P839)="",0,'DDF Original'!P839))</f>
        <v/>
      </c>
      <c r="H839" s="20" t="str">
        <f t="shared" si="93"/>
        <v/>
      </c>
      <c r="I839" s="25" t="str">
        <f t="shared" si="94"/>
        <v/>
      </c>
      <c r="J839" s="20" t="str">
        <f t="shared" si="95"/>
        <v/>
      </c>
      <c r="K839" s="20" t="str">
        <f t="shared" si="96"/>
        <v/>
      </c>
      <c r="L839" s="20" t="str">
        <f>IF(B839="","",70*'DDF Original'!$Q$4)</f>
        <v/>
      </c>
      <c r="M839" s="20" t="str">
        <f t="shared" si="97"/>
        <v/>
      </c>
      <c r="N839" s="20" t="str">
        <f>IF(AND(OR(B839="",J839&gt;G839,M839&gt;G839),'DDF Original'!L839&lt;&gt; "MI"),G839,IF(M839&gt;J839,M839,J839))</f>
        <v/>
      </c>
    </row>
    <row r="840" spans="2:14" x14ac:dyDescent="0.2">
      <c r="B840" s="19" t="str">
        <f>IF('DDF Original'!B840="","",'DDF Original'!B840)</f>
        <v/>
      </c>
      <c r="C840" s="19" t="e">
        <f t="shared" si="91"/>
        <v>#VALUE!</v>
      </c>
      <c r="D840" s="20" t="str">
        <f>IF('DDF Original'!C840="","",'DDF Original'!C840)</f>
        <v/>
      </c>
      <c r="E840" s="24" t="str">
        <f>IF('DDF Original'!B840="","",IF(TRIM('DDF Original'!I840)="",0,'DDF Original'!I840))</f>
        <v/>
      </c>
      <c r="F840" s="20" t="str">
        <f t="shared" si="92"/>
        <v/>
      </c>
      <c r="G840" s="37" t="str">
        <f>IF('DDF Original'!B840="","",IF(TRIM('DDF Original'!P840)="",0,'DDF Original'!P840))</f>
        <v/>
      </c>
      <c r="H840" s="20" t="str">
        <f t="shared" si="93"/>
        <v/>
      </c>
      <c r="I840" s="25" t="str">
        <f t="shared" si="94"/>
        <v/>
      </c>
      <c r="J840" s="20" t="str">
        <f t="shared" si="95"/>
        <v/>
      </c>
      <c r="K840" s="20" t="str">
        <f t="shared" si="96"/>
        <v/>
      </c>
      <c r="L840" s="20" t="str">
        <f>IF(B840="","",70*'DDF Original'!$Q$4)</f>
        <v/>
      </c>
      <c r="M840" s="20" t="str">
        <f t="shared" si="97"/>
        <v/>
      </c>
      <c r="N840" s="20" t="str">
        <f>IF(AND(OR(B840="",J840&gt;G840,M840&gt;G840),'DDF Original'!L840&lt;&gt; "MI"),G840,IF(M840&gt;J840,M840,J840))</f>
        <v/>
      </c>
    </row>
    <row r="841" spans="2:14" x14ac:dyDescent="0.2">
      <c r="B841" s="19" t="str">
        <f>IF('DDF Original'!B841="","",'DDF Original'!B841)</f>
        <v/>
      </c>
      <c r="C841" s="19" t="e">
        <f t="shared" si="91"/>
        <v>#VALUE!</v>
      </c>
      <c r="D841" s="20" t="str">
        <f>IF('DDF Original'!C841="","",'DDF Original'!C841)</f>
        <v/>
      </c>
      <c r="E841" s="24" t="str">
        <f>IF('DDF Original'!B841="","",IF(TRIM('DDF Original'!I841)="",0,'DDF Original'!I841))</f>
        <v/>
      </c>
      <c r="F841" s="20" t="str">
        <f t="shared" si="92"/>
        <v/>
      </c>
      <c r="G841" s="37" t="str">
        <f>IF('DDF Original'!B841="","",IF(TRIM('DDF Original'!P841)="",0,'DDF Original'!P841))</f>
        <v/>
      </c>
      <c r="H841" s="20" t="str">
        <f t="shared" si="93"/>
        <v/>
      </c>
      <c r="I841" s="25" t="str">
        <f t="shared" si="94"/>
        <v/>
      </c>
      <c r="J841" s="20" t="str">
        <f t="shared" si="95"/>
        <v/>
      </c>
      <c r="K841" s="20" t="str">
        <f t="shared" si="96"/>
        <v/>
      </c>
      <c r="L841" s="20" t="str">
        <f>IF(B841="","",70*'DDF Original'!$Q$4)</f>
        <v/>
      </c>
      <c r="M841" s="20" t="str">
        <f t="shared" si="97"/>
        <v/>
      </c>
      <c r="N841" s="20" t="str">
        <f>IF(AND(OR(B841="",J841&gt;G841,M841&gt;G841),'DDF Original'!L841&lt;&gt; "MI"),G841,IF(M841&gt;J841,M841,J841))</f>
        <v/>
      </c>
    </row>
    <row r="842" spans="2:14" x14ac:dyDescent="0.2">
      <c r="B842" s="19" t="str">
        <f>IF('DDF Original'!B842="","",'DDF Original'!B842)</f>
        <v/>
      </c>
      <c r="C842" s="19" t="e">
        <f t="shared" si="91"/>
        <v>#VALUE!</v>
      </c>
      <c r="D842" s="20" t="str">
        <f>IF('DDF Original'!C842="","",'DDF Original'!C842)</f>
        <v/>
      </c>
      <c r="E842" s="24" t="str">
        <f>IF('DDF Original'!B842="","",IF(TRIM('DDF Original'!I842)="",0,'DDF Original'!I842))</f>
        <v/>
      </c>
      <c r="F842" s="20" t="str">
        <f t="shared" si="92"/>
        <v/>
      </c>
      <c r="G842" s="37" t="str">
        <f>IF('DDF Original'!B842="","",IF(TRIM('DDF Original'!P842)="",0,'DDF Original'!P842))</f>
        <v/>
      </c>
      <c r="H842" s="20" t="str">
        <f t="shared" si="93"/>
        <v/>
      </c>
      <c r="I842" s="25" t="str">
        <f t="shared" si="94"/>
        <v/>
      </c>
      <c r="J842" s="20" t="str">
        <f t="shared" si="95"/>
        <v/>
      </c>
      <c r="K842" s="20" t="str">
        <f t="shared" si="96"/>
        <v/>
      </c>
      <c r="L842" s="20" t="str">
        <f>IF(B842="","",70*'DDF Original'!$Q$4)</f>
        <v/>
      </c>
      <c r="M842" s="20" t="str">
        <f t="shared" si="97"/>
        <v/>
      </c>
      <c r="N842" s="20" t="str">
        <f>IF(AND(OR(B842="",J842&gt;G842,M842&gt;G842),'DDF Original'!L842&lt;&gt; "MI"),G842,IF(M842&gt;J842,M842,J842))</f>
        <v/>
      </c>
    </row>
    <row r="843" spans="2:14" x14ac:dyDescent="0.2">
      <c r="B843" s="19" t="str">
        <f>IF('DDF Original'!B843="","",'DDF Original'!B843)</f>
        <v/>
      </c>
      <c r="C843" s="19" t="e">
        <f t="shared" si="91"/>
        <v>#VALUE!</v>
      </c>
      <c r="D843" s="20" t="str">
        <f>IF('DDF Original'!C843="","",'DDF Original'!C843)</f>
        <v/>
      </c>
      <c r="E843" s="24" t="str">
        <f>IF('DDF Original'!B843="","",IF(TRIM('DDF Original'!I843)="",0,'DDF Original'!I843))</f>
        <v/>
      </c>
      <c r="F843" s="20" t="str">
        <f t="shared" si="92"/>
        <v/>
      </c>
      <c r="G843" s="37" t="str">
        <f>IF('DDF Original'!B843="","",IF(TRIM('DDF Original'!P843)="",0,'DDF Original'!P843))</f>
        <v/>
      </c>
      <c r="H843" s="20" t="str">
        <f t="shared" si="93"/>
        <v/>
      </c>
      <c r="I843" s="25" t="str">
        <f t="shared" si="94"/>
        <v/>
      </c>
      <c r="J843" s="20" t="str">
        <f t="shared" si="95"/>
        <v/>
      </c>
      <c r="K843" s="20" t="str">
        <f t="shared" si="96"/>
        <v/>
      </c>
      <c r="L843" s="20" t="str">
        <f>IF(B843="","",70*'DDF Original'!$Q$4)</f>
        <v/>
      </c>
      <c r="M843" s="20" t="str">
        <f t="shared" si="97"/>
        <v/>
      </c>
      <c r="N843" s="20" t="str">
        <f>IF(AND(OR(B843="",J843&gt;G843,M843&gt;G843),'DDF Original'!L843&lt;&gt; "MI"),G843,IF(M843&gt;J843,M843,J843))</f>
        <v/>
      </c>
    </row>
    <row r="844" spans="2:14" x14ac:dyDescent="0.2">
      <c r="B844" s="19" t="str">
        <f>IF('DDF Original'!B844="","",'DDF Original'!B844)</f>
        <v/>
      </c>
      <c r="C844" s="19" t="e">
        <f t="shared" si="91"/>
        <v>#VALUE!</v>
      </c>
      <c r="D844" s="20" t="str">
        <f>IF('DDF Original'!C844="","",'DDF Original'!C844)</f>
        <v/>
      </c>
      <c r="E844" s="24" t="str">
        <f>IF('DDF Original'!B844="","",IF(TRIM('DDF Original'!I844)="",0,'DDF Original'!I844))</f>
        <v/>
      </c>
      <c r="F844" s="20" t="str">
        <f t="shared" si="92"/>
        <v/>
      </c>
      <c r="G844" s="37" t="str">
        <f>IF('DDF Original'!B844="","",IF(TRIM('DDF Original'!P844)="",0,'DDF Original'!P844))</f>
        <v/>
      </c>
      <c r="H844" s="20" t="str">
        <f t="shared" si="93"/>
        <v/>
      </c>
      <c r="I844" s="25" t="str">
        <f t="shared" si="94"/>
        <v/>
      </c>
      <c r="J844" s="20" t="str">
        <f t="shared" si="95"/>
        <v/>
      </c>
      <c r="K844" s="20" t="str">
        <f t="shared" si="96"/>
        <v/>
      </c>
      <c r="L844" s="20" t="str">
        <f>IF(B844="","",70*'DDF Original'!$Q$4)</f>
        <v/>
      </c>
      <c r="M844" s="20" t="str">
        <f t="shared" si="97"/>
        <v/>
      </c>
      <c r="N844" s="20" t="str">
        <f>IF(AND(OR(B844="",J844&gt;G844,M844&gt;G844),'DDF Original'!L844&lt;&gt; "MI"),G844,IF(M844&gt;J844,M844,J844))</f>
        <v/>
      </c>
    </row>
    <row r="845" spans="2:14" x14ac:dyDescent="0.2">
      <c r="B845" s="19" t="str">
        <f>IF('DDF Original'!B845="","",'DDF Original'!B845)</f>
        <v/>
      </c>
      <c r="C845" s="19" t="e">
        <f t="shared" si="91"/>
        <v>#VALUE!</v>
      </c>
      <c r="D845" s="20" t="str">
        <f>IF('DDF Original'!C845="","",'DDF Original'!C845)</f>
        <v/>
      </c>
      <c r="E845" s="24" t="str">
        <f>IF('DDF Original'!B845="","",IF(TRIM('DDF Original'!I845)="",0,'DDF Original'!I845))</f>
        <v/>
      </c>
      <c r="F845" s="20" t="str">
        <f t="shared" si="92"/>
        <v/>
      </c>
      <c r="G845" s="37" t="str">
        <f>IF('DDF Original'!B845="","",IF(TRIM('DDF Original'!P845)="",0,'DDF Original'!P845))</f>
        <v/>
      </c>
      <c r="H845" s="20" t="str">
        <f t="shared" si="93"/>
        <v/>
      </c>
      <c r="I845" s="25" t="str">
        <f t="shared" si="94"/>
        <v/>
      </c>
      <c r="J845" s="20" t="str">
        <f t="shared" si="95"/>
        <v/>
      </c>
      <c r="K845" s="20" t="str">
        <f t="shared" si="96"/>
        <v/>
      </c>
      <c r="L845" s="20" t="str">
        <f>IF(B845="","",70*'DDF Original'!$Q$4)</f>
        <v/>
      </c>
      <c r="M845" s="20" t="str">
        <f t="shared" si="97"/>
        <v/>
      </c>
      <c r="N845" s="20" t="str">
        <f>IF(AND(OR(B845="",J845&gt;G845,M845&gt;G845),'DDF Original'!L845&lt;&gt; "MI"),G845,IF(M845&gt;J845,M845,J845))</f>
        <v/>
      </c>
    </row>
    <row r="846" spans="2:14" x14ac:dyDescent="0.2">
      <c r="B846" s="19" t="str">
        <f>IF('DDF Original'!B846="","",'DDF Original'!B846)</f>
        <v/>
      </c>
      <c r="C846" s="19" t="e">
        <f t="shared" si="91"/>
        <v>#VALUE!</v>
      </c>
      <c r="D846" s="20" t="str">
        <f>IF('DDF Original'!C846="","",'DDF Original'!C846)</f>
        <v/>
      </c>
      <c r="E846" s="24" t="str">
        <f>IF('DDF Original'!B846="","",IF(TRIM('DDF Original'!I846)="",0,'DDF Original'!I846))</f>
        <v/>
      </c>
      <c r="F846" s="20" t="str">
        <f t="shared" si="92"/>
        <v/>
      </c>
      <c r="G846" s="37" t="str">
        <f>IF('DDF Original'!B846="","",IF(TRIM('DDF Original'!P846)="",0,'DDF Original'!P846))</f>
        <v/>
      </c>
      <c r="H846" s="20" t="str">
        <f t="shared" si="93"/>
        <v/>
      </c>
      <c r="I846" s="25" t="str">
        <f t="shared" si="94"/>
        <v/>
      </c>
      <c r="J846" s="20" t="str">
        <f t="shared" si="95"/>
        <v/>
      </c>
      <c r="K846" s="20" t="str">
        <f t="shared" si="96"/>
        <v/>
      </c>
      <c r="L846" s="20" t="str">
        <f>IF(B846="","",70*'DDF Original'!$Q$4)</f>
        <v/>
      </c>
      <c r="M846" s="20" t="str">
        <f t="shared" si="97"/>
        <v/>
      </c>
      <c r="N846" s="20" t="str">
        <f>IF(AND(OR(B846="",J846&gt;G846,M846&gt;G846),'DDF Original'!L846&lt;&gt; "MI"),G846,IF(M846&gt;J846,M846,J846))</f>
        <v/>
      </c>
    </row>
    <row r="847" spans="2:14" x14ac:dyDescent="0.2">
      <c r="B847" s="19" t="str">
        <f>IF('DDF Original'!B847="","",'DDF Original'!B847)</f>
        <v/>
      </c>
      <c r="C847" s="19" t="e">
        <f t="shared" si="91"/>
        <v>#VALUE!</v>
      </c>
      <c r="D847" s="20" t="str">
        <f>IF('DDF Original'!C847="","",'DDF Original'!C847)</f>
        <v/>
      </c>
      <c r="E847" s="24" t="str">
        <f>IF('DDF Original'!B847="","",IF(TRIM('DDF Original'!I847)="",0,'DDF Original'!I847))</f>
        <v/>
      </c>
      <c r="F847" s="20" t="str">
        <f t="shared" si="92"/>
        <v/>
      </c>
      <c r="G847" s="37" t="str">
        <f>IF('DDF Original'!B847="","",IF(TRIM('DDF Original'!P847)="",0,'DDF Original'!P847))</f>
        <v/>
      </c>
      <c r="H847" s="20" t="str">
        <f t="shared" si="93"/>
        <v/>
      </c>
      <c r="I847" s="25" t="str">
        <f t="shared" si="94"/>
        <v/>
      </c>
      <c r="J847" s="20" t="str">
        <f t="shared" si="95"/>
        <v/>
      </c>
      <c r="K847" s="20" t="str">
        <f t="shared" si="96"/>
        <v/>
      </c>
      <c r="L847" s="20" t="str">
        <f>IF(B847="","",70*'DDF Original'!$Q$4)</f>
        <v/>
      </c>
      <c r="M847" s="20" t="str">
        <f t="shared" si="97"/>
        <v/>
      </c>
      <c r="N847" s="20" t="str">
        <f>IF(AND(OR(B847="",J847&gt;G847,M847&gt;G847),'DDF Original'!L847&lt;&gt; "MI"),G847,IF(M847&gt;J847,M847,J847))</f>
        <v/>
      </c>
    </row>
    <row r="848" spans="2:14" x14ac:dyDescent="0.2">
      <c r="B848" s="19" t="str">
        <f>IF('DDF Original'!B848="","",'DDF Original'!B848)</f>
        <v/>
      </c>
      <c r="C848" s="19" t="e">
        <f t="shared" si="91"/>
        <v>#VALUE!</v>
      </c>
      <c r="D848" s="20" t="str">
        <f>IF('DDF Original'!C848="","",'DDF Original'!C848)</f>
        <v/>
      </c>
      <c r="E848" s="24" t="str">
        <f>IF('DDF Original'!B848="","",IF(TRIM('DDF Original'!I848)="",0,'DDF Original'!I848))</f>
        <v/>
      </c>
      <c r="F848" s="20" t="str">
        <f t="shared" si="92"/>
        <v/>
      </c>
      <c r="G848" s="37" t="str">
        <f>IF('DDF Original'!B848="","",IF(TRIM('DDF Original'!P848)="",0,'DDF Original'!P848))</f>
        <v/>
      </c>
      <c r="H848" s="20" t="str">
        <f t="shared" si="93"/>
        <v/>
      </c>
      <c r="I848" s="25" t="str">
        <f t="shared" si="94"/>
        <v/>
      </c>
      <c r="J848" s="20" t="str">
        <f t="shared" si="95"/>
        <v/>
      </c>
      <c r="K848" s="20" t="str">
        <f t="shared" si="96"/>
        <v/>
      </c>
      <c r="L848" s="20" t="str">
        <f>IF(B848="","",70*'DDF Original'!$Q$4)</f>
        <v/>
      </c>
      <c r="M848" s="20" t="str">
        <f t="shared" si="97"/>
        <v/>
      </c>
      <c r="N848" s="20" t="str">
        <f>IF(AND(OR(B848="",J848&gt;G848,M848&gt;G848),'DDF Original'!L848&lt;&gt; "MI"),G848,IF(M848&gt;J848,M848,J848))</f>
        <v/>
      </c>
    </row>
    <row r="849" spans="2:14" x14ac:dyDescent="0.2">
      <c r="B849" s="19" t="str">
        <f>IF('DDF Original'!B849="","",'DDF Original'!B849)</f>
        <v/>
      </c>
      <c r="C849" s="19" t="e">
        <f t="shared" si="91"/>
        <v>#VALUE!</v>
      </c>
      <c r="D849" s="20" t="str">
        <f>IF('DDF Original'!C849="","",'DDF Original'!C849)</f>
        <v/>
      </c>
      <c r="E849" s="24" t="str">
        <f>IF('DDF Original'!B849="","",IF(TRIM('DDF Original'!I849)="",0,'DDF Original'!I849))</f>
        <v/>
      </c>
      <c r="F849" s="20" t="str">
        <f t="shared" si="92"/>
        <v/>
      </c>
      <c r="G849" s="37" t="str">
        <f>IF('DDF Original'!B849="","",IF(TRIM('DDF Original'!P849)="",0,'DDF Original'!P849))</f>
        <v/>
      </c>
      <c r="H849" s="20" t="str">
        <f t="shared" si="93"/>
        <v/>
      </c>
      <c r="I849" s="25" t="str">
        <f t="shared" si="94"/>
        <v/>
      </c>
      <c r="J849" s="20" t="str">
        <f t="shared" si="95"/>
        <v/>
      </c>
      <c r="K849" s="20" t="str">
        <f t="shared" si="96"/>
        <v/>
      </c>
      <c r="L849" s="20" t="str">
        <f>IF(B849="","",70*'DDF Original'!$Q$4)</f>
        <v/>
      </c>
      <c r="M849" s="20" t="str">
        <f t="shared" si="97"/>
        <v/>
      </c>
      <c r="N849" s="20" t="str">
        <f>IF(AND(OR(B849="",J849&gt;G849,M849&gt;G849),'DDF Original'!L849&lt;&gt; "MI"),G849,IF(M849&gt;J849,M849,J849))</f>
        <v/>
      </c>
    </row>
    <row r="850" spans="2:14" x14ac:dyDescent="0.2">
      <c r="B850" s="19" t="str">
        <f>IF('DDF Original'!B850="","",'DDF Original'!B850)</f>
        <v/>
      </c>
      <c r="C850" s="19" t="e">
        <f t="shared" si="91"/>
        <v>#VALUE!</v>
      </c>
      <c r="D850" s="20" t="str">
        <f>IF('DDF Original'!C850="","",'DDF Original'!C850)</f>
        <v/>
      </c>
      <c r="E850" s="24" t="str">
        <f>IF('DDF Original'!B850="","",IF(TRIM('DDF Original'!I850)="",0,'DDF Original'!I850))</f>
        <v/>
      </c>
      <c r="F850" s="20" t="str">
        <f t="shared" si="92"/>
        <v/>
      </c>
      <c r="G850" s="37" t="str">
        <f>IF('DDF Original'!B850="","",IF(TRIM('DDF Original'!P850)="",0,'DDF Original'!P850))</f>
        <v/>
      </c>
      <c r="H850" s="20" t="str">
        <f t="shared" si="93"/>
        <v/>
      </c>
      <c r="I850" s="25" t="str">
        <f t="shared" si="94"/>
        <v/>
      </c>
      <c r="J850" s="20" t="str">
        <f t="shared" si="95"/>
        <v/>
      </c>
      <c r="K850" s="20" t="str">
        <f t="shared" si="96"/>
        <v/>
      </c>
      <c r="L850" s="20" t="str">
        <f>IF(B850="","",70*'DDF Original'!$Q$4)</f>
        <v/>
      </c>
      <c r="M850" s="20" t="str">
        <f t="shared" si="97"/>
        <v/>
      </c>
      <c r="N850" s="20" t="str">
        <f>IF(AND(OR(B850="",J850&gt;G850,M850&gt;G850),'DDF Original'!L850&lt;&gt; "MI"),G850,IF(M850&gt;J850,M850,J850))</f>
        <v/>
      </c>
    </row>
    <row r="851" spans="2:14" x14ac:dyDescent="0.2">
      <c r="B851" s="19" t="str">
        <f>IF('DDF Original'!B851="","",'DDF Original'!B851)</f>
        <v/>
      </c>
      <c r="C851" s="19" t="e">
        <f t="shared" si="91"/>
        <v>#VALUE!</v>
      </c>
      <c r="D851" s="20" t="str">
        <f>IF('DDF Original'!C851="","",'DDF Original'!C851)</f>
        <v/>
      </c>
      <c r="E851" s="24" t="str">
        <f>IF('DDF Original'!B851="","",IF(TRIM('DDF Original'!I851)="",0,'DDF Original'!I851))</f>
        <v/>
      </c>
      <c r="F851" s="20" t="str">
        <f t="shared" si="92"/>
        <v/>
      </c>
      <c r="G851" s="37" t="str">
        <f>IF('DDF Original'!B851="","",IF(TRIM('DDF Original'!P851)="",0,'DDF Original'!P851))</f>
        <v/>
      </c>
      <c r="H851" s="20" t="str">
        <f t="shared" si="93"/>
        <v/>
      </c>
      <c r="I851" s="25" t="str">
        <f t="shared" si="94"/>
        <v/>
      </c>
      <c r="J851" s="20" t="str">
        <f t="shared" si="95"/>
        <v/>
      </c>
      <c r="K851" s="20" t="str">
        <f t="shared" si="96"/>
        <v/>
      </c>
      <c r="L851" s="20" t="str">
        <f>IF(B851="","",70*'DDF Original'!$Q$4)</f>
        <v/>
      </c>
      <c r="M851" s="20" t="str">
        <f t="shared" si="97"/>
        <v/>
      </c>
      <c r="N851" s="20" t="str">
        <f>IF(AND(OR(B851="",J851&gt;G851,M851&gt;G851),'DDF Original'!L851&lt;&gt; "MI"),G851,IF(M851&gt;J851,M851,J851))</f>
        <v/>
      </c>
    </row>
    <row r="852" spans="2:14" x14ac:dyDescent="0.2">
      <c r="B852" s="19" t="str">
        <f>IF('DDF Original'!B852="","",'DDF Original'!B852)</f>
        <v/>
      </c>
      <c r="C852" s="19" t="e">
        <f t="shared" si="91"/>
        <v>#VALUE!</v>
      </c>
      <c r="D852" s="20" t="str">
        <f>IF('DDF Original'!C852="","",'DDF Original'!C852)</f>
        <v/>
      </c>
      <c r="E852" s="24" t="str">
        <f>IF('DDF Original'!B852="","",IF(TRIM('DDF Original'!I852)="",0,'DDF Original'!I852))</f>
        <v/>
      </c>
      <c r="F852" s="20" t="str">
        <f t="shared" si="92"/>
        <v/>
      </c>
      <c r="G852" s="37" t="str">
        <f>IF('DDF Original'!B852="","",IF(TRIM('DDF Original'!P852)="",0,'DDF Original'!P852))</f>
        <v/>
      </c>
      <c r="H852" s="20" t="str">
        <f t="shared" si="93"/>
        <v/>
      </c>
      <c r="I852" s="25" t="str">
        <f t="shared" si="94"/>
        <v/>
      </c>
      <c r="J852" s="20" t="str">
        <f t="shared" si="95"/>
        <v/>
      </c>
      <c r="K852" s="20" t="str">
        <f t="shared" si="96"/>
        <v/>
      </c>
      <c r="L852" s="20" t="str">
        <f>IF(B852="","",70*'DDF Original'!$Q$4)</f>
        <v/>
      </c>
      <c r="M852" s="20" t="str">
        <f t="shared" si="97"/>
        <v/>
      </c>
      <c r="N852" s="20" t="str">
        <f>IF(AND(OR(B852="",J852&gt;G852,M852&gt;G852),'DDF Original'!L852&lt;&gt; "MI"),G852,IF(M852&gt;J852,M852,J852))</f>
        <v/>
      </c>
    </row>
    <row r="853" spans="2:14" x14ac:dyDescent="0.2">
      <c r="B853" s="19" t="str">
        <f>IF('DDF Original'!B853="","",'DDF Original'!B853)</f>
        <v/>
      </c>
      <c r="C853" s="19" t="e">
        <f t="shared" si="91"/>
        <v>#VALUE!</v>
      </c>
      <c r="D853" s="20" t="str">
        <f>IF('DDF Original'!C853="","",'DDF Original'!C853)</f>
        <v/>
      </c>
      <c r="E853" s="24" t="str">
        <f>IF('DDF Original'!B853="","",IF(TRIM('DDF Original'!I853)="",0,'DDF Original'!I853))</f>
        <v/>
      </c>
      <c r="F853" s="20" t="str">
        <f t="shared" si="92"/>
        <v/>
      </c>
      <c r="G853" s="37" t="str">
        <f>IF('DDF Original'!B853="","",IF(TRIM('DDF Original'!P853)="",0,'DDF Original'!P853))</f>
        <v/>
      </c>
      <c r="H853" s="20" t="str">
        <f t="shared" si="93"/>
        <v/>
      </c>
      <c r="I853" s="25" t="str">
        <f t="shared" si="94"/>
        <v/>
      </c>
      <c r="J853" s="20" t="str">
        <f t="shared" si="95"/>
        <v/>
      </c>
      <c r="K853" s="20" t="str">
        <f t="shared" si="96"/>
        <v/>
      </c>
      <c r="L853" s="20" t="str">
        <f>IF(B853="","",70*'DDF Original'!$Q$4)</f>
        <v/>
      </c>
      <c r="M853" s="20" t="str">
        <f t="shared" si="97"/>
        <v/>
      </c>
      <c r="N853" s="20" t="str">
        <f>IF(AND(OR(B853="",J853&gt;G853,M853&gt;G853),'DDF Original'!L853&lt;&gt; "MI"),G853,IF(M853&gt;J853,M853,J853))</f>
        <v/>
      </c>
    </row>
    <row r="854" spans="2:14" x14ac:dyDescent="0.2">
      <c r="B854" s="19" t="str">
        <f>IF('DDF Original'!B854="","",'DDF Original'!B854)</f>
        <v/>
      </c>
      <c r="C854" s="19" t="e">
        <f t="shared" si="91"/>
        <v>#VALUE!</v>
      </c>
      <c r="D854" s="20" t="str">
        <f>IF('DDF Original'!C854="","",'DDF Original'!C854)</f>
        <v/>
      </c>
      <c r="E854" s="24" t="str">
        <f>IF('DDF Original'!B854="","",IF(TRIM('DDF Original'!I854)="",0,'DDF Original'!I854))</f>
        <v/>
      </c>
      <c r="F854" s="20" t="str">
        <f t="shared" si="92"/>
        <v/>
      </c>
      <c r="G854" s="37" t="str">
        <f>IF('DDF Original'!B854="","",IF(TRIM('DDF Original'!P854)="",0,'DDF Original'!P854))</f>
        <v/>
      </c>
      <c r="H854" s="20" t="str">
        <f t="shared" si="93"/>
        <v/>
      </c>
      <c r="I854" s="25" t="str">
        <f t="shared" si="94"/>
        <v/>
      </c>
      <c r="J854" s="20" t="str">
        <f t="shared" si="95"/>
        <v/>
      </c>
      <c r="K854" s="20" t="str">
        <f t="shared" si="96"/>
        <v/>
      </c>
      <c r="L854" s="20" t="str">
        <f>IF(B854="","",70*'DDF Original'!$Q$4)</f>
        <v/>
      </c>
      <c r="M854" s="20" t="str">
        <f t="shared" si="97"/>
        <v/>
      </c>
      <c r="N854" s="20" t="str">
        <f>IF(AND(OR(B854="",J854&gt;G854,M854&gt;G854),'DDF Original'!L854&lt;&gt; "MI"),G854,IF(M854&gt;J854,M854,J854))</f>
        <v/>
      </c>
    </row>
    <row r="855" spans="2:14" x14ac:dyDescent="0.2">
      <c r="B855" s="19" t="str">
        <f>IF('DDF Original'!B855="","",'DDF Original'!B855)</f>
        <v/>
      </c>
      <c r="C855" s="19" t="e">
        <f t="shared" si="91"/>
        <v>#VALUE!</v>
      </c>
      <c r="D855" s="20" t="str">
        <f>IF('DDF Original'!C855="","",'DDF Original'!C855)</f>
        <v/>
      </c>
      <c r="E855" s="24" t="str">
        <f>IF('DDF Original'!B855="","",IF(TRIM('DDF Original'!I855)="",0,'DDF Original'!I855))</f>
        <v/>
      </c>
      <c r="F855" s="20" t="str">
        <f t="shared" si="92"/>
        <v/>
      </c>
      <c r="G855" s="37" t="str">
        <f>IF('DDF Original'!B855="","",IF(TRIM('DDF Original'!P855)="",0,'DDF Original'!P855))</f>
        <v/>
      </c>
      <c r="H855" s="20" t="str">
        <f t="shared" si="93"/>
        <v/>
      </c>
      <c r="I855" s="25" t="str">
        <f t="shared" si="94"/>
        <v/>
      </c>
      <c r="J855" s="20" t="str">
        <f t="shared" si="95"/>
        <v/>
      </c>
      <c r="K855" s="20" t="str">
        <f t="shared" si="96"/>
        <v/>
      </c>
      <c r="L855" s="20" t="str">
        <f>IF(B855="","",70*'DDF Original'!$Q$4)</f>
        <v/>
      </c>
      <c r="M855" s="20" t="str">
        <f t="shared" si="97"/>
        <v/>
      </c>
      <c r="N855" s="20" t="str">
        <f>IF(AND(OR(B855="",J855&gt;G855,M855&gt;G855),'DDF Original'!L855&lt;&gt; "MI"),G855,IF(M855&gt;J855,M855,J855))</f>
        <v/>
      </c>
    </row>
    <row r="856" spans="2:14" x14ac:dyDescent="0.2">
      <c r="B856" s="19" t="str">
        <f>IF('DDF Original'!B856="","",'DDF Original'!B856)</f>
        <v/>
      </c>
      <c r="C856" s="19" t="e">
        <f t="shared" si="91"/>
        <v>#VALUE!</v>
      </c>
      <c r="D856" s="20" t="str">
        <f>IF('DDF Original'!C856="","",'DDF Original'!C856)</f>
        <v/>
      </c>
      <c r="E856" s="24" t="str">
        <f>IF('DDF Original'!B856="","",IF(TRIM('DDF Original'!I856)="",0,'DDF Original'!I856))</f>
        <v/>
      </c>
      <c r="F856" s="20" t="str">
        <f t="shared" si="92"/>
        <v/>
      </c>
      <c r="G856" s="37" t="str">
        <f>IF('DDF Original'!B856="","",IF(TRIM('DDF Original'!P856)="",0,'DDF Original'!P856))</f>
        <v/>
      </c>
      <c r="H856" s="20" t="str">
        <f t="shared" si="93"/>
        <v/>
      </c>
      <c r="I856" s="25" t="str">
        <f t="shared" si="94"/>
        <v/>
      </c>
      <c r="J856" s="20" t="str">
        <f t="shared" si="95"/>
        <v/>
      </c>
      <c r="K856" s="20" t="str">
        <f t="shared" si="96"/>
        <v/>
      </c>
      <c r="L856" s="20" t="str">
        <f>IF(B856="","",70*'DDF Original'!$Q$4)</f>
        <v/>
      </c>
      <c r="M856" s="20" t="str">
        <f t="shared" si="97"/>
        <v/>
      </c>
      <c r="N856" s="20" t="str">
        <f>IF(AND(OR(B856="",J856&gt;G856,M856&gt;G856),'DDF Original'!L856&lt;&gt; "MI"),G856,IF(M856&gt;J856,M856,J856))</f>
        <v/>
      </c>
    </row>
    <row r="857" spans="2:14" x14ac:dyDescent="0.2">
      <c r="B857" s="19" t="str">
        <f>IF('DDF Original'!B857="","",'DDF Original'!B857)</f>
        <v/>
      </c>
      <c r="C857" s="19" t="e">
        <f t="shared" si="91"/>
        <v>#VALUE!</v>
      </c>
      <c r="D857" s="20" t="str">
        <f>IF('DDF Original'!C857="","",'DDF Original'!C857)</f>
        <v/>
      </c>
      <c r="E857" s="24" t="str">
        <f>IF('DDF Original'!B857="","",IF(TRIM('DDF Original'!I857)="",0,'DDF Original'!I857))</f>
        <v/>
      </c>
      <c r="F857" s="20" t="str">
        <f t="shared" si="92"/>
        <v/>
      </c>
      <c r="G857" s="37" t="str">
        <f>IF('DDF Original'!B857="","",IF(TRIM('DDF Original'!P857)="",0,'DDF Original'!P857))</f>
        <v/>
      </c>
      <c r="H857" s="20" t="str">
        <f t="shared" si="93"/>
        <v/>
      </c>
      <c r="I857" s="25" t="str">
        <f t="shared" si="94"/>
        <v/>
      </c>
      <c r="J857" s="20" t="str">
        <f t="shared" si="95"/>
        <v/>
      </c>
      <c r="K857" s="20" t="str">
        <f t="shared" si="96"/>
        <v/>
      </c>
      <c r="L857" s="20" t="str">
        <f>IF(B857="","",70*'DDF Original'!$Q$4)</f>
        <v/>
      </c>
      <c r="M857" s="20" t="str">
        <f t="shared" si="97"/>
        <v/>
      </c>
      <c r="N857" s="20" t="str">
        <f>IF(AND(OR(B857="",J857&gt;G857,M857&gt;G857),'DDF Original'!L857&lt;&gt; "MI"),G857,IF(M857&gt;J857,M857,J857))</f>
        <v/>
      </c>
    </row>
    <row r="858" spans="2:14" x14ac:dyDescent="0.2">
      <c r="B858" s="19" t="str">
        <f>IF('DDF Original'!B858="","",'DDF Original'!B858)</f>
        <v/>
      </c>
      <c r="C858" s="19" t="e">
        <f t="shared" si="91"/>
        <v>#VALUE!</v>
      </c>
      <c r="D858" s="20" t="str">
        <f>IF('DDF Original'!C858="","",'DDF Original'!C858)</f>
        <v/>
      </c>
      <c r="E858" s="24" t="str">
        <f>IF('DDF Original'!B858="","",IF(TRIM('DDF Original'!I858)="",0,'DDF Original'!I858))</f>
        <v/>
      </c>
      <c r="F858" s="20" t="str">
        <f t="shared" si="92"/>
        <v/>
      </c>
      <c r="G858" s="37" t="str">
        <f>IF('DDF Original'!B858="","",IF(TRIM('DDF Original'!P858)="",0,'DDF Original'!P858))</f>
        <v/>
      </c>
      <c r="H858" s="20" t="str">
        <f t="shared" si="93"/>
        <v/>
      </c>
      <c r="I858" s="25" t="str">
        <f t="shared" si="94"/>
        <v/>
      </c>
      <c r="J858" s="20" t="str">
        <f t="shared" si="95"/>
        <v/>
      </c>
      <c r="K858" s="20" t="str">
        <f t="shared" si="96"/>
        <v/>
      </c>
      <c r="L858" s="20" t="str">
        <f>IF(B858="","",70*'DDF Original'!$Q$4)</f>
        <v/>
      </c>
      <c r="M858" s="20" t="str">
        <f t="shared" si="97"/>
        <v/>
      </c>
      <c r="N858" s="20" t="str">
        <f>IF(AND(OR(B858="",J858&gt;G858,M858&gt;G858),'DDF Original'!L858&lt;&gt; "MI"),G858,IF(M858&gt;J858,M858,J858))</f>
        <v/>
      </c>
    </row>
    <row r="859" spans="2:14" x14ac:dyDescent="0.2">
      <c r="B859" s="19" t="str">
        <f>IF('DDF Original'!B859="","",'DDF Original'!B859)</f>
        <v/>
      </c>
      <c r="C859" s="19" t="e">
        <f t="shared" si="91"/>
        <v>#VALUE!</v>
      </c>
      <c r="D859" s="20" t="str">
        <f>IF('DDF Original'!C859="","",'DDF Original'!C859)</f>
        <v/>
      </c>
      <c r="E859" s="24" t="str">
        <f>IF('DDF Original'!B859="","",IF(TRIM('DDF Original'!I859)="",0,'DDF Original'!I859))</f>
        <v/>
      </c>
      <c r="F859" s="20" t="str">
        <f t="shared" si="92"/>
        <v/>
      </c>
      <c r="G859" s="37" t="str">
        <f>IF('DDF Original'!B859="","",IF(TRIM('DDF Original'!P859)="",0,'DDF Original'!P859))</f>
        <v/>
      </c>
      <c r="H859" s="20" t="str">
        <f t="shared" si="93"/>
        <v/>
      </c>
      <c r="I859" s="25" t="str">
        <f t="shared" si="94"/>
        <v/>
      </c>
      <c r="J859" s="20" t="str">
        <f t="shared" si="95"/>
        <v/>
      </c>
      <c r="K859" s="20" t="str">
        <f t="shared" si="96"/>
        <v/>
      </c>
      <c r="L859" s="20" t="str">
        <f>IF(B859="","",70*'DDF Original'!$Q$4)</f>
        <v/>
      </c>
      <c r="M859" s="20" t="str">
        <f t="shared" si="97"/>
        <v/>
      </c>
      <c r="N859" s="20" t="str">
        <f>IF(AND(OR(B859="",J859&gt;G859,M859&gt;G859),'DDF Original'!L859&lt;&gt; "MI"),G859,IF(M859&gt;J859,M859,J859))</f>
        <v/>
      </c>
    </row>
    <row r="860" spans="2:14" x14ac:dyDescent="0.2">
      <c r="B860" s="19" t="str">
        <f>IF('DDF Original'!B860="","",'DDF Original'!B860)</f>
        <v/>
      </c>
      <c r="C860" s="19" t="e">
        <f t="shared" si="91"/>
        <v>#VALUE!</v>
      </c>
      <c r="D860" s="20" t="str">
        <f>IF('DDF Original'!C860="","",'DDF Original'!C860)</f>
        <v/>
      </c>
      <c r="E860" s="24" t="str">
        <f>IF('DDF Original'!B860="","",IF(TRIM('DDF Original'!I860)="",0,'DDF Original'!I860))</f>
        <v/>
      </c>
      <c r="F860" s="20" t="str">
        <f t="shared" si="92"/>
        <v/>
      </c>
      <c r="G860" s="37" t="str">
        <f>IF('DDF Original'!B860="","",IF(TRIM('DDF Original'!P860)="",0,'DDF Original'!P860))</f>
        <v/>
      </c>
      <c r="H860" s="20" t="str">
        <f t="shared" si="93"/>
        <v/>
      </c>
      <c r="I860" s="25" t="str">
        <f t="shared" si="94"/>
        <v/>
      </c>
      <c r="J860" s="20" t="str">
        <f t="shared" si="95"/>
        <v/>
      </c>
      <c r="K860" s="20" t="str">
        <f t="shared" si="96"/>
        <v/>
      </c>
      <c r="L860" s="20" t="str">
        <f>IF(B860="","",70*'DDF Original'!$Q$4)</f>
        <v/>
      </c>
      <c r="M860" s="20" t="str">
        <f t="shared" si="97"/>
        <v/>
      </c>
      <c r="N860" s="20" t="str">
        <f>IF(AND(OR(B860="",J860&gt;G860,M860&gt;G860),'DDF Original'!L860&lt;&gt; "MI"),G860,IF(M860&gt;J860,M860,J860))</f>
        <v/>
      </c>
    </row>
    <row r="861" spans="2:14" x14ac:dyDescent="0.2">
      <c r="B861" s="19" t="str">
        <f>IF('DDF Original'!B861="","",'DDF Original'!B861)</f>
        <v/>
      </c>
      <c r="C861" s="19" t="e">
        <f t="shared" si="91"/>
        <v>#VALUE!</v>
      </c>
      <c r="D861" s="20" t="str">
        <f>IF('DDF Original'!C861="","",'DDF Original'!C861)</f>
        <v/>
      </c>
      <c r="E861" s="24" t="str">
        <f>IF('DDF Original'!B861="","",IF(TRIM('DDF Original'!I861)="",0,'DDF Original'!I861))</f>
        <v/>
      </c>
      <c r="F861" s="20" t="str">
        <f t="shared" si="92"/>
        <v/>
      </c>
      <c r="G861" s="37" t="str">
        <f>IF('DDF Original'!B861="","",IF(TRIM('DDF Original'!P861)="",0,'DDF Original'!P861))</f>
        <v/>
      </c>
      <c r="H861" s="20" t="str">
        <f t="shared" si="93"/>
        <v/>
      </c>
      <c r="I861" s="25" t="str">
        <f t="shared" si="94"/>
        <v/>
      </c>
      <c r="J861" s="20" t="str">
        <f t="shared" si="95"/>
        <v/>
      </c>
      <c r="K861" s="20" t="str">
        <f t="shared" si="96"/>
        <v/>
      </c>
      <c r="L861" s="20" t="str">
        <f>IF(B861="","",70*'DDF Original'!$Q$4)</f>
        <v/>
      </c>
      <c r="M861" s="20" t="str">
        <f t="shared" si="97"/>
        <v/>
      </c>
      <c r="N861" s="20" t="str">
        <f>IF(AND(OR(B861="",J861&gt;G861,M861&gt;G861),'DDF Original'!L861&lt;&gt; "MI"),G861,IF(M861&gt;J861,M861,J861))</f>
        <v/>
      </c>
    </row>
    <row r="862" spans="2:14" x14ac:dyDescent="0.2">
      <c r="B862" s="19" t="str">
        <f>IF('DDF Original'!B862="","",'DDF Original'!B862)</f>
        <v/>
      </c>
      <c r="C862" s="19" t="e">
        <f t="shared" si="91"/>
        <v>#VALUE!</v>
      </c>
      <c r="D862" s="20" t="str">
        <f>IF('DDF Original'!C862="","",'DDF Original'!C862)</f>
        <v/>
      </c>
      <c r="E862" s="24" t="str">
        <f>IF('DDF Original'!B862="","",IF(TRIM('DDF Original'!I862)="",0,'DDF Original'!I862))</f>
        <v/>
      </c>
      <c r="F862" s="20" t="str">
        <f t="shared" si="92"/>
        <v/>
      </c>
      <c r="G862" s="37" t="str">
        <f>IF('DDF Original'!B862="","",IF(TRIM('DDF Original'!P862)="",0,'DDF Original'!P862))</f>
        <v/>
      </c>
      <c r="H862" s="20" t="str">
        <f t="shared" si="93"/>
        <v/>
      </c>
      <c r="I862" s="25" t="str">
        <f t="shared" si="94"/>
        <v/>
      </c>
      <c r="J862" s="20" t="str">
        <f t="shared" si="95"/>
        <v/>
      </c>
      <c r="K862" s="20" t="str">
        <f t="shared" si="96"/>
        <v/>
      </c>
      <c r="L862" s="20" t="str">
        <f>IF(B862="","",70*'DDF Original'!$Q$4)</f>
        <v/>
      </c>
      <c r="M862" s="20" t="str">
        <f t="shared" si="97"/>
        <v/>
      </c>
      <c r="N862" s="20" t="str">
        <f>IF(AND(OR(B862="",J862&gt;G862,M862&gt;G862),'DDF Original'!L862&lt;&gt; "MI"),G862,IF(M862&gt;J862,M862,J862))</f>
        <v/>
      </c>
    </row>
    <row r="863" spans="2:14" x14ac:dyDescent="0.2">
      <c r="B863" s="19" t="str">
        <f>IF('DDF Original'!B863="","",'DDF Original'!B863)</f>
        <v/>
      </c>
      <c r="C863" s="19" t="e">
        <f t="shared" si="91"/>
        <v>#VALUE!</v>
      </c>
      <c r="D863" s="20" t="str">
        <f>IF('DDF Original'!C863="","",'DDF Original'!C863)</f>
        <v/>
      </c>
      <c r="E863" s="24" t="str">
        <f>IF('DDF Original'!B863="","",IF(TRIM('DDF Original'!I863)="",0,'DDF Original'!I863))</f>
        <v/>
      </c>
      <c r="F863" s="20" t="str">
        <f t="shared" si="92"/>
        <v/>
      </c>
      <c r="G863" s="37" t="str">
        <f>IF('DDF Original'!B863="","",IF(TRIM('DDF Original'!P863)="",0,'DDF Original'!P863))</f>
        <v/>
      </c>
      <c r="H863" s="20" t="str">
        <f t="shared" si="93"/>
        <v/>
      </c>
      <c r="I863" s="25" t="str">
        <f t="shared" si="94"/>
        <v/>
      </c>
      <c r="J863" s="20" t="str">
        <f t="shared" si="95"/>
        <v/>
      </c>
      <c r="K863" s="20" t="str">
        <f t="shared" si="96"/>
        <v/>
      </c>
      <c r="L863" s="20" t="str">
        <f>IF(B863="","",70*'DDF Original'!$Q$4)</f>
        <v/>
      </c>
      <c r="M863" s="20" t="str">
        <f t="shared" si="97"/>
        <v/>
      </c>
      <c r="N863" s="20" t="str">
        <f>IF(AND(OR(B863="",J863&gt;G863,M863&gt;G863),'DDF Original'!L863&lt;&gt; "MI"),G863,IF(M863&gt;J863,M863,J863))</f>
        <v/>
      </c>
    </row>
    <row r="864" spans="2:14" x14ac:dyDescent="0.2">
      <c r="B864" s="19" t="str">
        <f>IF('DDF Original'!B864="","",'DDF Original'!B864)</f>
        <v/>
      </c>
      <c r="C864" s="19" t="e">
        <f t="shared" si="91"/>
        <v>#VALUE!</v>
      </c>
      <c r="D864" s="20" t="str">
        <f>IF('DDF Original'!C864="","",'DDF Original'!C864)</f>
        <v/>
      </c>
      <c r="E864" s="24" t="str">
        <f>IF('DDF Original'!B864="","",IF(TRIM('DDF Original'!I864)="",0,'DDF Original'!I864))</f>
        <v/>
      </c>
      <c r="F864" s="20" t="str">
        <f t="shared" si="92"/>
        <v/>
      </c>
      <c r="G864" s="37" t="str">
        <f>IF('DDF Original'!B864="","",IF(TRIM('DDF Original'!P864)="",0,'DDF Original'!P864))</f>
        <v/>
      </c>
      <c r="H864" s="20" t="str">
        <f t="shared" si="93"/>
        <v/>
      </c>
      <c r="I864" s="25" t="str">
        <f t="shared" si="94"/>
        <v/>
      </c>
      <c r="J864" s="20" t="str">
        <f t="shared" si="95"/>
        <v/>
      </c>
      <c r="K864" s="20" t="str">
        <f t="shared" si="96"/>
        <v/>
      </c>
      <c r="L864" s="20" t="str">
        <f>IF(B864="","",70*'DDF Original'!$Q$4)</f>
        <v/>
      </c>
      <c r="M864" s="20" t="str">
        <f t="shared" si="97"/>
        <v/>
      </c>
      <c r="N864" s="20" t="str">
        <f>IF(AND(OR(B864="",J864&gt;G864,M864&gt;G864),'DDF Original'!L864&lt;&gt; "MI"),G864,IF(M864&gt;J864,M864,J864))</f>
        <v/>
      </c>
    </row>
    <row r="865" spans="2:14" x14ac:dyDescent="0.2">
      <c r="B865" s="19" t="str">
        <f>IF('DDF Original'!B865="","",'DDF Original'!B865)</f>
        <v/>
      </c>
      <c r="C865" s="19" t="e">
        <f t="shared" si="91"/>
        <v>#VALUE!</v>
      </c>
      <c r="D865" s="20" t="str">
        <f>IF('DDF Original'!C865="","",'DDF Original'!C865)</f>
        <v/>
      </c>
      <c r="E865" s="24" t="str">
        <f>IF('DDF Original'!B865="","",IF(TRIM('DDF Original'!I865)="",0,'DDF Original'!I865))</f>
        <v/>
      </c>
      <c r="F865" s="20" t="str">
        <f t="shared" si="92"/>
        <v/>
      </c>
      <c r="G865" s="37" t="str">
        <f>IF('DDF Original'!B865="","",IF(TRIM('DDF Original'!P865)="",0,'DDF Original'!P865))</f>
        <v/>
      </c>
      <c r="H865" s="20" t="str">
        <f t="shared" si="93"/>
        <v/>
      </c>
      <c r="I865" s="25" t="str">
        <f t="shared" si="94"/>
        <v/>
      </c>
      <c r="J865" s="20" t="str">
        <f t="shared" si="95"/>
        <v/>
      </c>
      <c r="K865" s="20" t="str">
        <f t="shared" si="96"/>
        <v/>
      </c>
      <c r="L865" s="20" t="str">
        <f>IF(B865="","",70*'DDF Original'!$Q$4)</f>
        <v/>
      </c>
      <c r="M865" s="20" t="str">
        <f t="shared" si="97"/>
        <v/>
      </c>
      <c r="N865" s="20" t="str">
        <f>IF(AND(OR(B865="",J865&gt;G865,M865&gt;G865),'DDF Original'!L865&lt;&gt; "MI"),G865,IF(M865&gt;J865,M865,J865))</f>
        <v/>
      </c>
    </row>
    <row r="866" spans="2:14" x14ac:dyDescent="0.2">
      <c r="B866" s="19" t="str">
        <f>IF('DDF Original'!B866="","",'DDF Original'!B866)</f>
        <v/>
      </c>
      <c r="C866" s="19" t="e">
        <f t="shared" si="91"/>
        <v>#VALUE!</v>
      </c>
      <c r="D866" s="20" t="str">
        <f>IF('DDF Original'!C866="","",'DDF Original'!C866)</f>
        <v/>
      </c>
      <c r="E866" s="24" t="str">
        <f>IF('DDF Original'!B866="","",IF(TRIM('DDF Original'!I866)="",0,'DDF Original'!I866))</f>
        <v/>
      </c>
      <c r="F866" s="20" t="str">
        <f t="shared" si="92"/>
        <v/>
      </c>
      <c r="G866" s="37" t="str">
        <f>IF('DDF Original'!B866="","",IF(TRIM('DDF Original'!P866)="",0,'DDF Original'!P866))</f>
        <v/>
      </c>
      <c r="H866" s="20" t="str">
        <f t="shared" si="93"/>
        <v/>
      </c>
      <c r="I866" s="25" t="str">
        <f t="shared" si="94"/>
        <v/>
      </c>
      <c r="J866" s="20" t="str">
        <f t="shared" si="95"/>
        <v/>
      </c>
      <c r="K866" s="20" t="str">
        <f t="shared" si="96"/>
        <v/>
      </c>
      <c r="L866" s="20" t="str">
        <f>IF(B866="","",70*'DDF Original'!$Q$4)</f>
        <v/>
      </c>
      <c r="M866" s="20" t="str">
        <f t="shared" si="97"/>
        <v/>
      </c>
      <c r="N866" s="20" t="str">
        <f>IF(AND(OR(B866="",J866&gt;G866,M866&gt;G866),'DDF Original'!L866&lt;&gt; "MI"),G866,IF(M866&gt;J866,M866,J866))</f>
        <v/>
      </c>
    </row>
    <row r="867" spans="2:14" x14ac:dyDescent="0.2">
      <c r="B867" s="19" t="str">
        <f>IF('DDF Original'!B867="","",'DDF Original'!B867)</f>
        <v/>
      </c>
      <c r="C867" s="19" t="e">
        <f t="shared" si="91"/>
        <v>#VALUE!</v>
      </c>
      <c r="D867" s="20" t="str">
        <f>IF('DDF Original'!C867="","",'DDF Original'!C867)</f>
        <v/>
      </c>
      <c r="E867" s="24" t="str">
        <f>IF('DDF Original'!B867="","",IF(TRIM('DDF Original'!I867)="",0,'DDF Original'!I867))</f>
        <v/>
      </c>
      <c r="F867" s="20" t="str">
        <f t="shared" si="92"/>
        <v/>
      </c>
      <c r="G867" s="37" t="str">
        <f>IF('DDF Original'!B867="","",IF(TRIM('DDF Original'!P867)="",0,'DDF Original'!P867))</f>
        <v/>
      </c>
      <c r="H867" s="20" t="str">
        <f t="shared" si="93"/>
        <v/>
      </c>
      <c r="I867" s="25" t="str">
        <f t="shared" si="94"/>
        <v/>
      </c>
      <c r="J867" s="20" t="str">
        <f t="shared" si="95"/>
        <v/>
      </c>
      <c r="K867" s="20" t="str">
        <f t="shared" si="96"/>
        <v/>
      </c>
      <c r="L867" s="20" t="str">
        <f>IF(B867="","",70*'DDF Original'!$Q$4)</f>
        <v/>
      </c>
      <c r="M867" s="20" t="str">
        <f t="shared" si="97"/>
        <v/>
      </c>
      <c r="N867" s="20" t="str">
        <f>IF(AND(OR(B867="",J867&gt;G867,M867&gt;G867),'DDF Original'!L867&lt;&gt; "MI"),G867,IF(M867&gt;J867,M867,J867))</f>
        <v/>
      </c>
    </row>
    <row r="868" spans="2:14" x14ac:dyDescent="0.2">
      <c r="B868" s="19" t="str">
        <f>IF('DDF Original'!B868="","",'DDF Original'!B868)</f>
        <v/>
      </c>
      <c r="C868" s="19" t="e">
        <f t="shared" si="91"/>
        <v>#VALUE!</v>
      </c>
      <c r="D868" s="20" t="str">
        <f>IF('DDF Original'!C868="","",'DDF Original'!C868)</f>
        <v/>
      </c>
      <c r="E868" s="24" t="str">
        <f>IF('DDF Original'!B868="","",IF(TRIM('DDF Original'!I868)="",0,'DDF Original'!I868))</f>
        <v/>
      </c>
      <c r="F868" s="20" t="str">
        <f t="shared" si="92"/>
        <v/>
      </c>
      <c r="G868" s="37" t="str">
        <f>IF('DDF Original'!B868="","",IF(TRIM('DDF Original'!P868)="",0,'DDF Original'!P868))</f>
        <v/>
      </c>
      <c r="H868" s="20" t="str">
        <f t="shared" si="93"/>
        <v/>
      </c>
      <c r="I868" s="25" t="str">
        <f t="shared" si="94"/>
        <v/>
      </c>
      <c r="J868" s="20" t="str">
        <f t="shared" si="95"/>
        <v/>
      </c>
      <c r="K868" s="20" t="str">
        <f t="shared" si="96"/>
        <v/>
      </c>
      <c r="L868" s="20" t="str">
        <f>IF(B868="","",70*'DDF Original'!$Q$4)</f>
        <v/>
      </c>
      <c r="M868" s="20" t="str">
        <f t="shared" si="97"/>
        <v/>
      </c>
      <c r="N868" s="20" t="str">
        <f>IF(AND(OR(B868="",J868&gt;G868,M868&gt;G868),'DDF Original'!L868&lt;&gt; "MI"),G868,IF(M868&gt;J868,M868,J868))</f>
        <v/>
      </c>
    </row>
    <row r="869" spans="2:14" x14ac:dyDescent="0.2">
      <c r="B869" s="19" t="str">
        <f>IF('DDF Original'!B869="","",'DDF Original'!B869)</f>
        <v/>
      </c>
      <c r="C869" s="19" t="e">
        <f t="shared" si="91"/>
        <v>#VALUE!</v>
      </c>
      <c r="D869" s="20" t="str">
        <f>IF('DDF Original'!C869="","",'DDF Original'!C869)</f>
        <v/>
      </c>
      <c r="E869" s="24" t="str">
        <f>IF('DDF Original'!B869="","",IF(TRIM('DDF Original'!I869)="",0,'DDF Original'!I869))</f>
        <v/>
      </c>
      <c r="F869" s="20" t="str">
        <f t="shared" si="92"/>
        <v/>
      </c>
      <c r="G869" s="37" t="str">
        <f>IF('DDF Original'!B869="","",IF(TRIM('DDF Original'!P869)="",0,'DDF Original'!P869))</f>
        <v/>
      </c>
      <c r="H869" s="20" t="str">
        <f t="shared" si="93"/>
        <v/>
      </c>
      <c r="I869" s="25" t="str">
        <f t="shared" si="94"/>
        <v/>
      </c>
      <c r="J869" s="20" t="str">
        <f t="shared" si="95"/>
        <v/>
      </c>
      <c r="K869" s="20" t="str">
        <f t="shared" si="96"/>
        <v/>
      </c>
      <c r="L869" s="20" t="str">
        <f>IF(B869="","",70*'DDF Original'!$Q$4)</f>
        <v/>
      </c>
      <c r="M869" s="20" t="str">
        <f t="shared" si="97"/>
        <v/>
      </c>
      <c r="N869" s="20" t="str">
        <f>IF(AND(OR(B869="",J869&gt;G869,M869&gt;G869),'DDF Original'!L869&lt;&gt; "MI"),G869,IF(M869&gt;J869,M869,J869))</f>
        <v/>
      </c>
    </row>
    <row r="870" spans="2:14" x14ac:dyDescent="0.2">
      <c r="B870" s="19" t="str">
        <f>IF('DDF Original'!B870="","",'DDF Original'!B870)</f>
        <v/>
      </c>
      <c r="C870" s="19" t="e">
        <f t="shared" si="91"/>
        <v>#VALUE!</v>
      </c>
      <c r="D870" s="20" t="str">
        <f>IF('DDF Original'!C870="","",'DDF Original'!C870)</f>
        <v/>
      </c>
      <c r="E870" s="24" t="str">
        <f>IF('DDF Original'!B870="","",IF(TRIM('DDF Original'!I870)="",0,'DDF Original'!I870))</f>
        <v/>
      </c>
      <c r="F870" s="20" t="str">
        <f t="shared" si="92"/>
        <v/>
      </c>
      <c r="G870" s="37" t="str">
        <f>IF('DDF Original'!B870="","",IF(TRIM('DDF Original'!P870)="",0,'DDF Original'!P870))</f>
        <v/>
      </c>
      <c r="H870" s="20" t="str">
        <f t="shared" si="93"/>
        <v/>
      </c>
      <c r="I870" s="25" t="str">
        <f t="shared" si="94"/>
        <v/>
      </c>
      <c r="J870" s="20" t="str">
        <f t="shared" si="95"/>
        <v/>
      </c>
      <c r="K870" s="20" t="str">
        <f t="shared" si="96"/>
        <v/>
      </c>
      <c r="L870" s="20" t="str">
        <f>IF(B870="","",70*'DDF Original'!$Q$4)</f>
        <v/>
      </c>
      <c r="M870" s="20" t="str">
        <f t="shared" si="97"/>
        <v/>
      </c>
      <c r="N870" s="20" t="str">
        <f>IF(AND(OR(B870="",J870&gt;G870,M870&gt;G870),'DDF Original'!L870&lt;&gt; "MI"),G870,IF(M870&gt;J870,M870,J870))</f>
        <v/>
      </c>
    </row>
    <row r="871" spans="2:14" x14ac:dyDescent="0.2">
      <c r="B871" s="19" t="str">
        <f>IF('DDF Original'!B871="","",'DDF Original'!B871)</f>
        <v/>
      </c>
      <c r="C871" s="19" t="e">
        <f t="shared" si="91"/>
        <v>#VALUE!</v>
      </c>
      <c r="D871" s="20" t="str">
        <f>IF('DDF Original'!C871="","",'DDF Original'!C871)</f>
        <v/>
      </c>
      <c r="E871" s="24" t="str">
        <f>IF('DDF Original'!B871="","",IF(TRIM('DDF Original'!I871)="",0,'DDF Original'!I871))</f>
        <v/>
      </c>
      <c r="F871" s="20" t="str">
        <f t="shared" si="92"/>
        <v/>
      </c>
      <c r="G871" s="37" t="str">
        <f>IF('DDF Original'!B871="","",IF(TRIM('DDF Original'!P871)="",0,'DDF Original'!P871))</f>
        <v/>
      </c>
      <c r="H871" s="20" t="str">
        <f t="shared" si="93"/>
        <v/>
      </c>
      <c r="I871" s="25" t="str">
        <f t="shared" si="94"/>
        <v/>
      </c>
      <c r="J871" s="20" t="str">
        <f t="shared" si="95"/>
        <v/>
      </c>
      <c r="K871" s="20" t="str">
        <f t="shared" si="96"/>
        <v/>
      </c>
      <c r="L871" s="20" t="str">
        <f>IF(B871="","",70*'DDF Original'!$Q$4)</f>
        <v/>
      </c>
      <c r="M871" s="20" t="str">
        <f t="shared" si="97"/>
        <v/>
      </c>
      <c r="N871" s="20" t="str">
        <f>IF(AND(OR(B871="",J871&gt;G871,M871&gt;G871),'DDF Original'!L871&lt;&gt; "MI"),G871,IF(M871&gt;J871,M871,J871))</f>
        <v/>
      </c>
    </row>
    <row r="872" spans="2:14" x14ac:dyDescent="0.2">
      <c r="B872" s="19" t="str">
        <f>IF('DDF Original'!B872="","",'DDF Original'!B872)</f>
        <v/>
      </c>
      <c r="C872" s="19" t="e">
        <f t="shared" si="91"/>
        <v>#VALUE!</v>
      </c>
      <c r="D872" s="20" t="str">
        <f>IF('DDF Original'!C872="","",'DDF Original'!C872)</f>
        <v/>
      </c>
      <c r="E872" s="24" t="str">
        <f>IF('DDF Original'!B872="","",IF(TRIM('DDF Original'!I872)="",0,'DDF Original'!I872))</f>
        <v/>
      </c>
      <c r="F872" s="20" t="str">
        <f t="shared" si="92"/>
        <v/>
      </c>
      <c r="G872" s="37" t="str">
        <f>IF('DDF Original'!B872="","",IF(TRIM('DDF Original'!P872)="",0,'DDF Original'!P872))</f>
        <v/>
      </c>
      <c r="H872" s="20" t="str">
        <f t="shared" si="93"/>
        <v/>
      </c>
      <c r="I872" s="25" t="str">
        <f t="shared" si="94"/>
        <v/>
      </c>
      <c r="J872" s="20" t="str">
        <f t="shared" si="95"/>
        <v/>
      </c>
      <c r="K872" s="20" t="str">
        <f t="shared" si="96"/>
        <v/>
      </c>
      <c r="L872" s="20" t="str">
        <f>IF(B872="","",70*'DDF Original'!$Q$4)</f>
        <v/>
      </c>
      <c r="M872" s="20" t="str">
        <f t="shared" si="97"/>
        <v/>
      </c>
      <c r="N872" s="20" t="str">
        <f>IF(AND(OR(B872="",J872&gt;G872,M872&gt;G872),'DDF Original'!L872&lt;&gt; "MI"),G872,IF(M872&gt;J872,M872,J872))</f>
        <v/>
      </c>
    </row>
    <row r="873" spans="2:14" x14ac:dyDescent="0.2">
      <c r="B873" s="19" t="str">
        <f>IF('DDF Original'!B873="","",'DDF Original'!B873)</f>
        <v/>
      </c>
      <c r="C873" s="19" t="e">
        <f t="shared" si="91"/>
        <v>#VALUE!</v>
      </c>
      <c r="D873" s="20" t="str">
        <f>IF('DDF Original'!C873="","",'DDF Original'!C873)</f>
        <v/>
      </c>
      <c r="E873" s="24" t="str">
        <f>IF('DDF Original'!B873="","",IF(TRIM('DDF Original'!I873)="",0,'DDF Original'!I873))</f>
        <v/>
      </c>
      <c r="F873" s="20" t="str">
        <f t="shared" si="92"/>
        <v/>
      </c>
      <c r="G873" s="37" t="str">
        <f>IF('DDF Original'!B873="","",IF(TRIM('DDF Original'!P873)="",0,'DDF Original'!P873))</f>
        <v/>
      </c>
      <c r="H873" s="20" t="str">
        <f t="shared" si="93"/>
        <v/>
      </c>
      <c r="I873" s="25" t="str">
        <f t="shared" si="94"/>
        <v/>
      </c>
      <c r="J873" s="20" t="str">
        <f t="shared" si="95"/>
        <v/>
      </c>
      <c r="K873" s="20" t="str">
        <f t="shared" si="96"/>
        <v/>
      </c>
      <c r="L873" s="20" t="str">
        <f>IF(B873="","",70*'DDF Original'!$Q$4)</f>
        <v/>
      </c>
      <c r="M873" s="20" t="str">
        <f t="shared" si="97"/>
        <v/>
      </c>
      <c r="N873" s="20" t="str">
        <f>IF(AND(OR(B873="",J873&gt;G873,M873&gt;G873),'DDF Original'!L873&lt;&gt; "MI"),G873,IF(M873&gt;J873,M873,J873))</f>
        <v/>
      </c>
    </row>
    <row r="874" spans="2:14" x14ac:dyDescent="0.2">
      <c r="B874" s="19" t="str">
        <f>IF('DDF Original'!B874="","",'DDF Original'!B874)</f>
        <v/>
      </c>
      <c r="C874" s="19" t="e">
        <f t="shared" si="91"/>
        <v>#VALUE!</v>
      </c>
      <c r="D874" s="20" t="str">
        <f>IF('DDF Original'!C874="","",'DDF Original'!C874)</f>
        <v/>
      </c>
      <c r="E874" s="24" t="str">
        <f>IF('DDF Original'!B874="","",IF(TRIM('DDF Original'!I874)="",0,'DDF Original'!I874))</f>
        <v/>
      </c>
      <c r="F874" s="20" t="str">
        <f t="shared" si="92"/>
        <v/>
      </c>
      <c r="G874" s="37" t="str">
        <f>IF('DDF Original'!B874="","",IF(TRIM('DDF Original'!P874)="",0,'DDF Original'!P874))</f>
        <v/>
      </c>
      <c r="H874" s="20" t="str">
        <f t="shared" si="93"/>
        <v/>
      </c>
      <c r="I874" s="25" t="str">
        <f t="shared" si="94"/>
        <v/>
      </c>
      <c r="J874" s="20" t="str">
        <f t="shared" si="95"/>
        <v/>
      </c>
      <c r="K874" s="20" t="str">
        <f t="shared" si="96"/>
        <v/>
      </c>
      <c r="L874" s="20" t="str">
        <f>IF(B874="","",70*'DDF Original'!$Q$4)</f>
        <v/>
      </c>
      <c r="M874" s="20" t="str">
        <f t="shared" si="97"/>
        <v/>
      </c>
      <c r="N874" s="20" t="str">
        <f>IF(AND(OR(B874="",J874&gt;G874,M874&gt;G874),'DDF Original'!L874&lt;&gt; "MI"),G874,IF(M874&gt;J874,M874,J874))</f>
        <v/>
      </c>
    </row>
    <row r="875" spans="2:14" x14ac:dyDescent="0.2">
      <c r="B875" s="19" t="str">
        <f>IF('DDF Original'!B875="","",'DDF Original'!B875)</f>
        <v/>
      </c>
      <c r="C875" s="19" t="e">
        <f t="shared" si="91"/>
        <v>#VALUE!</v>
      </c>
      <c r="D875" s="20" t="str">
        <f>IF('DDF Original'!C875="","",'DDF Original'!C875)</f>
        <v/>
      </c>
      <c r="E875" s="24" t="str">
        <f>IF('DDF Original'!B875="","",IF(TRIM('DDF Original'!I875)="",0,'DDF Original'!I875))</f>
        <v/>
      </c>
      <c r="F875" s="20" t="str">
        <f t="shared" si="92"/>
        <v/>
      </c>
      <c r="G875" s="37" t="str">
        <f>IF('DDF Original'!B875="","",IF(TRIM('DDF Original'!P875)="",0,'DDF Original'!P875))</f>
        <v/>
      </c>
      <c r="H875" s="20" t="str">
        <f t="shared" si="93"/>
        <v/>
      </c>
      <c r="I875" s="25" t="str">
        <f t="shared" si="94"/>
        <v/>
      </c>
      <c r="J875" s="20" t="str">
        <f t="shared" si="95"/>
        <v/>
      </c>
      <c r="K875" s="20" t="str">
        <f t="shared" si="96"/>
        <v/>
      </c>
      <c r="L875" s="20" t="str">
        <f>IF(B875="","",70*'DDF Original'!$Q$4)</f>
        <v/>
      </c>
      <c r="M875" s="20" t="str">
        <f t="shared" si="97"/>
        <v/>
      </c>
      <c r="N875" s="20" t="str">
        <f>IF(AND(OR(B875="",J875&gt;G875,M875&gt;G875),'DDF Original'!L875&lt;&gt; "MI"),G875,IF(M875&gt;J875,M875,J875))</f>
        <v/>
      </c>
    </row>
    <row r="876" spans="2:14" x14ac:dyDescent="0.2">
      <c r="B876" s="19" t="str">
        <f>IF('DDF Original'!B876="","",'DDF Original'!B876)</f>
        <v/>
      </c>
      <c r="C876" s="19" t="e">
        <f t="shared" si="91"/>
        <v>#VALUE!</v>
      </c>
      <c r="D876" s="20" t="str">
        <f>IF('DDF Original'!C876="","",'DDF Original'!C876)</f>
        <v/>
      </c>
      <c r="E876" s="24" t="str">
        <f>IF('DDF Original'!B876="","",IF(TRIM('DDF Original'!I876)="",0,'DDF Original'!I876))</f>
        <v/>
      </c>
      <c r="F876" s="20" t="str">
        <f t="shared" si="92"/>
        <v/>
      </c>
      <c r="G876" s="37" t="str">
        <f>IF('DDF Original'!B876="","",IF(TRIM('DDF Original'!P876)="",0,'DDF Original'!P876))</f>
        <v/>
      </c>
      <c r="H876" s="20" t="str">
        <f t="shared" si="93"/>
        <v/>
      </c>
      <c r="I876" s="25" t="str">
        <f t="shared" si="94"/>
        <v/>
      </c>
      <c r="J876" s="20" t="str">
        <f t="shared" si="95"/>
        <v/>
      </c>
      <c r="K876" s="20" t="str">
        <f t="shared" si="96"/>
        <v/>
      </c>
      <c r="L876" s="20" t="str">
        <f>IF(B876="","",70*'DDF Original'!$Q$4)</f>
        <v/>
      </c>
      <c r="M876" s="20" t="str">
        <f t="shared" si="97"/>
        <v/>
      </c>
      <c r="N876" s="20" t="str">
        <f>IF(AND(OR(B876="",J876&gt;G876,M876&gt;G876),'DDF Original'!L876&lt;&gt; "MI"),G876,IF(M876&gt;J876,M876,J876))</f>
        <v/>
      </c>
    </row>
    <row r="877" spans="2:14" x14ac:dyDescent="0.2">
      <c r="B877" s="19" t="str">
        <f>IF('DDF Original'!B877="","",'DDF Original'!B877)</f>
        <v/>
      </c>
      <c r="C877" s="19" t="e">
        <f t="shared" si="91"/>
        <v>#VALUE!</v>
      </c>
      <c r="D877" s="20" t="str">
        <f>IF('DDF Original'!C877="","",'DDF Original'!C877)</f>
        <v/>
      </c>
      <c r="E877" s="24" t="str">
        <f>IF('DDF Original'!B877="","",IF(TRIM('DDF Original'!I877)="",0,'DDF Original'!I877))</f>
        <v/>
      </c>
      <c r="F877" s="20" t="str">
        <f t="shared" si="92"/>
        <v/>
      </c>
      <c r="G877" s="37" t="str">
        <f>IF('DDF Original'!B877="","",IF(TRIM('DDF Original'!P877)="",0,'DDF Original'!P877))</f>
        <v/>
      </c>
      <c r="H877" s="20" t="str">
        <f t="shared" si="93"/>
        <v/>
      </c>
      <c r="I877" s="25" t="str">
        <f t="shared" si="94"/>
        <v/>
      </c>
      <c r="J877" s="20" t="str">
        <f t="shared" si="95"/>
        <v/>
      </c>
      <c r="K877" s="20" t="str">
        <f t="shared" si="96"/>
        <v/>
      </c>
      <c r="L877" s="20" t="str">
        <f>IF(B877="","",70*'DDF Original'!$Q$4)</f>
        <v/>
      </c>
      <c r="M877" s="20" t="str">
        <f t="shared" si="97"/>
        <v/>
      </c>
      <c r="N877" s="20" t="str">
        <f>IF(AND(OR(B877="",J877&gt;G877,M877&gt;G877),'DDF Original'!L877&lt;&gt; "MI"),G877,IF(M877&gt;J877,M877,J877))</f>
        <v/>
      </c>
    </row>
    <row r="878" spans="2:14" x14ac:dyDescent="0.2">
      <c r="B878" s="19" t="str">
        <f>IF('DDF Original'!B878="","",'DDF Original'!B878)</f>
        <v/>
      </c>
      <c r="C878" s="19" t="e">
        <f t="shared" si="91"/>
        <v>#VALUE!</v>
      </c>
      <c r="D878" s="20" t="str">
        <f>IF('DDF Original'!C878="","",'DDF Original'!C878)</f>
        <v/>
      </c>
      <c r="E878" s="24" t="str">
        <f>IF('DDF Original'!B878="","",IF(TRIM('DDF Original'!I878)="",0,'DDF Original'!I878))</f>
        <v/>
      </c>
      <c r="F878" s="20" t="str">
        <f t="shared" si="92"/>
        <v/>
      </c>
      <c r="G878" s="37" t="str">
        <f>IF('DDF Original'!B878="","",IF(TRIM('DDF Original'!P878)="",0,'DDF Original'!P878))</f>
        <v/>
      </c>
      <c r="H878" s="20" t="str">
        <f t="shared" si="93"/>
        <v/>
      </c>
      <c r="I878" s="25" t="str">
        <f t="shared" si="94"/>
        <v/>
      </c>
      <c r="J878" s="20" t="str">
        <f t="shared" si="95"/>
        <v/>
      </c>
      <c r="K878" s="20" t="str">
        <f t="shared" si="96"/>
        <v/>
      </c>
      <c r="L878" s="20" t="str">
        <f>IF(B878="","",70*'DDF Original'!$Q$4)</f>
        <v/>
      </c>
      <c r="M878" s="20" t="str">
        <f t="shared" si="97"/>
        <v/>
      </c>
      <c r="N878" s="20" t="str">
        <f>IF(AND(OR(B878="",J878&gt;G878,M878&gt;G878),'DDF Original'!L878&lt;&gt; "MI"),G878,IF(M878&gt;J878,M878,J878))</f>
        <v/>
      </c>
    </row>
    <row r="879" spans="2:14" x14ac:dyDescent="0.2">
      <c r="B879" s="19" t="str">
        <f>IF('DDF Original'!B879="","",'DDF Original'!B879)</f>
        <v/>
      </c>
      <c r="C879" s="19" t="e">
        <f t="shared" si="91"/>
        <v>#VALUE!</v>
      </c>
      <c r="D879" s="20" t="str">
        <f>IF('DDF Original'!C879="","",'DDF Original'!C879)</f>
        <v/>
      </c>
      <c r="E879" s="24" t="str">
        <f>IF('DDF Original'!B879="","",IF(TRIM('DDF Original'!I879)="",0,'DDF Original'!I879))</f>
        <v/>
      </c>
      <c r="F879" s="20" t="str">
        <f t="shared" si="92"/>
        <v/>
      </c>
      <c r="G879" s="37" t="str">
        <f>IF('DDF Original'!B879="","",IF(TRIM('DDF Original'!P879)="",0,'DDF Original'!P879))</f>
        <v/>
      </c>
      <c r="H879" s="20" t="str">
        <f t="shared" si="93"/>
        <v/>
      </c>
      <c r="I879" s="25" t="str">
        <f t="shared" si="94"/>
        <v/>
      </c>
      <c r="J879" s="20" t="str">
        <f t="shared" si="95"/>
        <v/>
      </c>
      <c r="K879" s="20" t="str">
        <f t="shared" si="96"/>
        <v/>
      </c>
      <c r="L879" s="20" t="str">
        <f>IF(B879="","",70*'DDF Original'!$Q$4)</f>
        <v/>
      </c>
      <c r="M879" s="20" t="str">
        <f t="shared" si="97"/>
        <v/>
      </c>
      <c r="N879" s="20" t="str">
        <f>IF(AND(OR(B879="",J879&gt;G879,M879&gt;G879),'DDF Original'!L879&lt;&gt; "MI"),G879,IF(M879&gt;J879,M879,J879))</f>
        <v/>
      </c>
    </row>
    <row r="880" spans="2:14" x14ac:dyDescent="0.2">
      <c r="B880" s="19" t="str">
        <f>IF('DDF Original'!B880="","",'DDF Original'!B880)</f>
        <v/>
      </c>
      <c r="C880" s="19" t="e">
        <f t="shared" si="91"/>
        <v>#VALUE!</v>
      </c>
      <c r="D880" s="20" t="str">
        <f>IF('DDF Original'!C880="","",'DDF Original'!C880)</f>
        <v/>
      </c>
      <c r="E880" s="24" t="str">
        <f>IF('DDF Original'!B880="","",IF(TRIM('DDF Original'!I880)="",0,'DDF Original'!I880))</f>
        <v/>
      </c>
      <c r="F880" s="20" t="str">
        <f t="shared" si="92"/>
        <v/>
      </c>
      <c r="G880" s="37" t="str">
        <f>IF('DDF Original'!B880="","",IF(TRIM('DDF Original'!P880)="",0,'DDF Original'!P880))</f>
        <v/>
      </c>
      <c r="H880" s="20" t="str">
        <f t="shared" si="93"/>
        <v/>
      </c>
      <c r="I880" s="25" t="str">
        <f t="shared" si="94"/>
        <v/>
      </c>
      <c r="J880" s="20" t="str">
        <f t="shared" si="95"/>
        <v/>
      </c>
      <c r="K880" s="20" t="str">
        <f t="shared" si="96"/>
        <v/>
      </c>
      <c r="L880" s="20" t="str">
        <f>IF(B880="","",70*'DDF Original'!$Q$4)</f>
        <v/>
      </c>
      <c r="M880" s="20" t="str">
        <f t="shared" si="97"/>
        <v/>
      </c>
      <c r="N880" s="20" t="str">
        <f>IF(AND(OR(B880="",J880&gt;G880,M880&gt;G880),'DDF Original'!L880&lt;&gt; "MI"),G880,IF(M880&gt;J880,M880,J880))</f>
        <v/>
      </c>
    </row>
    <row r="881" spans="2:14" x14ac:dyDescent="0.2">
      <c r="B881" s="19" t="str">
        <f>IF('DDF Original'!B881="","",'DDF Original'!B881)</f>
        <v/>
      </c>
      <c r="C881" s="19" t="e">
        <f t="shared" si="91"/>
        <v>#VALUE!</v>
      </c>
      <c r="D881" s="20" t="str">
        <f>IF('DDF Original'!C881="","",'DDF Original'!C881)</f>
        <v/>
      </c>
      <c r="E881" s="24" t="str">
        <f>IF('DDF Original'!B881="","",IF(TRIM('DDF Original'!I881)="",0,'DDF Original'!I881))</f>
        <v/>
      </c>
      <c r="F881" s="20" t="str">
        <f t="shared" si="92"/>
        <v/>
      </c>
      <c r="G881" s="37" t="str">
        <f>IF('DDF Original'!B881="","",IF(TRIM('DDF Original'!P881)="",0,'DDF Original'!P881))</f>
        <v/>
      </c>
      <c r="H881" s="20" t="str">
        <f t="shared" si="93"/>
        <v/>
      </c>
      <c r="I881" s="25" t="str">
        <f t="shared" si="94"/>
        <v/>
      </c>
      <c r="J881" s="20" t="str">
        <f t="shared" si="95"/>
        <v/>
      </c>
      <c r="K881" s="20" t="str">
        <f t="shared" si="96"/>
        <v/>
      </c>
      <c r="L881" s="20" t="str">
        <f>IF(B881="","",70*'DDF Original'!$Q$4)</f>
        <v/>
      </c>
      <c r="M881" s="20" t="str">
        <f t="shared" si="97"/>
        <v/>
      </c>
      <c r="N881" s="20" t="str">
        <f>IF(AND(OR(B881="",J881&gt;G881,M881&gt;G881),'DDF Original'!L881&lt;&gt; "MI"),G881,IF(M881&gt;J881,M881,J881))</f>
        <v/>
      </c>
    </row>
    <row r="882" spans="2:14" x14ac:dyDescent="0.2">
      <c r="B882" s="19" t="str">
        <f>IF('DDF Original'!B882="","",'DDF Original'!B882)</f>
        <v/>
      </c>
      <c r="C882" s="19" t="e">
        <f t="shared" si="91"/>
        <v>#VALUE!</v>
      </c>
      <c r="D882" s="20" t="str">
        <f>IF('DDF Original'!C882="","",'DDF Original'!C882)</f>
        <v/>
      </c>
      <c r="E882" s="24" t="str">
        <f>IF('DDF Original'!B882="","",IF(TRIM('DDF Original'!I882)="",0,'DDF Original'!I882))</f>
        <v/>
      </c>
      <c r="F882" s="20" t="str">
        <f t="shared" si="92"/>
        <v/>
      </c>
      <c r="G882" s="37" t="str">
        <f>IF('DDF Original'!B882="","",IF(TRIM('DDF Original'!P882)="",0,'DDF Original'!P882))</f>
        <v/>
      </c>
      <c r="H882" s="20" t="str">
        <f t="shared" si="93"/>
        <v/>
      </c>
      <c r="I882" s="25" t="str">
        <f t="shared" si="94"/>
        <v/>
      </c>
      <c r="J882" s="20" t="str">
        <f t="shared" si="95"/>
        <v/>
      </c>
      <c r="K882" s="20" t="str">
        <f t="shared" si="96"/>
        <v/>
      </c>
      <c r="L882" s="20" t="str">
        <f>IF(B882="","",70*'DDF Original'!$Q$4)</f>
        <v/>
      </c>
      <c r="M882" s="20" t="str">
        <f t="shared" si="97"/>
        <v/>
      </c>
      <c r="N882" s="20" t="str">
        <f>IF(AND(OR(B882="",J882&gt;G882,M882&gt;G882),'DDF Original'!L882&lt;&gt; "MI"),G882,IF(M882&gt;J882,M882,J882))</f>
        <v/>
      </c>
    </row>
    <row r="883" spans="2:14" x14ac:dyDescent="0.2">
      <c r="B883" s="19" t="str">
        <f>IF('DDF Original'!B883="","",'DDF Original'!B883)</f>
        <v/>
      </c>
      <c r="C883" s="19" t="e">
        <f t="shared" si="91"/>
        <v>#VALUE!</v>
      </c>
      <c r="D883" s="20" t="str">
        <f>IF('DDF Original'!C883="","",'DDF Original'!C883)</f>
        <v/>
      </c>
      <c r="E883" s="24" t="str">
        <f>IF('DDF Original'!B883="","",IF(TRIM('DDF Original'!I883)="",0,'DDF Original'!I883))</f>
        <v/>
      </c>
      <c r="F883" s="20" t="str">
        <f t="shared" si="92"/>
        <v/>
      </c>
      <c r="G883" s="37" t="str">
        <f>IF('DDF Original'!B883="","",IF(TRIM('DDF Original'!P883)="",0,'DDF Original'!P883))</f>
        <v/>
      </c>
      <c r="H883" s="20" t="str">
        <f t="shared" si="93"/>
        <v/>
      </c>
      <c r="I883" s="25" t="str">
        <f t="shared" si="94"/>
        <v/>
      </c>
      <c r="J883" s="20" t="str">
        <f t="shared" si="95"/>
        <v/>
      </c>
      <c r="K883" s="20" t="str">
        <f t="shared" si="96"/>
        <v/>
      </c>
      <c r="L883" s="20" t="str">
        <f>IF(B883="","",70*'DDF Original'!$Q$4)</f>
        <v/>
      </c>
      <c r="M883" s="20" t="str">
        <f t="shared" si="97"/>
        <v/>
      </c>
      <c r="N883" s="20" t="str">
        <f>IF(AND(OR(B883="",J883&gt;G883,M883&gt;G883),'DDF Original'!L883&lt;&gt; "MI"),G883,IF(M883&gt;J883,M883,J883))</f>
        <v/>
      </c>
    </row>
    <row r="884" spans="2:14" x14ac:dyDescent="0.2">
      <c r="B884" s="19" t="str">
        <f>IF('DDF Original'!B884="","",'DDF Original'!B884)</f>
        <v/>
      </c>
      <c r="C884" s="19" t="e">
        <f t="shared" si="91"/>
        <v>#VALUE!</v>
      </c>
      <c r="D884" s="20" t="str">
        <f>IF('DDF Original'!C884="","",'DDF Original'!C884)</f>
        <v/>
      </c>
      <c r="E884" s="24" t="str">
        <f>IF('DDF Original'!B884="","",IF(TRIM('DDF Original'!I884)="",0,'DDF Original'!I884))</f>
        <v/>
      </c>
      <c r="F884" s="20" t="str">
        <f t="shared" si="92"/>
        <v/>
      </c>
      <c r="G884" s="37" t="str">
        <f>IF('DDF Original'!B884="","",IF(TRIM('DDF Original'!P884)="",0,'DDF Original'!P884))</f>
        <v/>
      </c>
      <c r="H884" s="20" t="str">
        <f t="shared" si="93"/>
        <v/>
      </c>
      <c r="I884" s="25" t="str">
        <f t="shared" si="94"/>
        <v/>
      </c>
      <c r="J884" s="20" t="str">
        <f t="shared" si="95"/>
        <v/>
      </c>
      <c r="K884" s="20" t="str">
        <f t="shared" si="96"/>
        <v/>
      </c>
      <c r="L884" s="20" t="str">
        <f>IF(B884="","",70*'DDF Original'!$Q$4)</f>
        <v/>
      </c>
      <c r="M884" s="20" t="str">
        <f t="shared" si="97"/>
        <v/>
      </c>
      <c r="N884" s="20" t="str">
        <f>IF(AND(OR(B884="",J884&gt;G884,M884&gt;G884),'DDF Original'!L884&lt;&gt; "MI"),G884,IF(M884&gt;J884,M884,J884))</f>
        <v/>
      </c>
    </row>
    <row r="885" spans="2:14" x14ac:dyDescent="0.2">
      <c r="B885" s="19" t="str">
        <f>IF('DDF Original'!B885="","",'DDF Original'!B885)</f>
        <v/>
      </c>
      <c r="C885" s="19" t="e">
        <f t="shared" si="91"/>
        <v>#VALUE!</v>
      </c>
      <c r="D885" s="20" t="str">
        <f>IF('DDF Original'!C885="","",'DDF Original'!C885)</f>
        <v/>
      </c>
      <c r="E885" s="24" t="str">
        <f>IF('DDF Original'!B885="","",IF(TRIM('DDF Original'!I885)="",0,'DDF Original'!I885))</f>
        <v/>
      </c>
      <c r="F885" s="20" t="str">
        <f t="shared" si="92"/>
        <v/>
      </c>
      <c r="G885" s="37" t="str">
        <f>IF('DDF Original'!B885="","",IF(TRIM('DDF Original'!P885)="",0,'DDF Original'!P885))</f>
        <v/>
      </c>
      <c r="H885" s="20" t="str">
        <f t="shared" si="93"/>
        <v/>
      </c>
      <c r="I885" s="25" t="str">
        <f t="shared" si="94"/>
        <v/>
      </c>
      <c r="J885" s="20" t="str">
        <f t="shared" si="95"/>
        <v/>
      </c>
      <c r="K885" s="20" t="str">
        <f t="shared" si="96"/>
        <v/>
      </c>
      <c r="L885" s="20" t="str">
        <f>IF(B885="","",70*'DDF Original'!$Q$4)</f>
        <v/>
      </c>
      <c r="M885" s="20" t="str">
        <f t="shared" si="97"/>
        <v/>
      </c>
      <c r="N885" s="20" t="str">
        <f>IF(AND(OR(B885="",J885&gt;G885,M885&gt;G885),'DDF Original'!L885&lt;&gt; "MI"),G885,IF(M885&gt;J885,M885,J885))</f>
        <v/>
      </c>
    </row>
    <row r="886" spans="2:14" x14ac:dyDescent="0.2">
      <c r="B886" s="19" t="str">
        <f>IF('DDF Original'!B886="","",'DDF Original'!B886)</f>
        <v/>
      </c>
      <c r="C886" s="19" t="e">
        <f t="shared" si="91"/>
        <v>#VALUE!</v>
      </c>
      <c r="D886" s="20" t="str">
        <f>IF('DDF Original'!C886="","",'DDF Original'!C886)</f>
        <v/>
      </c>
      <c r="E886" s="24" t="str">
        <f>IF('DDF Original'!B886="","",IF(TRIM('DDF Original'!I886)="",0,'DDF Original'!I886))</f>
        <v/>
      </c>
      <c r="F886" s="20" t="str">
        <f t="shared" si="92"/>
        <v/>
      </c>
      <c r="G886" s="37" t="str">
        <f>IF('DDF Original'!B886="","",IF(TRIM('DDF Original'!P886)="",0,'DDF Original'!P886))</f>
        <v/>
      </c>
      <c r="H886" s="20" t="str">
        <f t="shared" si="93"/>
        <v/>
      </c>
      <c r="I886" s="25" t="str">
        <f t="shared" si="94"/>
        <v/>
      </c>
      <c r="J886" s="20" t="str">
        <f t="shared" si="95"/>
        <v/>
      </c>
      <c r="K886" s="20" t="str">
        <f t="shared" si="96"/>
        <v/>
      </c>
      <c r="L886" s="20" t="str">
        <f>IF(B886="","",70*'DDF Original'!$Q$4)</f>
        <v/>
      </c>
      <c r="M886" s="20" t="str">
        <f t="shared" si="97"/>
        <v/>
      </c>
      <c r="N886" s="20" t="str">
        <f>IF(AND(OR(B886="",J886&gt;G886,M886&gt;G886),'DDF Original'!L886&lt;&gt; "MI"),G886,IF(M886&gt;J886,M886,J886))</f>
        <v/>
      </c>
    </row>
    <row r="887" spans="2:14" x14ac:dyDescent="0.2">
      <c r="B887" s="19" t="str">
        <f>IF('DDF Original'!B887="","",'DDF Original'!B887)</f>
        <v/>
      </c>
      <c r="C887" s="19" t="e">
        <f t="shared" si="91"/>
        <v>#VALUE!</v>
      </c>
      <c r="D887" s="20" t="str">
        <f>IF('DDF Original'!C887="","",'DDF Original'!C887)</f>
        <v/>
      </c>
      <c r="E887" s="24" t="str">
        <f>IF('DDF Original'!B887="","",IF(TRIM('DDF Original'!I887)="",0,'DDF Original'!I887))</f>
        <v/>
      </c>
      <c r="F887" s="20" t="str">
        <f t="shared" si="92"/>
        <v/>
      </c>
      <c r="G887" s="37" t="str">
        <f>IF('DDF Original'!B887="","",IF(TRIM('DDF Original'!P887)="",0,'DDF Original'!P887))</f>
        <v/>
      </c>
      <c r="H887" s="20" t="str">
        <f t="shared" si="93"/>
        <v/>
      </c>
      <c r="I887" s="25" t="str">
        <f t="shared" si="94"/>
        <v/>
      </c>
      <c r="J887" s="20" t="str">
        <f t="shared" si="95"/>
        <v/>
      </c>
      <c r="K887" s="20" t="str">
        <f t="shared" si="96"/>
        <v/>
      </c>
      <c r="L887" s="20" t="str">
        <f>IF(B887="","",70*'DDF Original'!$Q$4)</f>
        <v/>
      </c>
      <c r="M887" s="20" t="str">
        <f t="shared" si="97"/>
        <v/>
      </c>
      <c r="N887" s="20" t="str">
        <f>IF(AND(OR(B887="",J887&gt;G887,M887&gt;G887),'DDF Original'!L887&lt;&gt; "MI"),G887,IF(M887&gt;J887,M887,J887))</f>
        <v/>
      </c>
    </row>
    <row r="888" spans="2:14" x14ac:dyDescent="0.2">
      <c r="B888" s="19" t="str">
        <f>IF('DDF Original'!B888="","",'DDF Original'!B888)</f>
        <v/>
      </c>
      <c r="C888" s="19" t="e">
        <f t="shared" si="91"/>
        <v>#VALUE!</v>
      </c>
      <c r="D888" s="20" t="str">
        <f>IF('DDF Original'!C888="","",'DDF Original'!C888)</f>
        <v/>
      </c>
      <c r="E888" s="24" t="str">
        <f>IF('DDF Original'!B888="","",IF(TRIM('DDF Original'!I888)="",0,'DDF Original'!I888))</f>
        <v/>
      </c>
      <c r="F888" s="20" t="str">
        <f t="shared" si="92"/>
        <v/>
      </c>
      <c r="G888" s="37" t="str">
        <f>IF('DDF Original'!B888="","",IF(TRIM('DDF Original'!P888)="",0,'DDF Original'!P888))</f>
        <v/>
      </c>
      <c r="H888" s="20" t="str">
        <f t="shared" si="93"/>
        <v/>
      </c>
      <c r="I888" s="25" t="str">
        <f t="shared" si="94"/>
        <v/>
      </c>
      <c r="J888" s="20" t="str">
        <f t="shared" si="95"/>
        <v/>
      </c>
      <c r="K888" s="20" t="str">
        <f t="shared" si="96"/>
        <v/>
      </c>
      <c r="L888" s="20" t="str">
        <f>IF(B888="","",70*'DDF Original'!$Q$4)</f>
        <v/>
      </c>
      <c r="M888" s="20" t="str">
        <f t="shared" si="97"/>
        <v/>
      </c>
      <c r="N888" s="20" t="str">
        <f>IF(AND(OR(B888="",J888&gt;G888,M888&gt;G888),'DDF Original'!L888&lt;&gt; "MI"),G888,IF(M888&gt;J888,M888,J888))</f>
        <v/>
      </c>
    </row>
    <row r="889" spans="2:14" x14ac:dyDescent="0.2">
      <c r="B889" s="19" t="str">
        <f>IF('DDF Original'!B889="","",'DDF Original'!B889)</f>
        <v/>
      </c>
      <c r="C889" s="19" t="e">
        <f t="shared" si="91"/>
        <v>#VALUE!</v>
      </c>
      <c r="D889" s="20" t="str">
        <f>IF('DDF Original'!C889="","",'DDF Original'!C889)</f>
        <v/>
      </c>
      <c r="E889" s="24" t="str">
        <f>IF('DDF Original'!B889="","",IF(TRIM('DDF Original'!I889)="",0,'DDF Original'!I889))</f>
        <v/>
      </c>
      <c r="F889" s="20" t="str">
        <f t="shared" si="92"/>
        <v/>
      </c>
      <c r="G889" s="37" t="str">
        <f>IF('DDF Original'!B889="","",IF(TRIM('DDF Original'!P889)="",0,'DDF Original'!P889))</f>
        <v/>
      </c>
      <c r="H889" s="20" t="str">
        <f t="shared" si="93"/>
        <v/>
      </c>
      <c r="I889" s="25" t="str">
        <f t="shared" si="94"/>
        <v/>
      </c>
      <c r="J889" s="20" t="str">
        <f t="shared" si="95"/>
        <v/>
      </c>
      <c r="K889" s="20" t="str">
        <f t="shared" si="96"/>
        <v/>
      </c>
      <c r="L889" s="20" t="str">
        <f>IF(B889="","",70*'DDF Original'!$Q$4)</f>
        <v/>
      </c>
      <c r="M889" s="20" t="str">
        <f t="shared" si="97"/>
        <v/>
      </c>
      <c r="N889" s="20" t="str">
        <f>IF(AND(OR(B889="",J889&gt;G889,M889&gt;G889),'DDF Original'!L889&lt;&gt; "MI"),G889,IF(M889&gt;J889,M889,J889))</f>
        <v/>
      </c>
    </row>
    <row r="890" spans="2:14" x14ac:dyDescent="0.2">
      <c r="B890" s="19" t="str">
        <f>IF('DDF Original'!B890="","",'DDF Original'!B890)</f>
        <v/>
      </c>
      <c r="C890" s="19" t="e">
        <f t="shared" si="91"/>
        <v>#VALUE!</v>
      </c>
      <c r="D890" s="20" t="str">
        <f>IF('DDF Original'!C890="","",'DDF Original'!C890)</f>
        <v/>
      </c>
      <c r="E890" s="24" t="str">
        <f>IF('DDF Original'!B890="","",IF(TRIM('DDF Original'!I890)="",0,'DDF Original'!I890))</f>
        <v/>
      </c>
      <c r="F890" s="20" t="str">
        <f t="shared" si="92"/>
        <v/>
      </c>
      <c r="G890" s="37" t="str">
        <f>IF('DDF Original'!B890="","",IF(TRIM('DDF Original'!P890)="",0,'DDF Original'!P890))</f>
        <v/>
      </c>
      <c r="H890" s="20" t="str">
        <f t="shared" si="93"/>
        <v/>
      </c>
      <c r="I890" s="25" t="str">
        <f t="shared" si="94"/>
        <v/>
      </c>
      <c r="J890" s="20" t="str">
        <f t="shared" si="95"/>
        <v/>
      </c>
      <c r="K890" s="20" t="str">
        <f t="shared" si="96"/>
        <v/>
      </c>
      <c r="L890" s="20" t="str">
        <f>IF(B890="","",70*'DDF Original'!$Q$4)</f>
        <v/>
      </c>
      <c r="M890" s="20" t="str">
        <f t="shared" si="97"/>
        <v/>
      </c>
      <c r="N890" s="20" t="str">
        <f>IF(AND(OR(B890="",J890&gt;G890,M890&gt;G890),'DDF Original'!L890&lt;&gt; "MI"),G890,IF(M890&gt;J890,M890,J890))</f>
        <v/>
      </c>
    </row>
    <row r="891" spans="2:14" x14ac:dyDescent="0.2">
      <c r="B891" s="19" t="str">
        <f>IF('DDF Original'!B891="","",'DDF Original'!B891)</f>
        <v/>
      </c>
      <c r="C891" s="19" t="e">
        <f t="shared" si="91"/>
        <v>#VALUE!</v>
      </c>
      <c r="D891" s="20" t="str">
        <f>IF('DDF Original'!C891="","",'DDF Original'!C891)</f>
        <v/>
      </c>
      <c r="E891" s="24" t="str">
        <f>IF('DDF Original'!B891="","",IF(TRIM('DDF Original'!I891)="",0,'DDF Original'!I891))</f>
        <v/>
      </c>
      <c r="F891" s="20" t="str">
        <f t="shared" si="92"/>
        <v/>
      </c>
      <c r="G891" s="37" t="str">
        <f>IF('DDF Original'!B891="","",IF(TRIM('DDF Original'!P891)="",0,'DDF Original'!P891))</f>
        <v/>
      </c>
      <c r="H891" s="20" t="str">
        <f t="shared" si="93"/>
        <v/>
      </c>
      <c r="I891" s="25" t="str">
        <f t="shared" si="94"/>
        <v/>
      </c>
      <c r="J891" s="20" t="str">
        <f t="shared" si="95"/>
        <v/>
      </c>
      <c r="K891" s="20" t="str">
        <f t="shared" si="96"/>
        <v/>
      </c>
      <c r="L891" s="20" t="str">
        <f>IF(B891="","",70*'DDF Original'!$Q$4)</f>
        <v/>
      </c>
      <c r="M891" s="20" t="str">
        <f t="shared" si="97"/>
        <v/>
      </c>
      <c r="N891" s="20" t="str">
        <f>IF(AND(OR(B891="",J891&gt;G891,M891&gt;G891),'DDF Original'!L891&lt;&gt; "MI"),G891,IF(M891&gt;J891,M891,J891))</f>
        <v/>
      </c>
    </row>
    <row r="892" spans="2:14" x14ac:dyDescent="0.2">
      <c r="B892" s="19" t="str">
        <f>IF('DDF Original'!B892="","",'DDF Original'!B892)</f>
        <v/>
      </c>
      <c r="C892" s="19" t="e">
        <f t="shared" si="91"/>
        <v>#VALUE!</v>
      </c>
      <c r="D892" s="20" t="str">
        <f>IF('DDF Original'!C892="","",'DDF Original'!C892)</f>
        <v/>
      </c>
      <c r="E892" s="24" t="str">
        <f>IF('DDF Original'!B892="","",IF(TRIM('DDF Original'!I892)="",0,'DDF Original'!I892))</f>
        <v/>
      </c>
      <c r="F892" s="20" t="str">
        <f t="shared" si="92"/>
        <v/>
      </c>
      <c r="G892" s="37" t="str">
        <f>IF('DDF Original'!B892="","",IF(TRIM('DDF Original'!P892)="",0,'DDF Original'!P892))</f>
        <v/>
      </c>
      <c r="H892" s="20" t="str">
        <f t="shared" si="93"/>
        <v/>
      </c>
      <c r="I892" s="25" t="str">
        <f t="shared" si="94"/>
        <v/>
      </c>
      <c r="J892" s="20" t="str">
        <f t="shared" si="95"/>
        <v/>
      </c>
      <c r="K892" s="20" t="str">
        <f t="shared" si="96"/>
        <v/>
      </c>
      <c r="L892" s="20" t="str">
        <f>IF(B892="","",70*'DDF Original'!$Q$4)</f>
        <v/>
      </c>
      <c r="M892" s="20" t="str">
        <f t="shared" si="97"/>
        <v/>
      </c>
      <c r="N892" s="20" t="str">
        <f>IF(AND(OR(B892="",J892&gt;G892,M892&gt;G892),'DDF Original'!L892&lt;&gt; "MI"),G892,IF(M892&gt;J892,M892,J892))</f>
        <v/>
      </c>
    </row>
    <row r="893" spans="2:14" x14ac:dyDescent="0.2">
      <c r="B893" s="19" t="str">
        <f>IF('DDF Original'!B893="","",'DDF Original'!B893)</f>
        <v/>
      </c>
      <c r="C893" s="19" t="e">
        <f t="shared" ref="C893:C956" si="98">LEFT(B893,FIND(".",B893)-1)</f>
        <v>#VALUE!</v>
      </c>
      <c r="D893" s="20" t="str">
        <f>IF('DDF Original'!C893="","",'DDF Original'!C893)</f>
        <v/>
      </c>
      <c r="E893" s="24" t="str">
        <f>IF('DDF Original'!B893="","",IF(TRIM('DDF Original'!I893)="",0,'DDF Original'!I893))</f>
        <v/>
      </c>
      <c r="F893" s="20" t="str">
        <f t="shared" ref="F893:F956" si="99">IF(D893="",D893,ROUND(D893*(1+E893/100),2))</f>
        <v/>
      </c>
      <c r="G893" s="37" t="str">
        <f>IF('DDF Original'!B893="","",IF(TRIM('DDF Original'!P893)="",0,'DDF Original'!P893))</f>
        <v/>
      </c>
      <c r="H893" s="20" t="str">
        <f t="shared" ref="H893:H956" si="100">IF(OR(D893=0,D893=""),G893,F893)</f>
        <v/>
      </c>
      <c r="I893" s="25" t="str">
        <f t="shared" ref="I893:I956" si="101">IF(B893="","",IF(OR(D893=0,D893=""),50,35))</f>
        <v/>
      </c>
      <c r="J893" s="20" t="str">
        <f t="shared" ref="J893:J956" si="102">IF(B893="","",ROUND(H893*I893/100,2))</f>
        <v/>
      </c>
      <c r="K893" s="20" t="str">
        <f t="shared" ref="K893:K956" si="103">IF(B893="","",SUMIFS($J$9:$J$508,$C$9:$C$508,"="&amp;C893))</f>
        <v/>
      </c>
      <c r="L893" s="20" t="str">
        <f>IF(B893="","",70*'DDF Original'!$Q$4)</f>
        <v/>
      </c>
      <c r="M893" s="20" t="str">
        <f t="shared" ref="M893:M956" si="104">IF(B893="","",ROUND(J893/K893*L893,2))</f>
        <v/>
      </c>
      <c r="N893" s="20" t="str">
        <f>IF(AND(OR(B893="",J893&gt;G893,M893&gt;G893),'DDF Original'!L893&lt;&gt; "MI"),G893,IF(M893&gt;J893,M893,J893))</f>
        <v/>
      </c>
    </row>
    <row r="894" spans="2:14" x14ac:dyDescent="0.2">
      <c r="B894" s="19" t="str">
        <f>IF('DDF Original'!B894="","",'DDF Original'!B894)</f>
        <v/>
      </c>
      <c r="C894" s="19" t="e">
        <f t="shared" si="98"/>
        <v>#VALUE!</v>
      </c>
      <c r="D894" s="20" t="str">
        <f>IF('DDF Original'!C894="","",'DDF Original'!C894)</f>
        <v/>
      </c>
      <c r="E894" s="24" t="str">
        <f>IF('DDF Original'!B894="","",IF(TRIM('DDF Original'!I894)="",0,'DDF Original'!I894))</f>
        <v/>
      </c>
      <c r="F894" s="20" t="str">
        <f t="shared" si="99"/>
        <v/>
      </c>
      <c r="G894" s="37" t="str">
        <f>IF('DDF Original'!B894="","",IF(TRIM('DDF Original'!P894)="",0,'DDF Original'!P894))</f>
        <v/>
      </c>
      <c r="H894" s="20" t="str">
        <f t="shared" si="100"/>
        <v/>
      </c>
      <c r="I894" s="25" t="str">
        <f t="shared" si="101"/>
        <v/>
      </c>
      <c r="J894" s="20" t="str">
        <f t="shared" si="102"/>
        <v/>
      </c>
      <c r="K894" s="20" t="str">
        <f t="shared" si="103"/>
        <v/>
      </c>
      <c r="L894" s="20" t="str">
        <f>IF(B894="","",70*'DDF Original'!$Q$4)</f>
        <v/>
      </c>
      <c r="M894" s="20" t="str">
        <f t="shared" si="104"/>
        <v/>
      </c>
      <c r="N894" s="20" t="str">
        <f>IF(AND(OR(B894="",J894&gt;G894,M894&gt;G894),'DDF Original'!L894&lt;&gt; "MI"),G894,IF(M894&gt;J894,M894,J894))</f>
        <v/>
      </c>
    </row>
    <row r="895" spans="2:14" x14ac:dyDescent="0.2">
      <c r="B895" s="19" t="str">
        <f>IF('DDF Original'!B895="","",'DDF Original'!B895)</f>
        <v/>
      </c>
      <c r="C895" s="19" t="e">
        <f t="shared" si="98"/>
        <v>#VALUE!</v>
      </c>
      <c r="D895" s="20" t="str">
        <f>IF('DDF Original'!C895="","",'DDF Original'!C895)</f>
        <v/>
      </c>
      <c r="E895" s="24" t="str">
        <f>IF('DDF Original'!B895="","",IF(TRIM('DDF Original'!I895)="",0,'DDF Original'!I895))</f>
        <v/>
      </c>
      <c r="F895" s="20" t="str">
        <f t="shared" si="99"/>
        <v/>
      </c>
      <c r="G895" s="37" t="str">
        <f>IF('DDF Original'!B895="","",IF(TRIM('DDF Original'!P895)="",0,'DDF Original'!P895))</f>
        <v/>
      </c>
      <c r="H895" s="20" t="str">
        <f t="shared" si="100"/>
        <v/>
      </c>
      <c r="I895" s="25" t="str">
        <f t="shared" si="101"/>
        <v/>
      </c>
      <c r="J895" s="20" t="str">
        <f t="shared" si="102"/>
        <v/>
      </c>
      <c r="K895" s="20" t="str">
        <f t="shared" si="103"/>
        <v/>
      </c>
      <c r="L895" s="20" t="str">
        <f>IF(B895="","",70*'DDF Original'!$Q$4)</f>
        <v/>
      </c>
      <c r="M895" s="20" t="str">
        <f t="shared" si="104"/>
        <v/>
      </c>
      <c r="N895" s="20" t="str">
        <f>IF(AND(OR(B895="",J895&gt;G895,M895&gt;G895),'DDF Original'!L895&lt;&gt; "MI"),G895,IF(M895&gt;J895,M895,J895))</f>
        <v/>
      </c>
    </row>
    <row r="896" spans="2:14" x14ac:dyDescent="0.2">
      <c r="B896" s="19" t="str">
        <f>IF('DDF Original'!B896="","",'DDF Original'!B896)</f>
        <v/>
      </c>
      <c r="C896" s="19" t="e">
        <f t="shared" si="98"/>
        <v>#VALUE!</v>
      </c>
      <c r="D896" s="20" t="str">
        <f>IF('DDF Original'!C896="","",'DDF Original'!C896)</f>
        <v/>
      </c>
      <c r="E896" s="24" t="str">
        <f>IF('DDF Original'!B896="","",IF(TRIM('DDF Original'!I896)="",0,'DDF Original'!I896))</f>
        <v/>
      </c>
      <c r="F896" s="20" t="str">
        <f t="shared" si="99"/>
        <v/>
      </c>
      <c r="G896" s="37" t="str">
        <f>IF('DDF Original'!B896="","",IF(TRIM('DDF Original'!P896)="",0,'DDF Original'!P896))</f>
        <v/>
      </c>
      <c r="H896" s="20" t="str">
        <f t="shared" si="100"/>
        <v/>
      </c>
      <c r="I896" s="25" t="str">
        <f t="shared" si="101"/>
        <v/>
      </c>
      <c r="J896" s="20" t="str">
        <f t="shared" si="102"/>
        <v/>
      </c>
      <c r="K896" s="20" t="str">
        <f t="shared" si="103"/>
        <v/>
      </c>
      <c r="L896" s="20" t="str">
        <f>IF(B896="","",70*'DDF Original'!$Q$4)</f>
        <v/>
      </c>
      <c r="M896" s="20" t="str">
        <f t="shared" si="104"/>
        <v/>
      </c>
      <c r="N896" s="20" t="str">
        <f>IF(AND(OR(B896="",J896&gt;G896,M896&gt;G896),'DDF Original'!L896&lt;&gt; "MI"),G896,IF(M896&gt;J896,M896,J896))</f>
        <v/>
      </c>
    </row>
    <row r="897" spans="2:14" x14ac:dyDescent="0.2">
      <c r="B897" s="19" t="str">
        <f>IF('DDF Original'!B897="","",'DDF Original'!B897)</f>
        <v/>
      </c>
      <c r="C897" s="19" t="e">
        <f t="shared" si="98"/>
        <v>#VALUE!</v>
      </c>
      <c r="D897" s="20" t="str">
        <f>IF('DDF Original'!C897="","",'DDF Original'!C897)</f>
        <v/>
      </c>
      <c r="E897" s="24" t="str">
        <f>IF('DDF Original'!B897="","",IF(TRIM('DDF Original'!I897)="",0,'DDF Original'!I897))</f>
        <v/>
      </c>
      <c r="F897" s="20" t="str">
        <f t="shared" si="99"/>
        <v/>
      </c>
      <c r="G897" s="37" t="str">
        <f>IF('DDF Original'!B897="","",IF(TRIM('DDF Original'!P897)="",0,'DDF Original'!P897))</f>
        <v/>
      </c>
      <c r="H897" s="20" t="str">
        <f t="shared" si="100"/>
        <v/>
      </c>
      <c r="I897" s="25" t="str">
        <f t="shared" si="101"/>
        <v/>
      </c>
      <c r="J897" s="20" t="str">
        <f t="shared" si="102"/>
        <v/>
      </c>
      <c r="K897" s="20" t="str">
        <f t="shared" si="103"/>
        <v/>
      </c>
      <c r="L897" s="20" t="str">
        <f>IF(B897="","",70*'DDF Original'!$Q$4)</f>
        <v/>
      </c>
      <c r="M897" s="20" t="str">
        <f t="shared" si="104"/>
        <v/>
      </c>
      <c r="N897" s="20" t="str">
        <f>IF(AND(OR(B897="",J897&gt;G897,M897&gt;G897),'DDF Original'!L897&lt;&gt; "MI"),G897,IF(M897&gt;J897,M897,J897))</f>
        <v/>
      </c>
    </row>
    <row r="898" spans="2:14" x14ac:dyDescent="0.2">
      <c r="B898" s="19" t="str">
        <f>IF('DDF Original'!B898="","",'DDF Original'!B898)</f>
        <v/>
      </c>
      <c r="C898" s="19" t="e">
        <f t="shared" si="98"/>
        <v>#VALUE!</v>
      </c>
      <c r="D898" s="20" t="str">
        <f>IF('DDF Original'!C898="","",'DDF Original'!C898)</f>
        <v/>
      </c>
      <c r="E898" s="24" t="str">
        <f>IF('DDF Original'!B898="","",IF(TRIM('DDF Original'!I898)="",0,'DDF Original'!I898))</f>
        <v/>
      </c>
      <c r="F898" s="20" t="str">
        <f t="shared" si="99"/>
        <v/>
      </c>
      <c r="G898" s="37" t="str">
        <f>IF('DDF Original'!B898="","",IF(TRIM('DDF Original'!P898)="",0,'DDF Original'!P898))</f>
        <v/>
      </c>
      <c r="H898" s="20" t="str">
        <f t="shared" si="100"/>
        <v/>
      </c>
      <c r="I898" s="25" t="str">
        <f t="shared" si="101"/>
        <v/>
      </c>
      <c r="J898" s="20" t="str">
        <f t="shared" si="102"/>
        <v/>
      </c>
      <c r="K898" s="20" t="str">
        <f t="shared" si="103"/>
        <v/>
      </c>
      <c r="L898" s="20" t="str">
        <f>IF(B898="","",70*'DDF Original'!$Q$4)</f>
        <v/>
      </c>
      <c r="M898" s="20" t="str">
        <f t="shared" si="104"/>
        <v/>
      </c>
      <c r="N898" s="20" t="str">
        <f>IF(AND(OR(B898="",J898&gt;G898,M898&gt;G898),'DDF Original'!L898&lt;&gt; "MI"),G898,IF(M898&gt;J898,M898,J898))</f>
        <v/>
      </c>
    </row>
    <row r="899" spans="2:14" x14ac:dyDescent="0.2">
      <c r="B899" s="19" t="str">
        <f>IF('DDF Original'!B899="","",'DDF Original'!B899)</f>
        <v/>
      </c>
      <c r="C899" s="19" t="e">
        <f t="shared" si="98"/>
        <v>#VALUE!</v>
      </c>
      <c r="D899" s="20" t="str">
        <f>IF('DDF Original'!C899="","",'DDF Original'!C899)</f>
        <v/>
      </c>
      <c r="E899" s="24" t="str">
        <f>IF('DDF Original'!B899="","",IF(TRIM('DDF Original'!I899)="",0,'DDF Original'!I899))</f>
        <v/>
      </c>
      <c r="F899" s="20" t="str">
        <f t="shared" si="99"/>
        <v/>
      </c>
      <c r="G899" s="37" t="str">
        <f>IF('DDF Original'!B899="","",IF(TRIM('DDF Original'!P899)="",0,'DDF Original'!P899))</f>
        <v/>
      </c>
      <c r="H899" s="20" t="str">
        <f t="shared" si="100"/>
        <v/>
      </c>
      <c r="I899" s="25" t="str">
        <f t="shared" si="101"/>
        <v/>
      </c>
      <c r="J899" s="20" t="str">
        <f t="shared" si="102"/>
        <v/>
      </c>
      <c r="K899" s="20" t="str">
        <f t="shared" si="103"/>
        <v/>
      </c>
      <c r="L899" s="20" t="str">
        <f>IF(B899="","",70*'DDF Original'!$Q$4)</f>
        <v/>
      </c>
      <c r="M899" s="20" t="str">
        <f t="shared" si="104"/>
        <v/>
      </c>
      <c r="N899" s="20" t="str">
        <f>IF(AND(OR(B899="",J899&gt;G899,M899&gt;G899),'DDF Original'!L899&lt;&gt; "MI"),G899,IF(M899&gt;J899,M899,J899))</f>
        <v/>
      </c>
    </row>
    <row r="900" spans="2:14" x14ac:dyDescent="0.2">
      <c r="B900" s="19" t="str">
        <f>IF('DDF Original'!B900="","",'DDF Original'!B900)</f>
        <v/>
      </c>
      <c r="C900" s="19" t="e">
        <f t="shared" si="98"/>
        <v>#VALUE!</v>
      </c>
      <c r="D900" s="20" t="str">
        <f>IF('DDF Original'!C900="","",'DDF Original'!C900)</f>
        <v/>
      </c>
      <c r="E900" s="24" t="str">
        <f>IF('DDF Original'!B900="","",IF(TRIM('DDF Original'!I900)="",0,'DDF Original'!I900))</f>
        <v/>
      </c>
      <c r="F900" s="20" t="str">
        <f t="shared" si="99"/>
        <v/>
      </c>
      <c r="G900" s="37" t="str">
        <f>IF('DDF Original'!B900="","",IF(TRIM('DDF Original'!P900)="",0,'DDF Original'!P900))</f>
        <v/>
      </c>
      <c r="H900" s="20" t="str">
        <f t="shared" si="100"/>
        <v/>
      </c>
      <c r="I900" s="25" t="str">
        <f t="shared" si="101"/>
        <v/>
      </c>
      <c r="J900" s="20" t="str">
        <f t="shared" si="102"/>
        <v/>
      </c>
      <c r="K900" s="20" t="str">
        <f t="shared" si="103"/>
        <v/>
      </c>
      <c r="L900" s="20" t="str">
        <f>IF(B900="","",70*'DDF Original'!$Q$4)</f>
        <v/>
      </c>
      <c r="M900" s="20" t="str">
        <f t="shared" si="104"/>
        <v/>
      </c>
      <c r="N900" s="20" t="str">
        <f>IF(AND(OR(B900="",J900&gt;G900,M900&gt;G900),'DDF Original'!L900&lt;&gt; "MI"),G900,IF(M900&gt;J900,M900,J900))</f>
        <v/>
      </c>
    </row>
    <row r="901" spans="2:14" x14ac:dyDescent="0.2">
      <c r="B901" s="19" t="str">
        <f>IF('DDF Original'!B901="","",'DDF Original'!B901)</f>
        <v/>
      </c>
      <c r="C901" s="19" t="e">
        <f t="shared" si="98"/>
        <v>#VALUE!</v>
      </c>
      <c r="D901" s="20" t="str">
        <f>IF('DDF Original'!C901="","",'DDF Original'!C901)</f>
        <v/>
      </c>
      <c r="E901" s="24" t="str">
        <f>IF('DDF Original'!B901="","",IF(TRIM('DDF Original'!I901)="",0,'DDF Original'!I901))</f>
        <v/>
      </c>
      <c r="F901" s="20" t="str">
        <f t="shared" si="99"/>
        <v/>
      </c>
      <c r="G901" s="37" t="str">
        <f>IF('DDF Original'!B901="","",IF(TRIM('DDF Original'!P901)="",0,'DDF Original'!P901))</f>
        <v/>
      </c>
      <c r="H901" s="20" t="str">
        <f t="shared" si="100"/>
        <v/>
      </c>
      <c r="I901" s="25" t="str">
        <f t="shared" si="101"/>
        <v/>
      </c>
      <c r="J901" s="20" t="str">
        <f t="shared" si="102"/>
        <v/>
      </c>
      <c r="K901" s="20" t="str">
        <f t="shared" si="103"/>
        <v/>
      </c>
      <c r="L901" s="20" t="str">
        <f>IF(B901="","",70*'DDF Original'!$Q$4)</f>
        <v/>
      </c>
      <c r="M901" s="20" t="str">
        <f t="shared" si="104"/>
        <v/>
      </c>
      <c r="N901" s="20" t="str">
        <f>IF(AND(OR(B901="",J901&gt;G901,M901&gt;G901),'DDF Original'!L901&lt;&gt; "MI"),G901,IF(M901&gt;J901,M901,J901))</f>
        <v/>
      </c>
    </row>
    <row r="902" spans="2:14" x14ac:dyDescent="0.2">
      <c r="B902" s="19" t="str">
        <f>IF('DDF Original'!B902="","",'DDF Original'!B902)</f>
        <v/>
      </c>
      <c r="C902" s="19" t="e">
        <f t="shared" si="98"/>
        <v>#VALUE!</v>
      </c>
      <c r="D902" s="20" t="str">
        <f>IF('DDF Original'!C902="","",'DDF Original'!C902)</f>
        <v/>
      </c>
      <c r="E902" s="24" t="str">
        <f>IF('DDF Original'!B902="","",IF(TRIM('DDF Original'!I902)="",0,'DDF Original'!I902))</f>
        <v/>
      </c>
      <c r="F902" s="20" t="str">
        <f t="shared" si="99"/>
        <v/>
      </c>
      <c r="G902" s="37" t="str">
        <f>IF('DDF Original'!B902="","",IF(TRIM('DDF Original'!P902)="",0,'DDF Original'!P902))</f>
        <v/>
      </c>
      <c r="H902" s="20" t="str">
        <f t="shared" si="100"/>
        <v/>
      </c>
      <c r="I902" s="25" t="str">
        <f t="shared" si="101"/>
        <v/>
      </c>
      <c r="J902" s="20" t="str">
        <f t="shared" si="102"/>
        <v/>
      </c>
      <c r="K902" s="20" t="str">
        <f t="shared" si="103"/>
        <v/>
      </c>
      <c r="L902" s="20" t="str">
        <f>IF(B902="","",70*'DDF Original'!$Q$4)</f>
        <v/>
      </c>
      <c r="M902" s="20" t="str">
        <f t="shared" si="104"/>
        <v/>
      </c>
      <c r="N902" s="20" t="str">
        <f>IF(AND(OR(B902="",J902&gt;G902,M902&gt;G902),'DDF Original'!L902&lt;&gt; "MI"),G902,IF(M902&gt;J902,M902,J902))</f>
        <v/>
      </c>
    </row>
    <row r="903" spans="2:14" x14ac:dyDescent="0.2">
      <c r="B903" s="19" t="str">
        <f>IF('DDF Original'!B903="","",'DDF Original'!B903)</f>
        <v/>
      </c>
      <c r="C903" s="19" t="e">
        <f t="shared" si="98"/>
        <v>#VALUE!</v>
      </c>
      <c r="D903" s="20" t="str">
        <f>IF('DDF Original'!C903="","",'DDF Original'!C903)</f>
        <v/>
      </c>
      <c r="E903" s="24" t="str">
        <f>IF('DDF Original'!B903="","",IF(TRIM('DDF Original'!I903)="",0,'DDF Original'!I903))</f>
        <v/>
      </c>
      <c r="F903" s="20" t="str">
        <f t="shared" si="99"/>
        <v/>
      </c>
      <c r="G903" s="37" t="str">
        <f>IF('DDF Original'!B903="","",IF(TRIM('DDF Original'!P903)="",0,'DDF Original'!P903))</f>
        <v/>
      </c>
      <c r="H903" s="20" t="str">
        <f t="shared" si="100"/>
        <v/>
      </c>
      <c r="I903" s="25" t="str">
        <f t="shared" si="101"/>
        <v/>
      </c>
      <c r="J903" s="20" t="str">
        <f t="shared" si="102"/>
        <v/>
      </c>
      <c r="K903" s="20" t="str">
        <f t="shared" si="103"/>
        <v/>
      </c>
      <c r="L903" s="20" t="str">
        <f>IF(B903="","",70*'DDF Original'!$Q$4)</f>
        <v/>
      </c>
      <c r="M903" s="20" t="str">
        <f t="shared" si="104"/>
        <v/>
      </c>
      <c r="N903" s="20" t="str">
        <f>IF(AND(OR(B903="",J903&gt;G903,M903&gt;G903),'DDF Original'!L903&lt;&gt; "MI"),G903,IF(M903&gt;J903,M903,J903))</f>
        <v/>
      </c>
    </row>
    <row r="904" spans="2:14" x14ac:dyDescent="0.2">
      <c r="B904" s="19" t="str">
        <f>IF('DDF Original'!B904="","",'DDF Original'!B904)</f>
        <v/>
      </c>
      <c r="C904" s="19" t="e">
        <f t="shared" si="98"/>
        <v>#VALUE!</v>
      </c>
      <c r="D904" s="20" t="str">
        <f>IF('DDF Original'!C904="","",'DDF Original'!C904)</f>
        <v/>
      </c>
      <c r="E904" s="24" t="str">
        <f>IF('DDF Original'!B904="","",IF(TRIM('DDF Original'!I904)="",0,'DDF Original'!I904))</f>
        <v/>
      </c>
      <c r="F904" s="20" t="str">
        <f t="shared" si="99"/>
        <v/>
      </c>
      <c r="G904" s="37" t="str">
        <f>IF('DDF Original'!B904="","",IF(TRIM('DDF Original'!P904)="",0,'DDF Original'!P904))</f>
        <v/>
      </c>
      <c r="H904" s="20" t="str">
        <f t="shared" si="100"/>
        <v/>
      </c>
      <c r="I904" s="25" t="str">
        <f t="shared" si="101"/>
        <v/>
      </c>
      <c r="J904" s="20" t="str">
        <f t="shared" si="102"/>
        <v/>
      </c>
      <c r="K904" s="20" t="str">
        <f t="shared" si="103"/>
        <v/>
      </c>
      <c r="L904" s="20" t="str">
        <f>IF(B904="","",70*'DDF Original'!$Q$4)</f>
        <v/>
      </c>
      <c r="M904" s="20" t="str">
        <f t="shared" si="104"/>
        <v/>
      </c>
      <c r="N904" s="20" t="str">
        <f>IF(AND(OR(B904="",J904&gt;G904,M904&gt;G904),'DDF Original'!L904&lt;&gt; "MI"),G904,IF(M904&gt;J904,M904,J904))</f>
        <v/>
      </c>
    </row>
    <row r="905" spans="2:14" x14ac:dyDescent="0.2">
      <c r="B905" s="19" t="str">
        <f>IF('DDF Original'!B905="","",'DDF Original'!B905)</f>
        <v/>
      </c>
      <c r="C905" s="19" t="e">
        <f t="shared" si="98"/>
        <v>#VALUE!</v>
      </c>
      <c r="D905" s="20" t="str">
        <f>IF('DDF Original'!C905="","",'DDF Original'!C905)</f>
        <v/>
      </c>
      <c r="E905" s="24" t="str">
        <f>IF('DDF Original'!B905="","",IF(TRIM('DDF Original'!I905)="",0,'DDF Original'!I905))</f>
        <v/>
      </c>
      <c r="F905" s="20" t="str">
        <f t="shared" si="99"/>
        <v/>
      </c>
      <c r="G905" s="37" t="str">
        <f>IF('DDF Original'!B905="","",IF(TRIM('DDF Original'!P905)="",0,'DDF Original'!P905))</f>
        <v/>
      </c>
      <c r="H905" s="20" t="str">
        <f t="shared" si="100"/>
        <v/>
      </c>
      <c r="I905" s="25" t="str">
        <f t="shared" si="101"/>
        <v/>
      </c>
      <c r="J905" s="20" t="str">
        <f t="shared" si="102"/>
        <v/>
      </c>
      <c r="K905" s="20" t="str">
        <f t="shared" si="103"/>
        <v/>
      </c>
      <c r="L905" s="20" t="str">
        <f>IF(B905="","",70*'DDF Original'!$Q$4)</f>
        <v/>
      </c>
      <c r="M905" s="20" t="str">
        <f t="shared" si="104"/>
        <v/>
      </c>
      <c r="N905" s="20" t="str">
        <f>IF(AND(OR(B905="",J905&gt;G905,M905&gt;G905),'DDF Original'!L905&lt;&gt; "MI"),G905,IF(M905&gt;J905,M905,J905))</f>
        <v/>
      </c>
    </row>
    <row r="906" spans="2:14" x14ac:dyDescent="0.2">
      <c r="B906" s="19" t="str">
        <f>IF('DDF Original'!B906="","",'DDF Original'!B906)</f>
        <v/>
      </c>
      <c r="C906" s="19" t="e">
        <f t="shared" si="98"/>
        <v>#VALUE!</v>
      </c>
      <c r="D906" s="20" t="str">
        <f>IF('DDF Original'!C906="","",'DDF Original'!C906)</f>
        <v/>
      </c>
      <c r="E906" s="24" t="str">
        <f>IF('DDF Original'!B906="","",IF(TRIM('DDF Original'!I906)="",0,'DDF Original'!I906))</f>
        <v/>
      </c>
      <c r="F906" s="20" t="str">
        <f t="shared" si="99"/>
        <v/>
      </c>
      <c r="G906" s="37" t="str">
        <f>IF('DDF Original'!B906="","",IF(TRIM('DDF Original'!P906)="",0,'DDF Original'!P906))</f>
        <v/>
      </c>
      <c r="H906" s="20" t="str">
        <f t="shared" si="100"/>
        <v/>
      </c>
      <c r="I906" s="25" t="str">
        <f t="shared" si="101"/>
        <v/>
      </c>
      <c r="J906" s="20" t="str">
        <f t="shared" si="102"/>
        <v/>
      </c>
      <c r="K906" s="20" t="str">
        <f t="shared" si="103"/>
        <v/>
      </c>
      <c r="L906" s="20" t="str">
        <f>IF(B906="","",70*'DDF Original'!$Q$4)</f>
        <v/>
      </c>
      <c r="M906" s="20" t="str">
        <f t="shared" si="104"/>
        <v/>
      </c>
      <c r="N906" s="20" t="str">
        <f>IF(AND(OR(B906="",J906&gt;G906,M906&gt;G906),'DDF Original'!L906&lt;&gt; "MI"),G906,IF(M906&gt;J906,M906,J906))</f>
        <v/>
      </c>
    </row>
    <row r="907" spans="2:14" x14ac:dyDescent="0.2">
      <c r="B907" s="19" t="str">
        <f>IF('DDF Original'!B907="","",'DDF Original'!B907)</f>
        <v/>
      </c>
      <c r="C907" s="19" t="e">
        <f t="shared" si="98"/>
        <v>#VALUE!</v>
      </c>
      <c r="D907" s="20" t="str">
        <f>IF('DDF Original'!C907="","",'DDF Original'!C907)</f>
        <v/>
      </c>
      <c r="E907" s="24" t="str">
        <f>IF('DDF Original'!B907="","",IF(TRIM('DDF Original'!I907)="",0,'DDF Original'!I907))</f>
        <v/>
      </c>
      <c r="F907" s="20" t="str">
        <f t="shared" si="99"/>
        <v/>
      </c>
      <c r="G907" s="37" t="str">
        <f>IF('DDF Original'!B907="","",IF(TRIM('DDF Original'!P907)="",0,'DDF Original'!P907))</f>
        <v/>
      </c>
      <c r="H907" s="20" t="str">
        <f t="shared" si="100"/>
        <v/>
      </c>
      <c r="I907" s="25" t="str">
        <f t="shared" si="101"/>
        <v/>
      </c>
      <c r="J907" s="20" t="str">
        <f t="shared" si="102"/>
        <v/>
      </c>
      <c r="K907" s="20" t="str">
        <f t="shared" si="103"/>
        <v/>
      </c>
      <c r="L907" s="20" t="str">
        <f>IF(B907="","",70*'DDF Original'!$Q$4)</f>
        <v/>
      </c>
      <c r="M907" s="20" t="str">
        <f t="shared" si="104"/>
        <v/>
      </c>
      <c r="N907" s="20" t="str">
        <f>IF(AND(OR(B907="",J907&gt;G907,M907&gt;G907),'DDF Original'!L907&lt;&gt; "MI"),G907,IF(M907&gt;J907,M907,J907))</f>
        <v/>
      </c>
    </row>
    <row r="908" spans="2:14" x14ac:dyDescent="0.2">
      <c r="B908" s="19" t="str">
        <f>IF('DDF Original'!B908="","",'DDF Original'!B908)</f>
        <v/>
      </c>
      <c r="C908" s="19" t="e">
        <f t="shared" si="98"/>
        <v>#VALUE!</v>
      </c>
      <c r="D908" s="20" t="str">
        <f>IF('DDF Original'!C908="","",'DDF Original'!C908)</f>
        <v/>
      </c>
      <c r="E908" s="24" t="str">
        <f>IF('DDF Original'!B908="","",IF(TRIM('DDF Original'!I908)="",0,'DDF Original'!I908))</f>
        <v/>
      </c>
      <c r="F908" s="20" t="str">
        <f t="shared" si="99"/>
        <v/>
      </c>
      <c r="G908" s="37" t="str">
        <f>IF('DDF Original'!B908="","",IF(TRIM('DDF Original'!P908)="",0,'DDF Original'!P908))</f>
        <v/>
      </c>
      <c r="H908" s="20" t="str">
        <f t="shared" si="100"/>
        <v/>
      </c>
      <c r="I908" s="25" t="str">
        <f t="shared" si="101"/>
        <v/>
      </c>
      <c r="J908" s="20" t="str">
        <f t="shared" si="102"/>
        <v/>
      </c>
      <c r="K908" s="20" t="str">
        <f t="shared" si="103"/>
        <v/>
      </c>
      <c r="L908" s="20" t="str">
        <f>IF(B908="","",70*'DDF Original'!$Q$4)</f>
        <v/>
      </c>
      <c r="M908" s="20" t="str">
        <f t="shared" si="104"/>
        <v/>
      </c>
      <c r="N908" s="20" t="str">
        <f>IF(AND(OR(B908="",J908&gt;G908,M908&gt;G908),'DDF Original'!L908&lt;&gt; "MI"),G908,IF(M908&gt;J908,M908,J908))</f>
        <v/>
      </c>
    </row>
    <row r="909" spans="2:14" x14ac:dyDescent="0.2">
      <c r="B909" s="19" t="str">
        <f>IF('DDF Original'!B909="","",'DDF Original'!B909)</f>
        <v/>
      </c>
      <c r="C909" s="19" t="e">
        <f t="shared" si="98"/>
        <v>#VALUE!</v>
      </c>
      <c r="D909" s="20" t="str">
        <f>IF('DDF Original'!C909="","",'DDF Original'!C909)</f>
        <v/>
      </c>
      <c r="E909" s="24" t="str">
        <f>IF('DDF Original'!B909="","",IF(TRIM('DDF Original'!I909)="",0,'DDF Original'!I909))</f>
        <v/>
      </c>
      <c r="F909" s="20" t="str">
        <f t="shared" si="99"/>
        <v/>
      </c>
      <c r="G909" s="37" t="str">
        <f>IF('DDF Original'!B909="","",IF(TRIM('DDF Original'!P909)="",0,'DDF Original'!P909))</f>
        <v/>
      </c>
      <c r="H909" s="20" t="str">
        <f t="shared" si="100"/>
        <v/>
      </c>
      <c r="I909" s="25" t="str">
        <f t="shared" si="101"/>
        <v/>
      </c>
      <c r="J909" s="20" t="str">
        <f t="shared" si="102"/>
        <v/>
      </c>
      <c r="K909" s="20" t="str">
        <f t="shared" si="103"/>
        <v/>
      </c>
      <c r="L909" s="20" t="str">
        <f>IF(B909="","",70*'DDF Original'!$Q$4)</f>
        <v/>
      </c>
      <c r="M909" s="20" t="str">
        <f t="shared" si="104"/>
        <v/>
      </c>
      <c r="N909" s="20" t="str">
        <f>IF(AND(OR(B909="",J909&gt;G909,M909&gt;G909),'DDF Original'!L909&lt;&gt; "MI"),G909,IF(M909&gt;J909,M909,J909))</f>
        <v/>
      </c>
    </row>
    <row r="910" spans="2:14" x14ac:dyDescent="0.2">
      <c r="B910" s="19" t="str">
        <f>IF('DDF Original'!B910="","",'DDF Original'!B910)</f>
        <v/>
      </c>
      <c r="C910" s="19" t="e">
        <f t="shared" si="98"/>
        <v>#VALUE!</v>
      </c>
      <c r="D910" s="20" t="str">
        <f>IF('DDF Original'!C910="","",'DDF Original'!C910)</f>
        <v/>
      </c>
      <c r="E910" s="24" t="str">
        <f>IF('DDF Original'!B910="","",IF(TRIM('DDF Original'!I910)="",0,'DDF Original'!I910))</f>
        <v/>
      </c>
      <c r="F910" s="20" t="str">
        <f t="shared" si="99"/>
        <v/>
      </c>
      <c r="G910" s="37" t="str">
        <f>IF('DDF Original'!B910="","",IF(TRIM('DDF Original'!P910)="",0,'DDF Original'!P910))</f>
        <v/>
      </c>
      <c r="H910" s="20" t="str">
        <f t="shared" si="100"/>
        <v/>
      </c>
      <c r="I910" s="25" t="str">
        <f t="shared" si="101"/>
        <v/>
      </c>
      <c r="J910" s="20" t="str">
        <f t="shared" si="102"/>
        <v/>
      </c>
      <c r="K910" s="20" t="str">
        <f t="shared" si="103"/>
        <v/>
      </c>
      <c r="L910" s="20" t="str">
        <f>IF(B910="","",70*'DDF Original'!$Q$4)</f>
        <v/>
      </c>
      <c r="M910" s="20" t="str">
        <f t="shared" si="104"/>
        <v/>
      </c>
      <c r="N910" s="20" t="str">
        <f>IF(AND(OR(B910="",J910&gt;G910,M910&gt;G910),'DDF Original'!L910&lt;&gt; "MI"),G910,IF(M910&gt;J910,M910,J910))</f>
        <v/>
      </c>
    </row>
    <row r="911" spans="2:14" x14ac:dyDescent="0.2">
      <c r="B911" s="19" t="str">
        <f>IF('DDF Original'!B911="","",'DDF Original'!B911)</f>
        <v/>
      </c>
      <c r="C911" s="19" t="e">
        <f t="shared" si="98"/>
        <v>#VALUE!</v>
      </c>
      <c r="D911" s="20" t="str">
        <f>IF('DDF Original'!C911="","",'DDF Original'!C911)</f>
        <v/>
      </c>
      <c r="E911" s="24" t="str">
        <f>IF('DDF Original'!B911="","",IF(TRIM('DDF Original'!I911)="",0,'DDF Original'!I911))</f>
        <v/>
      </c>
      <c r="F911" s="20" t="str">
        <f t="shared" si="99"/>
        <v/>
      </c>
      <c r="G911" s="37" t="str">
        <f>IF('DDF Original'!B911="","",IF(TRIM('DDF Original'!P911)="",0,'DDF Original'!P911))</f>
        <v/>
      </c>
      <c r="H911" s="20" t="str">
        <f t="shared" si="100"/>
        <v/>
      </c>
      <c r="I911" s="25" t="str">
        <f t="shared" si="101"/>
        <v/>
      </c>
      <c r="J911" s="20" t="str">
        <f t="shared" si="102"/>
        <v/>
      </c>
      <c r="K911" s="20" t="str">
        <f t="shared" si="103"/>
        <v/>
      </c>
      <c r="L911" s="20" t="str">
        <f>IF(B911="","",70*'DDF Original'!$Q$4)</f>
        <v/>
      </c>
      <c r="M911" s="20" t="str">
        <f t="shared" si="104"/>
        <v/>
      </c>
      <c r="N911" s="20" t="str">
        <f>IF(AND(OR(B911="",J911&gt;G911,M911&gt;G911),'DDF Original'!L911&lt;&gt; "MI"),G911,IF(M911&gt;J911,M911,J911))</f>
        <v/>
      </c>
    </row>
    <row r="912" spans="2:14" x14ac:dyDescent="0.2">
      <c r="B912" s="19" t="str">
        <f>IF('DDF Original'!B912="","",'DDF Original'!B912)</f>
        <v/>
      </c>
      <c r="C912" s="19" t="e">
        <f t="shared" si="98"/>
        <v>#VALUE!</v>
      </c>
      <c r="D912" s="20" t="str">
        <f>IF('DDF Original'!C912="","",'DDF Original'!C912)</f>
        <v/>
      </c>
      <c r="E912" s="24" t="str">
        <f>IF('DDF Original'!B912="","",IF(TRIM('DDF Original'!I912)="",0,'DDF Original'!I912))</f>
        <v/>
      </c>
      <c r="F912" s="20" t="str">
        <f t="shared" si="99"/>
        <v/>
      </c>
      <c r="G912" s="37" t="str">
        <f>IF('DDF Original'!B912="","",IF(TRIM('DDF Original'!P912)="",0,'DDF Original'!P912))</f>
        <v/>
      </c>
      <c r="H912" s="20" t="str">
        <f t="shared" si="100"/>
        <v/>
      </c>
      <c r="I912" s="25" t="str">
        <f t="shared" si="101"/>
        <v/>
      </c>
      <c r="J912" s="20" t="str">
        <f t="shared" si="102"/>
        <v/>
      </c>
      <c r="K912" s="20" t="str">
        <f t="shared" si="103"/>
        <v/>
      </c>
      <c r="L912" s="20" t="str">
        <f>IF(B912="","",70*'DDF Original'!$Q$4)</f>
        <v/>
      </c>
      <c r="M912" s="20" t="str">
        <f t="shared" si="104"/>
        <v/>
      </c>
      <c r="N912" s="20" t="str">
        <f>IF(AND(OR(B912="",J912&gt;G912,M912&gt;G912),'DDF Original'!L912&lt;&gt; "MI"),G912,IF(M912&gt;J912,M912,J912))</f>
        <v/>
      </c>
    </row>
    <row r="913" spans="2:14" x14ac:dyDescent="0.2">
      <c r="B913" s="19" t="str">
        <f>IF('DDF Original'!B913="","",'DDF Original'!B913)</f>
        <v/>
      </c>
      <c r="C913" s="19" t="e">
        <f t="shared" si="98"/>
        <v>#VALUE!</v>
      </c>
      <c r="D913" s="20" t="str">
        <f>IF('DDF Original'!C913="","",'DDF Original'!C913)</f>
        <v/>
      </c>
      <c r="E913" s="24" t="str">
        <f>IF('DDF Original'!B913="","",IF(TRIM('DDF Original'!I913)="",0,'DDF Original'!I913))</f>
        <v/>
      </c>
      <c r="F913" s="20" t="str">
        <f t="shared" si="99"/>
        <v/>
      </c>
      <c r="G913" s="37" t="str">
        <f>IF('DDF Original'!B913="","",IF(TRIM('DDF Original'!P913)="",0,'DDF Original'!P913))</f>
        <v/>
      </c>
      <c r="H913" s="20" t="str">
        <f t="shared" si="100"/>
        <v/>
      </c>
      <c r="I913" s="25" t="str">
        <f t="shared" si="101"/>
        <v/>
      </c>
      <c r="J913" s="20" t="str">
        <f t="shared" si="102"/>
        <v/>
      </c>
      <c r="K913" s="20" t="str">
        <f t="shared" si="103"/>
        <v/>
      </c>
      <c r="L913" s="20" t="str">
        <f>IF(B913="","",70*'DDF Original'!$Q$4)</f>
        <v/>
      </c>
      <c r="M913" s="20" t="str">
        <f t="shared" si="104"/>
        <v/>
      </c>
      <c r="N913" s="20" t="str">
        <f>IF(AND(OR(B913="",J913&gt;G913,M913&gt;G913),'DDF Original'!L913&lt;&gt; "MI"),G913,IF(M913&gt;J913,M913,J913))</f>
        <v/>
      </c>
    </row>
    <row r="914" spans="2:14" x14ac:dyDescent="0.2">
      <c r="B914" s="19" t="str">
        <f>IF('DDF Original'!B914="","",'DDF Original'!B914)</f>
        <v/>
      </c>
      <c r="C914" s="19" t="e">
        <f t="shared" si="98"/>
        <v>#VALUE!</v>
      </c>
      <c r="D914" s="20" t="str">
        <f>IF('DDF Original'!C914="","",'DDF Original'!C914)</f>
        <v/>
      </c>
      <c r="E914" s="24" t="str">
        <f>IF('DDF Original'!B914="","",IF(TRIM('DDF Original'!I914)="",0,'DDF Original'!I914))</f>
        <v/>
      </c>
      <c r="F914" s="20" t="str">
        <f t="shared" si="99"/>
        <v/>
      </c>
      <c r="G914" s="37" t="str">
        <f>IF('DDF Original'!B914="","",IF(TRIM('DDF Original'!P914)="",0,'DDF Original'!P914))</f>
        <v/>
      </c>
      <c r="H914" s="20" t="str">
        <f t="shared" si="100"/>
        <v/>
      </c>
      <c r="I914" s="25" t="str">
        <f t="shared" si="101"/>
        <v/>
      </c>
      <c r="J914" s="20" t="str">
        <f t="shared" si="102"/>
        <v/>
      </c>
      <c r="K914" s="20" t="str">
        <f t="shared" si="103"/>
        <v/>
      </c>
      <c r="L914" s="20" t="str">
        <f>IF(B914="","",70*'DDF Original'!$Q$4)</f>
        <v/>
      </c>
      <c r="M914" s="20" t="str">
        <f t="shared" si="104"/>
        <v/>
      </c>
      <c r="N914" s="20" t="str">
        <f>IF(AND(OR(B914="",J914&gt;G914,M914&gt;G914),'DDF Original'!L914&lt;&gt; "MI"),G914,IF(M914&gt;J914,M914,J914))</f>
        <v/>
      </c>
    </row>
    <row r="915" spans="2:14" x14ac:dyDescent="0.2">
      <c r="B915" s="19" t="str">
        <f>IF('DDF Original'!B915="","",'DDF Original'!B915)</f>
        <v/>
      </c>
      <c r="C915" s="19" t="e">
        <f t="shared" si="98"/>
        <v>#VALUE!</v>
      </c>
      <c r="D915" s="20" t="str">
        <f>IF('DDF Original'!C915="","",'DDF Original'!C915)</f>
        <v/>
      </c>
      <c r="E915" s="24" t="str">
        <f>IF('DDF Original'!B915="","",IF(TRIM('DDF Original'!I915)="",0,'DDF Original'!I915))</f>
        <v/>
      </c>
      <c r="F915" s="20" t="str">
        <f t="shared" si="99"/>
        <v/>
      </c>
      <c r="G915" s="37" t="str">
        <f>IF('DDF Original'!B915="","",IF(TRIM('DDF Original'!P915)="",0,'DDF Original'!P915))</f>
        <v/>
      </c>
      <c r="H915" s="20" t="str">
        <f t="shared" si="100"/>
        <v/>
      </c>
      <c r="I915" s="25" t="str">
        <f t="shared" si="101"/>
        <v/>
      </c>
      <c r="J915" s="20" t="str">
        <f t="shared" si="102"/>
        <v/>
      </c>
      <c r="K915" s="20" t="str">
        <f t="shared" si="103"/>
        <v/>
      </c>
      <c r="L915" s="20" t="str">
        <f>IF(B915="","",70*'DDF Original'!$Q$4)</f>
        <v/>
      </c>
      <c r="M915" s="20" t="str">
        <f t="shared" si="104"/>
        <v/>
      </c>
      <c r="N915" s="20" t="str">
        <f>IF(AND(OR(B915="",J915&gt;G915,M915&gt;G915),'DDF Original'!L915&lt;&gt; "MI"),G915,IF(M915&gt;J915,M915,J915))</f>
        <v/>
      </c>
    </row>
    <row r="916" spans="2:14" x14ac:dyDescent="0.2">
      <c r="B916" s="19" t="str">
        <f>IF('DDF Original'!B916="","",'DDF Original'!B916)</f>
        <v/>
      </c>
      <c r="C916" s="19" t="e">
        <f t="shared" si="98"/>
        <v>#VALUE!</v>
      </c>
      <c r="D916" s="20" t="str">
        <f>IF('DDF Original'!C916="","",'DDF Original'!C916)</f>
        <v/>
      </c>
      <c r="E916" s="24" t="str">
        <f>IF('DDF Original'!B916="","",IF(TRIM('DDF Original'!I916)="",0,'DDF Original'!I916))</f>
        <v/>
      </c>
      <c r="F916" s="20" t="str">
        <f t="shared" si="99"/>
        <v/>
      </c>
      <c r="G916" s="37" t="str">
        <f>IF('DDF Original'!B916="","",IF(TRIM('DDF Original'!P916)="",0,'DDF Original'!P916))</f>
        <v/>
      </c>
      <c r="H916" s="20" t="str">
        <f t="shared" si="100"/>
        <v/>
      </c>
      <c r="I916" s="25" t="str">
        <f t="shared" si="101"/>
        <v/>
      </c>
      <c r="J916" s="20" t="str">
        <f t="shared" si="102"/>
        <v/>
      </c>
      <c r="K916" s="20" t="str">
        <f t="shared" si="103"/>
        <v/>
      </c>
      <c r="L916" s="20" t="str">
        <f>IF(B916="","",70*'DDF Original'!$Q$4)</f>
        <v/>
      </c>
      <c r="M916" s="20" t="str">
        <f t="shared" si="104"/>
        <v/>
      </c>
      <c r="N916" s="20" t="str">
        <f>IF(AND(OR(B916="",J916&gt;G916,M916&gt;G916),'DDF Original'!L916&lt;&gt; "MI"),G916,IF(M916&gt;J916,M916,J916))</f>
        <v/>
      </c>
    </row>
    <row r="917" spans="2:14" x14ac:dyDescent="0.2">
      <c r="B917" s="19" t="str">
        <f>IF('DDF Original'!B917="","",'DDF Original'!B917)</f>
        <v/>
      </c>
      <c r="C917" s="19" t="e">
        <f t="shared" si="98"/>
        <v>#VALUE!</v>
      </c>
      <c r="D917" s="20" t="str">
        <f>IF('DDF Original'!C917="","",'DDF Original'!C917)</f>
        <v/>
      </c>
      <c r="E917" s="24" t="str">
        <f>IF('DDF Original'!B917="","",IF(TRIM('DDF Original'!I917)="",0,'DDF Original'!I917))</f>
        <v/>
      </c>
      <c r="F917" s="20" t="str">
        <f t="shared" si="99"/>
        <v/>
      </c>
      <c r="G917" s="37" t="str">
        <f>IF('DDF Original'!B917="","",IF(TRIM('DDF Original'!P917)="",0,'DDF Original'!P917))</f>
        <v/>
      </c>
      <c r="H917" s="20" t="str">
        <f t="shared" si="100"/>
        <v/>
      </c>
      <c r="I917" s="25" t="str">
        <f t="shared" si="101"/>
        <v/>
      </c>
      <c r="J917" s="20" t="str">
        <f t="shared" si="102"/>
        <v/>
      </c>
      <c r="K917" s="20" t="str">
        <f t="shared" si="103"/>
        <v/>
      </c>
      <c r="L917" s="20" t="str">
        <f>IF(B917="","",70*'DDF Original'!$Q$4)</f>
        <v/>
      </c>
      <c r="M917" s="20" t="str">
        <f t="shared" si="104"/>
        <v/>
      </c>
      <c r="N917" s="20" t="str">
        <f>IF(AND(OR(B917="",J917&gt;G917,M917&gt;G917),'DDF Original'!L917&lt;&gt; "MI"),G917,IF(M917&gt;J917,M917,J917))</f>
        <v/>
      </c>
    </row>
    <row r="918" spans="2:14" x14ac:dyDescent="0.2">
      <c r="B918" s="19" t="str">
        <f>IF('DDF Original'!B918="","",'DDF Original'!B918)</f>
        <v/>
      </c>
      <c r="C918" s="19" t="e">
        <f t="shared" si="98"/>
        <v>#VALUE!</v>
      </c>
      <c r="D918" s="20" t="str">
        <f>IF('DDF Original'!C918="","",'DDF Original'!C918)</f>
        <v/>
      </c>
      <c r="E918" s="24" t="str">
        <f>IF('DDF Original'!B918="","",IF(TRIM('DDF Original'!I918)="",0,'DDF Original'!I918))</f>
        <v/>
      </c>
      <c r="F918" s="20" t="str">
        <f t="shared" si="99"/>
        <v/>
      </c>
      <c r="G918" s="37" t="str">
        <f>IF('DDF Original'!B918="","",IF(TRIM('DDF Original'!P918)="",0,'DDF Original'!P918))</f>
        <v/>
      </c>
      <c r="H918" s="20" t="str">
        <f t="shared" si="100"/>
        <v/>
      </c>
      <c r="I918" s="25" t="str">
        <f t="shared" si="101"/>
        <v/>
      </c>
      <c r="J918" s="20" t="str">
        <f t="shared" si="102"/>
        <v/>
      </c>
      <c r="K918" s="20" t="str">
        <f t="shared" si="103"/>
        <v/>
      </c>
      <c r="L918" s="20" t="str">
        <f>IF(B918="","",70*'DDF Original'!$Q$4)</f>
        <v/>
      </c>
      <c r="M918" s="20" t="str">
        <f t="shared" si="104"/>
        <v/>
      </c>
      <c r="N918" s="20" t="str">
        <f>IF(AND(OR(B918="",J918&gt;G918,M918&gt;G918),'DDF Original'!L918&lt;&gt; "MI"),G918,IF(M918&gt;J918,M918,J918))</f>
        <v/>
      </c>
    </row>
    <row r="919" spans="2:14" x14ac:dyDescent="0.2">
      <c r="B919" s="19" t="str">
        <f>IF('DDF Original'!B919="","",'DDF Original'!B919)</f>
        <v/>
      </c>
      <c r="C919" s="19" t="e">
        <f t="shared" si="98"/>
        <v>#VALUE!</v>
      </c>
      <c r="D919" s="20" t="str">
        <f>IF('DDF Original'!C919="","",'DDF Original'!C919)</f>
        <v/>
      </c>
      <c r="E919" s="24" t="str">
        <f>IF('DDF Original'!B919="","",IF(TRIM('DDF Original'!I919)="",0,'DDF Original'!I919))</f>
        <v/>
      </c>
      <c r="F919" s="20" t="str">
        <f t="shared" si="99"/>
        <v/>
      </c>
      <c r="G919" s="37" t="str">
        <f>IF('DDF Original'!B919="","",IF(TRIM('DDF Original'!P919)="",0,'DDF Original'!P919))</f>
        <v/>
      </c>
      <c r="H919" s="20" t="str">
        <f t="shared" si="100"/>
        <v/>
      </c>
      <c r="I919" s="25" t="str">
        <f t="shared" si="101"/>
        <v/>
      </c>
      <c r="J919" s="20" t="str">
        <f t="shared" si="102"/>
        <v/>
      </c>
      <c r="K919" s="20" t="str">
        <f t="shared" si="103"/>
        <v/>
      </c>
      <c r="L919" s="20" t="str">
        <f>IF(B919="","",70*'DDF Original'!$Q$4)</f>
        <v/>
      </c>
      <c r="M919" s="20" t="str">
        <f t="shared" si="104"/>
        <v/>
      </c>
      <c r="N919" s="20" t="str">
        <f>IF(AND(OR(B919="",J919&gt;G919,M919&gt;G919),'DDF Original'!L919&lt;&gt; "MI"),G919,IF(M919&gt;J919,M919,J919))</f>
        <v/>
      </c>
    </row>
    <row r="920" spans="2:14" x14ac:dyDescent="0.2">
      <c r="B920" s="19" t="str">
        <f>IF('DDF Original'!B920="","",'DDF Original'!B920)</f>
        <v/>
      </c>
      <c r="C920" s="19" t="e">
        <f t="shared" si="98"/>
        <v>#VALUE!</v>
      </c>
      <c r="D920" s="20" t="str">
        <f>IF('DDF Original'!C920="","",'DDF Original'!C920)</f>
        <v/>
      </c>
      <c r="E920" s="24" t="str">
        <f>IF('DDF Original'!B920="","",IF(TRIM('DDF Original'!I920)="",0,'DDF Original'!I920))</f>
        <v/>
      </c>
      <c r="F920" s="20" t="str">
        <f t="shared" si="99"/>
        <v/>
      </c>
      <c r="G920" s="37" t="str">
        <f>IF('DDF Original'!B920="","",IF(TRIM('DDF Original'!P920)="",0,'DDF Original'!P920))</f>
        <v/>
      </c>
      <c r="H920" s="20" t="str">
        <f t="shared" si="100"/>
        <v/>
      </c>
      <c r="I920" s="25" t="str">
        <f t="shared" si="101"/>
        <v/>
      </c>
      <c r="J920" s="20" t="str">
        <f t="shared" si="102"/>
        <v/>
      </c>
      <c r="K920" s="20" t="str">
        <f t="shared" si="103"/>
        <v/>
      </c>
      <c r="L920" s="20" t="str">
        <f>IF(B920="","",70*'DDF Original'!$Q$4)</f>
        <v/>
      </c>
      <c r="M920" s="20" t="str">
        <f t="shared" si="104"/>
        <v/>
      </c>
      <c r="N920" s="20" t="str">
        <f>IF(AND(OR(B920="",J920&gt;G920,M920&gt;G920),'DDF Original'!L920&lt;&gt; "MI"),G920,IF(M920&gt;J920,M920,J920))</f>
        <v/>
      </c>
    </row>
    <row r="921" spans="2:14" x14ac:dyDescent="0.2">
      <c r="B921" s="19" t="str">
        <f>IF('DDF Original'!B921="","",'DDF Original'!B921)</f>
        <v/>
      </c>
      <c r="C921" s="19" t="e">
        <f t="shared" si="98"/>
        <v>#VALUE!</v>
      </c>
      <c r="D921" s="20" t="str">
        <f>IF('DDF Original'!C921="","",'DDF Original'!C921)</f>
        <v/>
      </c>
      <c r="E921" s="24" t="str">
        <f>IF('DDF Original'!B921="","",IF(TRIM('DDF Original'!I921)="",0,'DDF Original'!I921))</f>
        <v/>
      </c>
      <c r="F921" s="20" t="str">
        <f t="shared" si="99"/>
        <v/>
      </c>
      <c r="G921" s="37" t="str">
        <f>IF('DDF Original'!B921="","",IF(TRIM('DDF Original'!P921)="",0,'DDF Original'!P921))</f>
        <v/>
      </c>
      <c r="H921" s="20" t="str">
        <f t="shared" si="100"/>
        <v/>
      </c>
      <c r="I921" s="25" t="str">
        <f t="shared" si="101"/>
        <v/>
      </c>
      <c r="J921" s="20" t="str">
        <f t="shared" si="102"/>
        <v/>
      </c>
      <c r="K921" s="20" t="str">
        <f t="shared" si="103"/>
        <v/>
      </c>
      <c r="L921" s="20" t="str">
        <f>IF(B921="","",70*'DDF Original'!$Q$4)</f>
        <v/>
      </c>
      <c r="M921" s="20" t="str">
        <f t="shared" si="104"/>
        <v/>
      </c>
      <c r="N921" s="20" t="str">
        <f>IF(AND(OR(B921="",J921&gt;G921,M921&gt;G921),'DDF Original'!L921&lt;&gt; "MI"),G921,IF(M921&gt;J921,M921,J921))</f>
        <v/>
      </c>
    </row>
    <row r="922" spans="2:14" x14ac:dyDescent="0.2">
      <c r="B922" s="19" t="str">
        <f>IF('DDF Original'!B922="","",'DDF Original'!B922)</f>
        <v/>
      </c>
      <c r="C922" s="19" t="e">
        <f t="shared" si="98"/>
        <v>#VALUE!</v>
      </c>
      <c r="D922" s="20" t="str">
        <f>IF('DDF Original'!C922="","",'DDF Original'!C922)</f>
        <v/>
      </c>
      <c r="E922" s="24" t="str">
        <f>IF('DDF Original'!B922="","",IF(TRIM('DDF Original'!I922)="",0,'DDF Original'!I922))</f>
        <v/>
      </c>
      <c r="F922" s="20" t="str">
        <f t="shared" si="99"/>
        <v/>
      </c>
      <c r="G922" s="37" t="str">
        <f>IF('DDF Original'!B922="","",IF(TRIM('DDF Original'!P922)="",0,'DDF Original'!P922))</f>
        <v/>
      </c>
      <c r="H922" s="20" t="str">
        <f t="shared" si="100"/>
        <v/>
      </c>
      <c r="I922" s="25" t="str">
        <f t="shared" si="101"/>
        <v/>
      </c>
      <c r="J922" s="20" t="str">
        <f t="shared" si="102"/>
        <v/>
      </c>
      <c r="K922" s="20" t="str">
        <f t="shared" si="103"/>
        <v/>
      </c>
      <c r="L922" s="20" t="str">
        <f>IF(B922="","",70*'DDF Original'!$Q$4)</f>
        <v/>
      </c>
      <c r="M922" s="20" t="str">
        <f t="shared" si="104"/>
        <v/>
      </c>
      <c r="N922" s="20" t="str">
        <f>IF(AND(OR(B922="",J922&gt;G922,M922&gt;G922),'DDF Original'!L922&lt;&gt; "MI"),G922,IF(M922&gt;J922,M922,J922))</f>
        <v/>
      </c>
    </row>
    <row r="923" spans="2:14" x14ac:dyDescent="0.2">
      <c r="B923" s="19" t="str">
        <f>IF('DDF Original'!B923="","",'DDF Original'!B923)</f>
        <v/>
      </c>
      <c r="C923" s="19" t="e">
        <f t="shared" si="98"/>
        <v>#VALUE!</v>
      </c>
      <c r="D923" s="20" t="str">
        <f>IF('DDF Original'!C923="","",'DDF Original'!C923)</f>
        <v/>
      </c>
      <c r="E923" s="24" t="str">
        <f>IF('DDF Original'!B923="","",IF(TRIM('DDF Original'!I923)="",0,'DDF Original'!I923))</f>
        <v/>
      </c>
      <c r="F923" s="20" t="str">
        <f t="shared" si="99"/>
        <v/>
      </c>
      <c r="G923" s="37" t="str">
        <f>IF('DDF Original'!B923="","",IF(TRIM('DDF Original'!P923)="",0,'DDF Original'!P923))</f>
        <v/>
      </c>
      <c r="H923" s="20" t="str">
        <f t="shared" si="100"/>
        <v/>
      </c>
      <c r="I923" s="25" t="str">
        <f t="shared" si="101"/>
        <v/>
      </c>
      <c r="J923" s="20" t="str">
        <f t="shared" si="102"/>
        <v/>
      </c>
      <c r="K923" s="20" t="str">
        <f t="shared" si="103"/>
        <v/>
      </c>
      <c r="L923" s="20" t="str">
        <f>IF(B923="","",70*'DDF Original'!$Q$4)</f>
        <v/>
      </c>
      <c r="M923" s="20" t="str">
        <f t="shared" si="104"/>
        <v/>
      </c>
      <c r="N923" s="20" t="str">
        <f>IF(AND(OR(B923="",J923&gt;G923,M923&gt;G923),'DDF Original'!L923&lt;&gt; "MI"),G923,IF(M923&gt;J923,M923,J923))</f>
        <v/>
      </c>
    </row>
    <row r="924" spans="2:14" x14ac:dyDescent="0.2">
      <c r="B924" s="19" t="str">
        <f>IF('DDF Original'!B924="","",'DDF Original'!B924)</f>
        <v/>
      </c>
      <c r="C924" s="19" t="e">
        <f t="shared" si="98"/>
        <v>#VALUE!</v>
      </c>
      <c r="D924" s="20" t="str">
        <f>IF('DDF Original'!C924="","",'DDF Original'!C924)</f>
        <v/>
      </c>
      <c r="E924" s="24" t="str">
        <f>IF('DDF Original'!B924="","",IF(TRIM('DDF Original'!I924)="",0,'DDF Original'!I924))</f>
        <v/>
      </c>
      <c r="F924" s="20" t="str">
        <f t="shared" si="99"/>
        <v/>
      </c>
      <c r="G924" s="37" t="str">
        <f>IF('DDF Original'!B924="","",IF(TRIM('DDF Original'!P924)="",0,'DDF Original'!P924))</f>
        <v/>
      </c>
      <c r="H924" s="20" t="str">
        <f t="shared" si="100"/>
        <v/>
      </c>
      <c r="I924" s="25" t="str">
        <f t="shared" si="101"/>
        <v/>
      </c>
      <c r="J924" s="20" t="str">
        <f t="shared" si="102"/>
        <v/>
      </c>
      <c r="K924" s="20" t="str">
        <f t="shared" si="103"/>
        <v/>
      </c>
      <c r="L924" s="20" t="str">
        <f>IF(B924="","",70*'DDF Original'!$Q$4)</f>
        <v/>
      </c>
      <c r="M924" s="20" t="str">
        <f t="shared" si="104"/>
        <v/>
      </c>
      <c r="N924" s="20" t="str">
        <f>IF(AND(OR(B924="",J924&gt;G924,M924&gt;G924),'DDF Original'!L924&lt;&gt; "MI"),G924,IF(M924&gt;J924,M924,J924))</f>
        <v/>
      </c>
    </row>
    <row r="925" spans="2:14" x14ac:dyDescent="0.2">
      <c r="B925" s="19" t="str">
        <f>IF('DDF Original'!B925="","",'DDF Original'!B925)</f>
        <v/>
      </c>
      <c r="C925" s="19" t="e">
        <f t="shared" si="98"/>
        <v>#VALUE!</v>
      </c>
      <c r="D925" s="20" t="str">
        <f>IF('DDF Original'!C925="","",'DDF Original'!C925)</f>
        <v/>
      </c>
      <c r="E925" s="24" t="str">
        <f>IF('DDF Original'!B925="","",IF(TRIM('DDF Original'!I925)="",0,'DDF Original'!I925))</f>
        <v/>
      </c>
      <c r="F925" s="20" t="str">
        <f t="shared" si="99"/>
        <v/>
      </c>
      <c r="G925" s="37" t="str">
        <f>IF('DDF Original'!B925="","",IF(TRIM('DDF Original'!P925)="",0,'DDF Original'!P925))</f>
        <v/>
      </c>
      <c r="H925" s="20" t="str">
        <f t="shared" si="100"/>
        <v/>
      </c>
      <c r="I925" s="25" t="str">
        <f t="shared" si="101"/>
        <v/>
      </c>
      <c r="J925" s="20" t="str">
        <f t="shared" si="102"/>
        <v/>
      </c>
      <c r="K925" s="20" t="str">
        <f t="shared" si="103"/>
        <v/>
      </c>
      <c r="L925" s="20" t="str">
        <f>IF(B925="","",70*'DDF Original'!$Q$4)</f>
        <v/>
      </c>
      <c r="M925" s="20" t="str">
        <f t="shared" si="104"/>
        <v/>
      </c>
      <c r="N925" s="20" t="str">
        <f>IF(AND(OR(B925="",J925&gt;G925,M925&gt;G925),'DDF Original'!L925&lt;&gt; "MI"),G925,IF(M925&gt;J925,M925,J925))</f>
        <v/>
      </c>
    </row>
    <row r="926" spans="2:14" x14ac:dyDescent="0.2">
      <c r="B926" s="19" t="str">
        <f>IF('DDF Original'!B926="","",'DDF Original'!B926)</f>
        <v/>
      </c>
      <c r="C926" s="19" t="e">
        <f t="shared" si="98"/>
        <v>#VALUE!</v>
      </c>
      <c r="D926" s="20" t="str">
        <f>IF('DDF Original'!C926="","",'DDF Original'!C926)</f>
        <v/>
      </c>
      <c r="E926" s="24" t="str">
        <f>IF('DDF Original'!B926="","",IF(TRIM('DDF Original'!I926)="",0,'DDF Original'!I926))</f>
        <v/>
      </c>
      <c r="F926" s="20" t="str">
        <f t="shared" si="99"/>
        <v/>
      </c>
      <c r="G926" s="37" t="str">
        <f>IF('DDF Original'!B926="","",IF(TRIM('DDF Original'!P926)="",0,'DDF Original'!P926))</f>
        <v/>
      </c>
      <c r="H926" s="20" t="str">
        <f t="shared" si="100"/>
        <v/>
      </c>
      <c r="I926" s="25" t="str">
        <f t="shared" si="101"/>
        <v/>
      </c>
      <c r="J926" s="20" t="str">
        <f t="shared" si="102"/>
        <v/>
      </c>
      <c r="K926" s="20" t="str">
        <f t="shared" si="103"/>
        <v/>
      </c>
      <c r="L926" s="20" t="str">
        <f>IF(B926="","",70*'DDF Original'!$Q$4)</f>
        <v/>
      </c>
      <c r="M926" s="20" t="str">
        <f t="shared" si="104"/>
        <v/>
      </c>
      <c r="N926" s="20" t="str">
        <f>IF(AND(OR(B926="",J926&gt;G926,M926&gt;G926),'DDF Original'!L926&lt;&gt; "MI"),G926,IF(M926&gt;J926,M926,J926))</f>
        <v/>
      </c>
    </row>
    <row r="927" spans="2:14" x14ac:dyDescent="0.2">
      <c r="B927" s="19" t="str">
        <f>IF('DDF Original'!B927="","",'DDF Original'!B927)</f>
        <v/>
      </c>
      <c r="C927" s="19" t="e">
        <f t="shared" si="98"/>
        <v>#VALUE!</v>
      </c>
      <c r="D927" s="20" t="str">
        <f>IF('DDF Original'!C927="","",'DDF Original'!C927)</f>
        <v/>
      </c>
      <c r="E927" s="24" t="str">
        <f>IF('DDF Original'!B927="","",IF(TRIM('DDF Original'!I927)="",0,'DDF Original'!I927))</f>
        <v/>
      </c>
      <c r="F927" s="20" t="str">
        <f t="shared" si="99"/>
        <v/>
      </c>
      <c r="G927" s="37" t="str">
        <f>IF('DDF Original'!B927="","",IF(TRIM('DDF Original'!P927)="",0,'DDF Original'!P927))</f>
        <v/>
      </c>
      <c r="H927" s="20" t="str">
        <f t="shared" si="100"/>
        <v/>
      </c>
      <c r="I927" s="25" t="str">
        <f t="shared" si="101"/>
        <v/>
      </c>
      <c r="J927" s="20" t="str">
        <f t="shared" si="102"/>
        <v/>
      </c>
      <c r="K927" s="20" t="str">
        <f t="shared" si="103"/>
        <v/>
      </c>
      <c r="L927" s="20" t="str">
        <f>IF(B927="","",70*'DDF Original'!$Q$4)</f>
        <v/>
      </c>
      <c r="M927" s="20" t="str">
        <f t="shared" si="104"/>
        <v/>
      </c>
      <c r="N927" s="20" t="str">
        <f>IF(AND(OR(B927="",J927&gt;G927,M927&gt;G927),'DDF Original'!L927&lt;&gt; "MI"),G927,IF(M927&gt;J927,M927,J927))</f>
        <v/>
      </c>
    </row>
    <row r="928" spans="2:14" x14ac:dyDescent="0.2">
      <c r="B928" s="19" t="str">
        <f>IF('DDF Original'!B928="","",'DDF Original'!B928)</f>
        <v/>
      </c>
      <c r="C928" s="19" t="e">
        <f t="shared" si="98"/>
        <v>#VALUE!</v>
      </c>
      <c r="D928" s="20" t="str">
        <f>IF('DDF Original'!C928="","",'DDF Original'!C928)</f>
        <v/>
      </c>
      <c r="E928" s="24" t="str">
        <f>IF('DDF Original'!B928="","",IF(TRIM('DDF Original'!I928)="",0,'DDF Original'!I928))</f>
        <v/>
      </c>
      <c r="F928" s="20" t="str">
        <f t="shared" si="99"/>
        <v/>
      </c>
      <c r="G928" s="37" t="str">
        <f>IF('DDF Original'!B928="","",IF(TRIM('DDF Original'!P928)="",0,'DDF Original'!P928))</f>
        <v/>
      </c>
      <c r="H928" s="20" t="str">
        <f t="shared" si="100"/>
        <v/>
      </c>
      <c r="I928" s="25" t="str">
        <f t="shared" si="101"/>
        <v/>
      </c>
      <c r="J928" s="20" t="str">
        <f t="shared" si="102"/>
        <v/>
      </c>
      <c r="K928" s="20" t="str">
        <f t="shared" si="103"/>
        <v/>
      </c>
      <c r="L928" s="20" t="str">
        <f>IF(B928="","",70*'DDF Original'!$Q$4)</f>
        <v/>
      </c>
      <c r="M928" s="20" t="str">
        <f t="shared" si="104"/>
        <v/>
      </c>
      <c r="N928" s="20" t="str">
        <f>IF(AND(OR(B928="",J928&gt;G928,M928&gt;G928),'DDF Original'!L928&lt;&gt; "MI"),G928,IF(M928&gt;J928,M928,J928))</f>
        <v/>
      </c>
    </row>
    <row r="929" spans="2:14" x14ac:dyDescent="0.2">
      <c r="B929" s="19" t="str">
        <f>IF('DDF Original'!B929="","",'DDF Original'!B929)</f>
        <v/>
      </c>
      <c r="C929" s="19" t="e">
        <f t="shared" si="98"/>
        <v>#VALUE!</v>
      </c>
      <c r="D929" s="20" t="str">
        <f>IF('DDF Original'!C929="","",'DDF Original'!C929)</f>
        <v/>
      </c>
      <c r="E929" s="24" t="str">
        <f>IF('DDF Original'!B929="","",IF(TRIM('DDF Original'!I929)="",0,'DDF Original'!I929))</f>
        <v/>
      </c>
      <c r="F929" s="20" t="str">
        <f t="shared" si="99"/>
        <v/>
      </c>
      <c r="G929" s="37" t="str">
        <f>IF('DDF Original'!B929="","",IF(TRIM('DDF Original'!P929)="",0,'DDF Original'!P929))</f>
        <v/>
      </c>
      <c r="H929" s="20" t="str">
        <f t="shared" si="100"/>
        <v/>
      </c>
      <c r="I929" s="25" t="str">
        <f t="shared" si="101"/>
        <v/>
      </c>
      <c r="J929" s="20" t="str">
        <f t="shared" si="102"/>
        <v/>
      </c>
      <c r="K929" s="20" t="str">
        <f t="shared" si="103"/>
        <v/>
      </c>
      <c r="L929" s="20" t="str">
        <f>IF(B929="","",70*'DDF Original'!$Q$4)</f>
        <v/>
      </c>
      <c r="M929" s="20" t="str">
        <f t="shared" si="104"/>
        <v/>
      </c>
      <c r="N929" s="20" t="str">
        <f>IF(AND(OR(B929="",J929&gt;G929,M929&gt;G929),'DDF Original'!L929&lt;&gt; "MI"),G929,IF(M929&gt;J929,M929,J929))</f>
        <v/>
      </c>
    </row>
    <row r="930" spans="2:14" x14ac:dyDescent="0.2">
      <c r="B930" s="19" t="str">
        <f>IF('DDF Original'!B930="","",'DDF Original'!B930)</f>
        <v/>
      </c>
      <c r="C930" s="19" t="e">
        <f t="shared" si="98"/>
        <v>#VALUE!</v>
      </c>
      <c r="D930" s="20" t="str">
        <f>IF('DDF Original'!C930="","",'DDF Original'!C930)</f>
        <v/>
      </c>
      <c r="E930" s="24" t="str">
        <f>IF('DDF Original'!B930="","",IF(TRIM('DDF Original'!I930)="",0,'DDF Original'!I930))</f>
        <v/>
      </c>
      <c r="F930" s="20" t="str">
        <f t="shared" si="99"/>
        <v/>
      </c>
      <c r="G930" s="37" t="str">
        <f>IF('DDF Original'!B930="","",IF(TRIM('DDF Original'!P930)="",0,'DDF Original'!P930))</f>
        <v/>
      </c>
      <c r="H930" s="20" t="str">
        <f t="shared" si="100"/>
        <v/>
      </c>
      <c r="I930" s="25" t="str">
        <f t="shared" si="101"/>
        <v/>
      </c>
      <c r="J930" s="20" t="str">
        <f t="shared" si="102"/>
        <v/>
      </c>
      <c r="K930" s="20" t="str">
        <f t="shared" si="103"/>
        <v/>
      </c>
      <c r="L930" s="20" t="str">
        <f>IF(B930="","",70*'DDF Original'!$Q$4)</f>
        <v/>
      </c>
      <c r="M930" s="20" t="str">
        <f t="shared" si="104"/>
        <v/>
      </c>
      <c r="N930" s="20" t="str">
        <f>IF(AND(OR(B930="",J930&gt;G930,M930&gt;G930),'DDF Original'!L930&lt;&gt; "MI"),G930,IF(M930&gt;J930,M930,J930))</f>
        <v/>
      </c>
    </row>
    <row r="931" spans="2:14" x14ac:dyDescent="0.2">
      <c r="B931" s="19" t="str">
        <f>IF('DDF Original'!B931="","",'DDF Original'!B931)</f>
        <v/>
      </c>
      <c r="C931" s="19" t="e">
        <f t="shared" si="98"/>
        <v>#VALUE!</v>
      </c>
      <c r="D931" s="20" t="str">
        <f>IF('DDF Original'!C931="","",'DDF Original'!C931)</f>
        <v/>
      </c>
      <c r="E931" s="24" t="str">
        <f>IF('DDF Original'!B931="","",IF(TRIM('DDF Original'!I931)="",0,'DDF Original'!I931))</f>
        <v/>
      </c>
      <c r="F931" s="20" t="str">
        <f t="shared" si="99"/>
        <v/>
      </c>
      <c r="G931" s="37" t="str">
        <f>IF('DDF Original'!B931="","",IF(TRIM('DDF Original'!P931)="",0,'DDF Original'!P931))</f>
        <v/>
      </c>
      <c r="H931" s="20" t="str">
        <f t="shared" si="100"/>
        <v/>
      </c>
      <c r="I931" s="25" t="str">
        <f t="shared" si="101"/>
        <v/>
      </c>
      <c r="J931" s="20" t="str">
        <f t="shared" si="102"/>
        <v/>
      </c>
      <c r="K931" s="20" t="str">
        <f t="shared" si="103"/>
        <v/>
      </c>
      <c r="L931" s="20" t="str">
        <f>IF(B931="","",70*'DDF Original'!$Q$4)</f>
        <v/>
      </c>
      <c r="M931" s="20" t="str">
        <f t="shared" si="104"/>
        <v/>
      </c>
      <c r="N931" s="20" t="str">
        <f>IF(AND(OR(B931="",J931&gt;G931,M931&gt;G931),'DDF Original'!L931&lt;&gt; "MI"),G931,IF(M931&gt;J931,M931,J931))</f>
        <v/>
      </c>
    </row>
    <row r="932" spans="2:14" x14ac:dyDescent="0.2">
      <c r="B932" s="19" t="str">
        <f>IF('DDF Original'!B932="","",'DDF Original'!B932)</f>
        <v/>
      </c>
      <c r="C932" s="19" t="e">
        <f t="shared" si="98"/>
        <v>#VALUE!</v>
      </c>
      <c r="D932" s="20" t="str">
        <f>IF('DDF Original'!C932="","",'DDF Original'!C932)</f>
        <v/>
      </c>
      <c r="E932" s="24" t="str">
        <f>IF('DDF Original'!B932="","",IF(TRIM('DDF Original'!I932)="",0,'DDF Original'!I932))</f>
        <v/>
      </c>
      <c r="F932" s="20" t="str">
        <f t="shared" si="99"/>
        <v/>
      </c>
      <c r="G932" s="37" t="str">
        <f>IF('DDF Original'!B932="","",IF(TRIM('DDF Original'!P932)="",0,'DDF Original'!P932))</f>
        <v/>
      </c>
      <c r="H932" s="20" t="str">
        <f t="shared" si="100"/>
        <v/>
      </c>
      <c r="I932" s="25" t="str">
        <f t="shared" si="101"/>
        <v/>
      </c>
      <c r="J932" s="20" t="str">
        <f t="shared" si="102"/>
        <v/>
      </c>
      <c r="K932" s="20" t="str">
        <f t="shared" si="103"/>
        <v/>
      </c>
      <c r="L932" s="20" t="str">
        <f>IF(B932="","",70*'DDF Original'!$Q$4)</f>
        <v/>
      </c>
      <c r="M932" s="20" t="str">
        <f t="shared" si="104"/>
        <v/>
      </c>
      <c r="N932" s="20" t="str">
        <f>IF(AND(OR(B932="",J932&gt;G932,M932&gt;G932),'DDF Original'!L932&lt;&gt; "MI"),G932,IF(M932&gt;J932,M932,J932))</f>
        <v/>
      </c>
    </row>
    <row r="933" spans="2:14" x14ac:dyDescent="0.2">
      <c r="B933" s="19" t="str">
        <f>IF('DDF Original'!B933="","",'DDF Original'!B933)</f>
        <v/>
      </c>
      <c r="C933" s="19" t="e">
        <f t="shared" si="98"/>
        <v>#VALUE!</v>
      </c>
      <c r="D933" s="20" t="str">
        <f>IF('DDF Original'!C933="","",'DDF Original'!C933)</f>
        <v/>
      </c>
      <c r="E933" s="24" t="str">
        <f>IF('DDF Original'!B933="","",IF(TRIM('DDF Original'!I933)="",0,'DDF Original'!I933))</f>
        <v/>
      </c>
      <c r="F933" s="20" t="str">
        <f t="shared" si="99"/>
        <v/>
      </c>
      <c r="G933" s="37" t="str">
        <f>IF('DDF Original'!B933="","",IF(TRIM('DDF Original'!P933)="",0,'DDF Original'!P933))</f>
        <v/>
      </c>
      <c r="H933" s="20" t="str">
        <f t="shared" si="100"/>
        <v/>
      </c>
      <c r="I933" s="25" t="str">
        <f t="shared" si="101"/>
        <v/>
      </c>
      <c r="J933" s="20" t="str">
        <f t="shared" si="102"/>
        <v/>
      </c>
      <c r="K933" s="20" t="str">
        <f t="shared" si="103"/>
        <v/>
      </c>
      <c r="L933" s="20" t="str">
        <f>IF(B933="","",70*'DDF Original'!$Q$4)</f>
        <v/>
      </c>
      <c r="M933" s="20" t="str">
        <f t="shared" si="104"/>
        <v/>
      </c>
      <c r="N933" s="20" t="str">
        <f>IF(AND(OR(B933="",J933&gt;G933,M933&gt;G933),'DDF Original'!L933&lt;&gt; "MI"),G933,IF(M933&gt;J933,M933,J933))</f>
        <v/>
      </c>
    </row>
    <row r="934" spans="2:14" x14ac:dyDescent="0.2">
      <c r="B934" s="19" t="str">
        <f>IF('DDF Original'!B934="","",'DDF Original'!B934)</f>
        <v/>
      </c>
      <c r="C934" s="19" t="e">
        <f t="shared" si="98"/>
        <v>#VALUE!</v>
      </c>
      <c r="D934" s="20" t="str">
        <f>IF('DDF Original'!C934="","",'DDF Original'!C934)</f>
        <v/>
      </c>
      <c r="E934" s="24" t="str">
        <f>IF('DDF Original'!B934="","",IF(TRIM('DDF Original'!I934)="",0,'DDF Original'!I934))</f>
        <v/>
      </c>
      <c r="F934" s="20" t="str">
        <f t="shared" si="99"/>
        <v/>
      </c>
      <c r="G934" s="37" t="str">
        <f>IF('DDF Original'!B934="","",IF(TRIM('DDF Original'!P934)="",0,'DDF Original'!P934))</f>
        <v/>
      </c>
      <c r="H934" s="20" t="str">
        <f t="shared" si="100"/>
        <v/>
      </c>
      <c r="I934" s="25" t="str">
        <f t="shared" si="101"/>
        <v/>
      </c>
      <c r="J934" s="20" t="str">
        <f t="shared" si="102"/>
        <v/>
      </c>
      <c r="K934" s="20" t="str">
        <f t="shared" si="103"/>
        <v/>
      </c>
      <c r="L934" s="20" t="str">
        <f>IF(B934="","",70*'DDF Original'!$Q$4)</f>
        <v/>
      </c>
      <c r="M934" s="20" t="str">
        <f t="shared" si="104"/>
        <v/>
      </c>
      <c r="N934" s="20" t="str">
        <f>IF(AND(OR(B934="",J934&gt;G934,M934&gt;G934),'DDF Original'!L934&lt;&gt; "MI"),G934,IF(M934&gt;J934,M934,J934))</f>
        <v/>
      </c>
    </row>
    <row r="935" spans="2:14" x14ac:dyDescent="0.2">
      <c r="B935" s="19" t="str">
        <f>IF('DDF Original'!B935="","",'DDF Original'!B935)</f>
        <v/>
      </c>
      <c r="C935" s="19" t="e">
        <f t="shared" si="98"/>
        <v>#VALUE!</v>
      </c>
      <c r="D935" s="20" t="str">
        <f>IF('DDF Original'!C935="","",'DDF Original'!C935)</f>
        <v/>
      </c>
      <c r="E935" s="24" t="str">
        <f>IF('DDF Original'!B935="","",IF(TRIM('DDF Original'!I935)="",0,'DDF Original'!I935))</f>
        <v/>
      </c>
      <c r="F935" s="20" t="str">
        <f t="shared" si="99"/>
        <v/>
      </c>
      <c r="G935" s="37" t="str">
        <f>IF('DDF Original'!B935="","",IF(TRIM('DDF Original'!P935)="",0,'DDF Original'!P935))</f>
        <v/>
      </c>
      <c r="H935" s="20" t="str">
        <f t="shared" si="100"/>
        <v/>
      </c>
      <c r="I935" s="25" t="str">
        <f t="shared" si="101"/>
        <v/>
      </c>
      <c r="J935" s="20" t="str">
        <f t="shared" si="102"/>
        <v/>
      </c>
      <c r="K935" s="20" t="str">
        <f t="shared" si="103"/>
        <v/>
      </c>
      <c r="L935" s="20" t="str">
        <f>IF(B935="","",70*'DDF Original'!$Q$4)</f>
        <v/>
      </c>
      <c r="M935" s="20" t="str">
        <f t="shared" si="104"/>
        <v/>
      </c>
      <c r="N935" s="20" t="str">
        <f>IF(AND(OR(B935="",J935&gt;G935,M935&gt;G935),'DDF Original'!L935&lt;&gt; "MI"),G935,IF(M935&gt;J935,M935,J935))</f>
        <v/>
      </c>
    </row>
    <row r="936" spans="2:14" x14ac:dyDescent="0.2">
      <c r="B936" s="19" t="str">
        <f>IF('DDF Original'!B936="","",'DDF Original'!B936)</f>
        <v/>
      </c>
      <c r="C936" s="19" t="e">
        <f t="shared" si="98"/>
        <v>#VALUE!</v>
      </c>
      <c r="D936" s="20" t="str">
        <f>IF('DDF Original'!C936="","",'DDF Original'!C936)</f>
        <v/>
      </c>
      <c r="E936" s="24" t="str">
        <f>IF('DDF Original'!B936="","",IF(TRIM('DDF Original'!I936)="",0,'DDF Original'!I936))</f>
        <v/>
      </c>
      <c r="F936" s="20" t="str">
        <f t="shared" si="99"/>
        <v/>
      </c>
      <c r="G936" s="37" t="str">
        <f>IF('DDF Original'!B936="","",IF(TRIM('DDF Original'!P936)="",0,'DDF Original'!P936))</f>
        <v/>
      </c>
      <c r="H936" s="20" t="str">
        <f t="shared" si="100"/>
        <v/>
      </c>
      <c r="I936" s="25" t="str">
        <f t="shared" si="101"/>
        <v/>
      </c>
      <c r="J936" s="20" t="str">
        <f t="shared" si="102"/>
        <v/>
      </c>
      <c r="K936" s="20" t="str">
        <f t="shared" si="103"/>
        <v/>
      </c>
      <c r="L936" s="20" t="str">
        <f>IF(B936="","",70*'DDF Original'!$Q$4)</f>
        <v/>
      </c>
      <c r="M936" s="20" t="str">
        <f t="shared" si="104"/>
        <v/>
      </c>
      <c r="N936" s="20" t="str">
        <f>IF(AND(OR(B936="",J936&gt;G936,M936&gt;G936),'DDF Original'!L936&lt;&gt; "MI"),G936,IF(M936&gt;J936,M936,J936))</f>
        <v/>
      </c>
    </row>
    <row r="937" spans="2:14" x14ac:dyDescent="0.2">
      <c r="B937" s="19" t="str">
        <f>IF('DDF Original'!B937="","",'DDF Original'!B937)</f>
        <v/>
      </c>
      <c r="C937" s="19" t="e">
        <f t="shared" si="98"/>
        <v>#VALUE!</v>
      </c>
      <c r="D937" s="20" t="str">
        <f>IF('DDF Original'!C937="","",'DDF Original'!C937)</f>
        <v/>
      </c>
      <c r="E937" s="24" t="str">
        <f>IF('DDF Original'!B937="","",IF(TRIM('DDF Original'!I937)="",0,'DDF Original'!I937))</f>
        <v/>
      </c>
      <c r="F937" s="20" t="str">
        <f t="shared" si="99"/>
        <v/>
      </c>
      <c r="G937" s="37" t="str">
        <f>IF('DDF Original'!B937="","",IF(TRIM('DDF Original'!P937)="",0,'DDF Original'!P937))</f>
        <v/>
      </c>
      <c r="H937" s="20" t="str">
        <f t="shared" si="100"/>
        <v/>
      </c>
      <c r="I937" s="25" t="str">
        <f t="shared" si="101"/>
        <v/>
      </c>
      <c r="J937" s="20" t="str">
        <f t="shared" si="102"/>
        <v/>
      </c>
      <c r="K937" s="20" t="str">
        <f t="shared" si="103"/>
        <v/>
      </c>
      <c r="L937" s="20" t="str">
        <f>IF(B937="","",70*'DDF Original'!$Q$4)</f>
        <v/>
      </c>
      <c r="M937" s="20" t="str">
        <f t="shared" si="104"/>
        <v/>
      </c>
      <c r="N937" s="20" t="str">
        <f>IF(AND(OR(B937="",J937&gt;G937,M937&gt;G937),'DDF Original'!L937&lt;&gt; "MI"),G937,IF(M937&gt;J937,M937,J937))</f>
        <v/>
      </c>
    </row>
    <row r="938" spans="2:14" x14ac:dyDescent="0.2">
      <c r="B938" s="19" t="str">
        <f>IF('DDF Original'!B938="","",'DDF Original'!B938)</f>
        <v/>
      </c>
      <c r="C938" s="19" t="e">
        <f t="shared" si="98"/>
        <v>#VALUE!</v>
      </c>
      <c r="D938" s="20" t="str">
        <f>IF('DDF Original'!C938="","",'DDF Original'!C938)</f>
        <v/>
      </c>
      <c r="E938" s="24" t="str">
        <f>IF('DDF Original'!B938="","",IF(TRIM('DDF Original'!I938)="",0,'DDF Original'!I938))</f>
        <v/>
      </c>
      <c r="F938" s="20" t="str">
        <f t="shared" si="99"/>
        <v/>
      </c>
      <c r="G938" s="37" t="str">
        <f>IF('DDF Original'!B938="","",IF(TRIM('DDF Original'!P938)="",0,'DDF Original'!P938))</f>
        <v/>
      </c>
      <c r="H938" s="20" t="str">
        <f t="shared" si="100"/>
        <v/>
      </c>
      <c r="I938" s="25" t="str">
        <f t="shared" si="101"/>
        <v/>
      </c>
      <c r="J938" s="20" t="str">
        <f t="shared" si="102"/>
        <v/>
      </c>
      <c r="K938" s="20" t="str">
        <f t="shared" si="103"/>
        <v/>
      </c>
      <c r="L938" s="20" t="str">
        <f>IF(B938="","",70*'DDF Original'!$Q$4)</f>
        <v/>
      </c>
      <c r="M938" s="20" t="str">
        <f t="shared" si="104"/>
        <v/>
      </c>
      <c r="N938" s="20" t="str">
        <f>IF(AND(OR(B938="",J938&gt;G938,M938&gt;G938),'DDF Original'!L938&lt;&gt; "MI"),G938,IF(M938&gt;J938,M938,J938))</f>
        <v/>
      </c>
    </row>
    <row r="939" spans="2:14" x14ac:dyDescent="0.2">
      <c r="B939" s="19" t="str">
        <f>IF('DDF Original'!B939="","",'DDF Original'!B939)</f>
        <v/>
      </c>
      <c r="C939" s="19" t="e">
        <f t="shared" si="98"/>
        <v>#VALUE!</v>
      </c>
      <c r="D939" s="20" t="str">
        <f>IF('DDF Original'!C939="","",'DDF Original'!C939)</f>
        <v/>
      </c>
      <c r="E939" s="24" t="str">
        <f>IF('DDF Original'!B939="","",IF(TRIM('DDF Original'!I939)="",0,'DDF Original'!I939))</f>
        <v/>
      </c>
      <c r="F939" s="20" t="str">
        <f t="shared" si="99"/>
        <v/>
      </c>
      <c r="G939" s="37" t="str">
        <f>IF('DDF Original'!B939="","",IF(TRIM('DDF Original'!P939)="",0,'DDF Original'!P939))</f>
        <v/>
      </c>
      <c r="H939" s="20" t="str">
        <f t="shared" si="100"/>
        <v/>
      </c>
      <c r="I939" s="25" t="str">
        <f t="shared" si="101"/>
        <v/>
      </c>
      <c r="J939" s="20" t="str">
        <f t="shared" si="102"/>
        <v/>
      </c>
      <c r="K939" s="20" t="str">
        <f t="shared" si="103"/>
        <v/>
      </c>
      <c r="L939" s="20" t="str">
        <f>IF(B939="","",70*'DDF Original'!$Q$4)</f>
        <v/>
      </c>
      <c r="M939" s="20" t="str">
        <f t="shared" si="104"/>
        <v/>
      </c>
      <c r="N939" s="20" t="str">
        <f>IF(AND(OR(B939="",J939&gt;G939,M939&gt;G939),'DDF Original'!L939&lt;&gt; "MI"),G939,IF(M939&gt;J939,M939,J939))</f>
        <v/>
      </c>
    </row>
    <row r="940" spans="2:14" x14ac:dyDescent="0.2">
      <c r="B940" s="19" t="str">
        <f>IF('DDF Original'!B940="","",'DDF Original'!B940)</f>
        <v/>
      </c>
      <c r="C940" s="19" t="e">
        <f t="shared" si="98"/>
        <v>#VALUE!</v>
      </c>
      <c r="D940" s="20" t="str">
        <f>IF('DDF Original'!C940="","",'DDF Original'!C940)</f>
        <v/>
      </c>
      <c r="E940" s="24" t="str">
        <f>IF('DDF Original'!B940="","",IF(TRIM('DDF Original'!I940)="",0,'DDF Original'!I940))</f>
        <v/>
      </c>
      <c r="F940" s="20" t="str">
        <f t="shared" si="99"/>
        <v/>
      </c>
      <c r="G940" s="37" t="str">
        <f>IF('DDF Original'!B940="","",IF(TRIM('DDF Original'!P940)="",0,'DDF Original'!P940))</f>
        <v/>
      </c>
      <c r="H940" s="20" t="str">
        <f t="shared" si="100"/>
        <v/>
      </c>
      <c r="I940" s="25" t="str">
        <f t="shared" si="101"/>
        <v/>
      </c>
      <c r="J940" s="20" t="str">
        <f t="shared" si="102"/>
        <v/>
      </c>
      <c r="K940" s="20" t="str">
        <f t="shared" si="103"/>
        <v/>
      </c>
      <c r="L940" s="20" t="str">
        <f>IF(B940="","",70*'DDF Original'!$Q$4)</f>
        <v/>
      </c>
      <c r="M940" s="20" t="str">
        <f t="shared" si="104"/>
        <v/>
      </c>
      <c r="N940" s="20" t="str">
        <f>IF(AND(OR(B940="",J940&gt;G940,M940&gt;G940),'DDF Original'!L940&lt;&gt; "MI"),G940,IF(M940&gt;J940,M940,J940))</f>
        <v/>
      </c>
    </row>
    <row r="941" spans="2:14" x14ac:dyDescent="0.2">
      <c r="B941" s="19" t="str">
        <f>IF('DDF Original'!B941="","",'DDF Original'!B941)</f>
        <v/>
      </c>
      <c r="C941" s="19" t="e">
        <f t="shared" si="98"/>
        <v>#VALUE!</v>
      </c>
      <c r="D941" s="20" t="str">
        <f>IF('DDF Original'!C941="","",'DDF Original'!C941)</f>
        <v/>
      </c>
      <c r="E941" s="24" t="str">
        <f>IF('DDF Original'!B941="","",IF(TRIM('DDF Original'!I941)="",0,'DDF Original'!I941))</f>
        <v/>
      </c>
      <c r="F941" s="20" t="str">
        <f t="shared" si="99"/>
        <v/>
      </c>
      <c r="G941" s="37" t="str">
        <f>IF('DDF Original'!B941="","",IF(TRIM('DDF Original'!P941)="",0,'DDF Original'!P941))</f>
        <v/>
      </c>
      <c r="H941" s="20" t="str">
        <f t="shared" si="100"/>
        <v/>
      </c>
      <c r="I941" s="25" t="str">
        <f t="shared" si="101"/>
        <v/>
      </c>
      <c r="J941" s="20" t="str">
        <f t="shared" si="102"/>
        <v/>
      </c>
      <c r="K941" s="20" t="str">
        <f t="shared" si="103"/>
        <v/>
      </c>
      <c r="L941" s="20" t="str">
        <f>IF(B941="","",70*'DDF Original'!$Q$4)</f>
        <v/>
      </c>
      <c r="M941" s="20" t="str">
        <f t="shared" si="104"/>
        <v/>
      </c>
      <c r="N941" s="20" t="str">
        <f>IF(AND(OR(B941="",J941&gt;G941,M941&gt;G941),'DDF Original'!L941&lt;&gt; "MI"),G941,IF(M941&gt;J941,M941,J941))</f>
        <v/>
      </c>
    </row>
    <row r="942" spans="2:14" x14ac:dyDescent="0.2">
      <c r="B942" s="19" t="str">
        <f>IF('DDF Original'!B942="","",'DDF Original'!B942)</f>
        <v/>
      </c>
      <c r="C942" s="19" t="e">
        <f t="shared" si="98"/>
        <v>#VALUE!</v>
      </c>
      <c r="D942" s="20" t="str">
        <f>IF('DDF Original'!C942="","",'DDF Original'!C942)</f>
        <v/>
      </c>
      <c r="E942" s="24" t="str">
        <f>IF('DDF Original'!B942="","",IF(TRIM('DDF Original'!I942)="",0,'DDF Original'!I942))</f>
        <v/>
      </c>
      <c r="F942" s="20" t="str">
        <f t="shared" si="99"/>
        <v/>
      </c>
      <c r="G942" s="37" t="str">
        <f>IF('DDF Original'!B942="","",IF(TRIM('DDF Original'!P942)="",0,'DDF Original'!P942))</f>
        <v/>
      </c>
      <c r="H942" s="20" t="str">
        <f t="shared" si="100"/>
        <v/>
      </c>
      <c r="I942" s="25" t="str">
        <f t="shared" si="101"/>
        <v/>
      </c>
      <c r="J942" s="20" t="str">
        <f t="shared" si="102"/>
        <v/>
      </c>
      <c r="K942" s="20" t="str">
        <f t="shared" si="103"/>
        <v/>
      </c>
      <c r="L942" s="20" t="str">
        <f>IF(B942="","",70*'DDF Original'!$Q$4)</f>
        <v/>
      </c>
      <c r="M942" s="20" t="str">
        <f t="shared" si="104"/>
        <v/>
      </c>
      <c r="N942" s="20" t="str">
        <f>IF(AND(OR(B942="",J942&gt;G942,M942&gt;G942),'DDF Original'!L942&lt;&gt; "MI"),G942,IF(M942&gt;J942,M942,J942))</f>
        <v/>
      </c>
    </row>
    <row r="943" spans="2:14" x14ac:dyDescent="0.2">
      <c r="B943" s="19" t="str">
        <f>IF('DDF Original'!B943="","",'DDF Original'!B943)</f>
        <v/>
      </c>
      <c r="C943" s="19" t="e">
        <f t="shared" si="98"/>
        <v>#VALUE!</v>
      </c>
      <c r="D943" s="20" t="str">
        <f>IF('DDF Original'!C943="","",'DDF Original'!C943)</f>
        <v/>
      </c>
      <c r="E943" s="24" t="str">
        <f>IF('DDF Original'!B943="","",IF(TRIM('DDF Original'!I943)="",0,'DDF Original'!I943))</f>
        <v/>
      </c>
      <c r="F943" s="20" t="str">
        <f t="shared" si="99"/>
        <v/>
      </c>
      <c r="G943" s="37" t="str">
        <f>IF('DDF Original'!B943="","",IF(TRIM('DDF Original'!P943)="",0,'DDF Original'!P943))</f>
        <v/>
      </c>
      <c r="H943" s="20" t="str">
        <f t="shared" si="100"/>
        <v/>
      </c>
      <c r="I943" s="25" t="str">
        <f t="shared" si="101"/>
        <v/>
      </c>
      <c r="J943" s="20" t="str">
        <f t="shared" si="102"/>
        <v/>
      </c>
      <c r="K943" s="20" t="str">
        <f t="shared" si="103"/>
        <v/>
      </c>
      <c r="L943" s="20" t="str">
        <f>IF(B943="","",70*'DDF Original'!$Q$4)</f>
        <v/>
      </c>
      <c r="M943" s="20" t="str">
        <f t="shared" si="104"/>
        <v/>
      </c>
      <c r="N943" s="20" t="str">
        <f>IF(AND(OR(B943="",J943&gt;G943,M943&gt;G943),'DDF Original'!L943&lt;&gt; "MI"),G943,IF(M943&gt;J943,M943,J943))</f>
        <v/>
      </c>
    </row>
    <row r="944" spans="2:14" x14ac:dyDescent="0.2">
      <c r="B944" s="19" t="str">
        <f>IF('DDF Original'!B944="","",'DDF Original'!B944)</f>
        <v/>
      </c>
      <c r="C944" s="19" t="e">
        <f t="shared" si="98"/>
        <v>#VALUE!</v>
      </c>
      <c r="D944" s="20" t="str">
        <f>IF('DDF Original'!C944="","",'DDF Original'!C944)</f>
        <v/>
      </c>
      <c r="E944" s="24" t="str">
        <f>IF('DDF Original'!B944="","",IF(TRIM('DDF Original'!I944)="",0,'DDF Original'!I944))</f>
        <v/>
      </c>
      <c r="F944" s="20" t="str">
        <f t="shared" si="99"/>
        <v/>
      </c>
      <c r="G944" s="37" t="str">
        <f>IF('DDF Original'!B944="","",IF(TRIM('DDF Original'!P944)="",0,'DDF Original'!P944))</f>
        <v/>
      </c>
      <c r="H944" s="20" t="str">
        <f t="shared" si="100"/>
        <v/>
      </c>
      <c r="I944" s="25" t="str">
        <f t="shared" si="101"/>
        <v/>
      </c>
      <c r="J944" s="20" t="str">
        <f t="shared" si="102"/>
        <v/>
      </c>
      <c r="K944" s="20" t="str">
        <f t="shared" si="103"/>
        <v/>
      </c>
      <c r="L944" s="20" t="str">
        <f>IF(B944="","",70*'DDF Original'!$Q$4)</f>
        <v/>
      </c>
      <c r="M944" s="20" t="str">
        <f t="shared" si="104"/>
        <v/>
      </c>
      <c r="N944" s="20" t="str">
        <f>IF(AND(OR(B944="",J944&gt;G944,M944&gt;G944),'DDF Original'!L944&lt;&gt; "MI"),G944,IF(M944&gt;J944,M944,J944))</f>
        <v/>
      </c>
    </row>
    <row r="945" spans="2:14" x14ac:dyDescent="0.2">
      <c r="B945" s="19" t="str">
        <f>IF('DDF Original'!B945="","",'DDF Original'!B945)</f>
        <v/>
      </c>
      <c r="C945" s="19" t="e">
        <f t="shared" si="98"/>
        <v>#VALUE!</v>
      </c>
      <c r="D945" s="20" t="str">
        <f>IF('DDF Original'!C945="","",'DDF Original'!C945)</f>
        <v/>
      </c>
      <c r="E945" s="24" t="str">
        <f>IF('DDF Original'!B945="","",IF(TRIM('DDF Original'!I945)="",0,'DDF Original'!I945))</f>
        <v/>
      </c>
      <c r="F945" s="20" t="str">
        <f t="shared" si="99"/>
        <v/>
      </c>
      <c r="G945" s="37" t="str">
        <f>IF('DDF Original'!B945="","",IF(TRIM('DDF Original'!P945)="",0,'DDF Original'!P945))</f>
        <v/>
      </c>
      <c r="H945" s="20" t="str">
        <f t="shared" si="100"/>
        <v/>
      </c>
      <c r="I945" s="25" t="str">
        <f t="shared" si="101"/>
        <v/>
      </c>
      <c r="J945" s="20" t="str">
        <f t="shared" si="102"/>
        <v/>
      </c>
      <c r="K945" s="20" t="str">
        <f t="shared" si="103"/>
        <v/>
      </c>
      <c r="L945" s="20" t="str">
        <f>IF(B945="","",70*'DDF Original'!$Q$4)</f>
        <v/>
      </c>
      <c r="M945" s="20" t="str">
        <f t="shared" si="104"/>
        <v/>
      </c>
      <c r="N945" s="20" t="str">
        <f>IF(AND(OR(B945="",J945&gt;G945,M945&gt;G945),'DDF Original'!L945&lt;&gt; "MI"),G945,IF(M945&gt;J945,M945,J945))</f>
        <v/>
      </c>
    </row>
    <row r="946" spans="2:14" x14ac:dyDescent="0.2">
      <c r="B946" s="19" t="str">
        <f>IF('DDF Original'!B946="","",'DDF Original'!B946)</f>
        <v/>
      </c>
      <c r="C946" s="19" t="e">
        <f t="shared" si="98"/>
        <v>#VALUE!</v>
      </c>
      <c r="D946" s="20" t="str">
        <f>IF('DDF Original'!C946="","",'DDF Original'!C946)</f>
        <v/>
      </c>
      <c r="E946" s="24" t="str">
        <f>IF('DDF Original'!B946="","",IF(TRIM('DDF Original'!I946)="",0,'DDF Original'!I946))</f>
        <v/>
      </c>
      <c r="F946" s="20" t="str">
        <f t="shared" si="99"/>
        <v/>
      </c>
      <c r="G946" s="37" t="str">
        <f>IF('DDF Original'!B946="","",IF(TRIM('DDF Original'!P946)="",0,'DDF Original'!P946))</f>
        <v/>
      </c>
      <c r="H946" s="20" t="str">
        <f t="shared" si="100"/>
        <v/>
      </c>
      <c r="I946" s="25" t="str">
        <f t="shared" si="101"/>
        <v/>
      </c>
      <c r="J946" s="20" t="str">
        <f t="shared" si="102"/>
        <v/>
      </c>
      <c r="K946" s="20" t="str">
        <f t="shared" si="103"/>
        <v/>
      </c>
      <c r="L946" s="20" t="str">
        <f>IF(B946="","",70*'DDF Original'!$Q$4)</f>
        <v/>
      </c>
      <c r="M946" s="20" t="str">
        <f t="shared" si="104"/>
        <v/>
      </c>
      <c r="N946" s="20" t="str">
        <f>IF(AND(OR(B946="",J946&gt;G946,M946&gt;G946),'DDF Original'!L946&lt;&gt; "MI"),G946,IF(M946&gt;J946,M946,J946))</f>
        <v/>
      </c>
    </row>
    <row r="947" spans="2:14" x14ac:dyDescent="0.2">
      <c r="B947" s="19" t="str">
        <f>IF('DDF Original'!B947="","",'DDF Original'!B947)</f>
        <v/>
      </c>
      <c r="C947" s="19" t="e">
        <f t="shared" si="98"/>
        <v>#VALUE!</v>
      </c>
      <c r="D947" s="20" t="str">
        <f>IF('DDF Original'!C947="","",'DDF Original'!C947)</f>
        <v/>
      </c>
      <c r="E947" s="24" t="str">
        <f>IF('DDF Original'!B947="","",IF(TRIM('DDF Original'!I947)="",0,'DDF Original'!I947))</f>
        <v/>
      </c>
      <c r="F947" s="20" t="str">
        <f t="shared" si="99"/>
        <v/>
      </c>
      <c r="G947" s="37" t="str">
        <f>IF('DDF Original'!B947="","",IF(TRIM('DDF Original'!P947)="",0,'DDF Original'!P947))</f>
        <v/>
      </c>
      <c r="H947" s="20" t="str">
        <f t="shared" si="100"/>
        <v/>
      </c>
      <c r="I947" s="25" t="str">
        <f t="shared" si="101"/>
        <v/>
      </c>
      <c r="J947" s="20" t="str">
        <f t="shared" si="102"/>
        <v/>
      </c>
      <c r="K947" s="20" t="str">
        <f t="shared" si="103"/>
        <v/>
      </c>
      <c r="L947" s="20" t="str">
        <f>IF(B947="","",70*'DDF Original'!$Q$4)</f>
        <v/>
      </c>
      <c r="M947" s="20" t="str">
        <f t="shared" si="104"/>
        <v/>
      </c>
      <c r="N947" s="20" t="str">
        <f>IF(AND(OR(B947="",J947&gt;G947,M947&gt;G947),'DDF Original'!L947&lt;&gt; "MI"),G947,IF(M947&gt;J947,M947,J947))</f>
        <v/>
      </c>
    </row>
    <row r="948" spans="2:14" x14ac:dyDescent="0.2">
      <c r="B948" s="19" t="str">
        <f>IF('DDF Original'!B948="","",'DDF Original'!B948)</f>
        <v/>
      </c>
      <c r="C948" s="19" t="e">
        <f t="shared" si="98"/>
        <v>#VALUE!</v>
      </c>
      <c r="D948" s="20" t="str">
        <f>IF('DDF Original'!C948="","",'DDF Original'!C948)</f>
        <v/>
      </c>
      <c r="E948" s="24" t="str">
        <f>IF('DDF Original'!B948="","",IF(TRIM('DDF Original'!I948)="",0,'DDF Original'!I948))</f>
        <v/>
      </c>
      <c r="F948" s="20" t="str">
        <f t="shared" si="99"/>
        <v/>
      </c>
      <c r="G948" s="37" t="str">
        <f>IF('DDF Original'!B948="","",IF(TRIM('DDF Original'!P948)="",0,'DDF Original'!P948))</f>
        <v/>
      </c>
      <c r="H948" s="20" t="str">
        <f t="shared" si="100"/>
        <v/>
      </c>
      <c r="I948" s="25" t="str">
        <f t="shared" si="101"/>
        <v/>
      </c>
      <c r="J948" s="20" t="str">
        <f t="shared" si="102"/>
        <v/>
      </c>
      <c r="K948" s="20" t="str">
        <f t="shared" si="103"/>
        <v/>
      </c>
      <c r="L948" s="20" t="str">
        <f>IF(B948="","",70*'DDF Original'!$Q$4)</f>
        <v/>
      </c>
      <c r="M948" s="20" t="str">
        <f t="shared" si="104"/>
        <v/>
      </c>
      <c r="N948" s="20" t="str">
        <f>IF(AND(OR(B948="",J948&gt;G948,M948&gt;G948),'DDF Original'!L948&lt;&gt; "MI"),G948,IF(M948&gt;J948,M948,J948))</f>
        <v/>
      </c>
    </row>
    <row r="949" spans="2:14" x14ac:dyDescent="0.2">
      <c r="B949" s="19" t="str">
        <f>IF('DDF Original'!B949="","",'DDF Original'!B949)</f>
        <v/>
      </c>
      <c r="C949" s="19" t="e">
        <f t="shared" si="98"/>
        <v>#VALUE!</v>
      </c>
      <c r="D949" s="20" t="str">
        <f>IF('DDF Original'!C949="","",'DDF Original'!C949)</f>
        <v/>
      </c>
      <c r="E949" s="24" t="str">
        <f>IF('DDF Original'!B949="","",IF(TRIM('DDF Original'!I949)="",0,'DDF Original'!I949))</f>
        <v/>
      </c>
      <c r="F949" s="20" t="str">
        <f t="shared" si="99"/>
        <v/>
      </c>
      <c r="G949" s="37" t="str">
        <f>IF('DDF Original'!B949="","",IF(TRIM('DDF Original'!P949)="",0,'DDF Original'!P949))</f>
        <v/>
      </c>
      <c r="H949" s="20" t="str">
        <f t="shared" si="100"/>
        <v/>
      </c>
      <c r="I949" s="25" t="str">
        <f t="shared" si="101"/>
        <v/>
      </c>
      <c r="J949" s="20" t="str">
        <f t="shared" si="102"/>
        <v/>
      </c>
      <c r="K949" s="20" t="str">
        <f t="shared" si="103"/>
        <v/>
      </c>
      <c r="L949" s="20" t="str">
        <f>IF(B949="","",70*'DDF Original'!$Q$4)</f>
        <v/>
      </c>
      <c r="M949" s="20" t="str">
        <f t="shared" si="104"/>
        <v/>
      </c>
      <c r="N949" s="20" t="str">
        <f>IF(AND(OR(B949="",J949&gt;G949,M949&gt;G949),'DDF Original'!L949&lt;&gt; "MI"),G949,IF(M949&gt;J949,M949,J949))</f>
        <v/>
      </c>
    </row>
    <row r="950" spans="2:14" x14ac:dyDescent="0.2">
      <c r="B950" s="19" t="str">
        <f>IF('DDF Original'!B950="","",'DDF Original'!B950)</f>
        <v/>
      </c>
      <c r="C950" s="19" t="e">
        <f t="shared" si="98"/>
        <v>#VALUE!</v>
      </c>
      <c r="D950" s="20" t="str">
        <f>IF('DDF Original'!C950="","",'DDF Original'!C950)</f>
        <v/>
      </c>
      <c r="E950" s="24" t="str">
        <f>IF('DDF Original'!B950="","",IF(TRIM('DDF Original'!I950)="",0,'DDF Original'!I950))</f>
        <v/>
      </c>
      <c r="F950" s="20" t="str">
        <f t="shared" si="99"/>
        <v/>
      </c>
      <c r="G950" s="37" t="str">
        <f>IF('DDF Original'!B950="","",IF(TRIM('DDF Original'!P950)="",0,'DDF Original'!P950))</f>
        <v/>
      </c>
      <c r="H950" s="20" t="str">
        <f t="shared" si="100"/>
        <v/>
      </c>
      <c r="I950" s="25" t="str">
        <f t="shared" si="101"/>
        <v/>
      </c>
      <c r="J950" s="20" t="str">
        <f t="shared" si="102"/>
        <v/>
      </c>
      <c r="K950" s="20" t="str">
        <f t="shared" si="103"/>
        <v/>
      </c>
      <c r="L950" s="20" t="str">
        <f>IF(B950="","",70*'DDF Original'!$Q$4)</f>
        <v/>
      </c>
      <c r="M950" s="20" t="str">
        <f t="shared" si="104"/>
        <v/>
      </c>
      <c r="N950" s="20" t="str">
        <f>IF(AND(OR(B950="",J950&gt;G950,M950&gt;G950),'DDF Original'!L950&lt;&gt; "MI"),G950,IF(M950&gt;J950,M950,J950))</f>
        <v/>
      </c>
    </row>
    <row r="951" spans="2:14" x14ac:dyDescent="0.2">
      <c r="B951" s="19" t="str">
        <f>IF('DDF Original'!B951="","",'DDF Original'!B951)</f>
        <v/>
      </c>
      <c r="C951" s="19" t="e">
        <f t="shared" si="98"/>
        <v>#VALUE!</v>
      </c>
      <c r="D951" s="20" t="str">
        <f>IF('DDF Original'!C951="","",'DDF Original'!C951)</f>
        <v/>
      </c>
      <c r="E951" s="24" t="str">
        <f>IF('DDF Original'!B951="","",IF(TRIM('DDF Original'!I951)="",0,'DDF Original'!I951))</f>
        <v/>
      </c>
      <c r="F951" s="20" t="str">
        <f t="shared" si="99"/>
        <v/>
      </c>
      <c r="G951" s="37" t="str">
        <f>IF('DDF Original'!B951="","",IF(TRIM('DDF Original'!P951)="",0,'DDF Original'!P951))</f>
        <v/>
      </c>
      <c r="H951" s="20" t="str">
        <f t="shared" si="100"/>
        <v/>
      </c>
      <c r="I951" s="25" t="str">
        <f t="shared" si="101"/>
        <v/>
      </c>
      <c r="J951" s="20" t="str">
        <f t="shared" si="102"/>
        <v/>
      </c>
      <c r="K951" s="20" t="str">
        <f t="shared" si="103"/>
        <v/>
      </c>
      <c r="L951" s="20" t="str">
        <f>IF(B951="","",70*'DDF Original'!$Q$4)</f>
        <v/>
      </c>
      <c r="M951" s="20" t="str">
        <f t="shared" si="104"/>
        <v/>
      </c>
      <c r="N951" s="20" t="str">
        <f>IF(AND(OR(B951="",J951&gt;G951,M951&gt;G951),'DDF Original'!L951&lt;&gt; "MI"),G951,IF(M951&gt;J951,M951,J951))</f>
        <v/>
      </c>
    </row>
    <row r="952" spans="2:14" x14ac:dyDescent="0.2">
      <c r="B952" s="19" t="str">
        <f>IF('DDF Original'!B952="","",'DDF Original'!B952)</f>
        <v/>
      </c>
      <c r="C952" s="19" t="e">
        <f t="shared" si="98"/>
        <v>#VALUE!</v>
      </c>
      <c r="D952" s="20" t="str">
        <f>IF('DDF Original'!C952="","",'DDF Original'!C952)</f>
        <v/>
      </c>
      <c r="E952" s="24" t="str">
        <f>IF('DDF Original'!B952="","",IF(TRIM('DDF Original'!I952)="",0,'DDF Original'!I952))</f>
        <v/>
      </c>
      <c r="F952" s="20" t="str">
        <f t="shared" si="99"/>
        <v/>
      </c>
      <c r="G952" s="37" t="str">
        <f>IF('DDF Original'!B952="","",IF(TRIM('DDF Original'!P952)="",0,'DDF Original'!P952))</f>
        <v/>
      </c>
      <c r="H952" s="20" t="str">
        <f t="shared" si="100"/>
        <v/>
      </c>
      <c r="I952" s="25" t="str">
        <f t="shared" si="101"/>
        <v/>
      </c>
      <c r="J952" s="20" t="str">
        <f t="shared" si="102"/>
        <v/>
      </c>
      <c r="K952" s="20" t="str">
        <f t="shared" si="103"/>
        <v/>
      </c>
      <c r="L952" s="20" t="str">
        <f>IF(B952="","",70*'DDF Original'!$Q$4)</f>
        <v/>
      </c>
      <c r="M952" s="20" t="str">
        <f t="shared" si="104"/>
        <v/>
      </c>
      <c r="N952" s="20" t="str">
        <f>IF(AND(OR(B952="",J952&gt;G952,M952&gt;G952),'DDF Original'!L952&lt;&gt; "MI"),G952,IF(M952&gt;J952,M952,J952))</f>
        <v/>
      </c>
    </row>
    <row r="953" spans="2:14" x14ac:dyDescent="0.2">
      <c r="B953" s="19" t="str">
        <f>IF('DDF Original'!B953="","",'DDF Original'!B953)</f>
        <v/>
      </c>
      <c r="C953" s="19" t="e">
        <f t="shared" si="98"/>
        <v>#VALUE!</v>
      </c>
      <c r="D953" s="20" t="str">
        <f>IF('DDF Original'!C953="","",'DDF Original'!C953)</f>
        <v/>
      </c>
      <c r="E953" s="24" t="str">
        <f>IF('DDF Original'!B953="","",IF(TRIM('DDF Original'!I953)="",0,'DDF Original'!I953))</f>
        <v/>
      </c>
      <c r="F953" s="20" t="str">
        <f t="shared" si="99"/>
        <v/>
      </c>
      <c r="G953" s="37" t="str">
        <f>IF('DDF Original'!B953="","",IF(TRIM('DDF Original'!P953)="",0,'DDF Original'!P953))</f>
        <v/>
      </c>
      <c r="H953" s="20" t="str">
        <f t="shared" si="100"/>
        <v/>
      </c>
      <c r="I953" s="25" t="str">
        <f t="shared" si="101"/>
        <v/>
      </c>
      <c r="J953" s="20" t="str">
        <f t="shared" si="102"/>
        <v/>
      </c>
      <c r="K953" s="20" t="str">
        <f t="shared" si="103"/>
        <v/>
      </c>
      <c r="L953" s="20" t="str">
        <f>IF(B953="","",70*'DDF Original'!$Q$4)</f>
        <v/>
      </c>
      <c r="M953" s="20" t="str">
        <f t="shared" si="104"/>
        <v/>
      </c>
      <c r="N953" s="20" t="str">
        <f>IF(AND(OR(B953="",J953&gt;G953,M953&gt;G953),'DDF Original'!L953&lt;&gt; "MI"),G953,IF(M953&gt;J953,M953,J953))</f>
        <v/>
      </c>
    </row>
    <row r="954" spans="2:14" x14ac:dyDescent="0.2">
      <c r="B954" s="19" t="str">
        <f>IF('DDF Original'!B954="","",'DDF Original'!B954)</f>
        <v/>
      </c>
      <c r="C954" s="19" t="e">
        <f t="shared" si="98"/>
        <v>#VALUE!</v>
      </c>
      <c r="D954" s="20" t="str">
        <f>IF('DDF Original'!C954="","",'DDF Original'!C954)</f>
        <v/>
      </c>
      <c r="E954" s="24" t="str">
        <f>IF('DDF Original'!B954="","",IF(TRIM('DDF Original'!I954)="",0,'DDF Original'!I954))</f>
        <v/>
      </c>
      <c r="F954" s="20" t="str">
        <f t="shared" si="99"/>
        <v/>
      </c>
      <c r="G954" s="37" t="str">
        <f>IF('DDF Original'!B954="","",IF(TRIM('DDF Original'!P954)="",0,'DDF Original'!P954))</f>
        <v/>
      </c>
      <c r="H954" s="20" t="str">
        <f t="shared" si="100"/>
        <v/>
      </c>
      <c r="I954" s="25" t="str">
        <f t="shared" si="101"/>
        <v/>
      </c>
      <c r="J954" s="20" t="str">
        <f t="shared" si="102"/>
        <v/>
      </c>
      <c r="K954" s="20" t="str">
        <f t="shared" si="103"/>
        <v/>
      </c>
      <c r="L954" s="20" t="str">
        <f>IF(B954="","",70*'DDF Original'!$Q$4)</f>
        <v/>
      </c>
      <c r="M954" s="20" t="str">
        <f t="shared" si="104"/>
        <v/>
      </c>
      <c r="N954" s="20" t="str">
        <f>IF(AND(OR(B954="",J954&gt;G954,M954&gt;G954),'DDF Original'!L954&lt;&gt; "MI"),G954,IF(M954&gt;J954,M954,J954))</f>
        <v/>
      </c>
    </row>
    <row r="955" spans="2:14" x14ac:dyDescent="0.2">
      <c r="B955" s="19" t="str">
        <f>IF('DDF Original'!B955="","",'DDF Original'!B955)</f>
        <v/>
      </c>
      <c r="C955" s="19" t="e">
        <f t="shared" si="98"/>
        <v>#VALUE!</v>
      </c>
      <c r="D955" s="20" t="str">
        <f>IF('DDF Original'!C955="","",'DDF Original'!C955)</f>
        <v/>
      </c>
      <c r="E955" s="24" t="str">
        <f>IF('DDF Original'!B955="","",IF(TRIM('DDF Original'!I955)="",0,'DDF Original'!I955))</f>
        <v/>
      </c>
      <c r="F955" s="20" t="str">
        <f t="shared" si="99"/>
        <v/>
      </c>
      <c r="G955" s="37" t="str">
        <f>IF('DDF Original'!B955="","",IF(TRIM('DDF Original'!P955)="",0,'DDF Original'!P955))</f>
        <v/>
      </c>
      <c r="H955" s="20" t="str">
        <f t="shared" si="100"/>
        <v/>
      </c>
      <c r="I955" s="25" t="str">
        <f t="shared" si="101"/>
        <v/>
      </c>
      <c r="J955" s="20" t="str">
        <f t="shared" si="102"/>
        <v/>
      </c>
      <c r="K955" s="20" t="str">
        <f t="shared" si="103"/>
        <v/>
      </c>
      <c r="L955" s="20" t="str">
        <f>IF(B955="","",70*'DDF Original'!$Q$4)</f>
        <v/>
      </c>
      <c r="M955" s="20" t="str">
        <f t="shared" si="104"/>
        <v/>
      </c>
      <c r="N955" s="20" t="str">
        <f>IF(AND(OR(B955="",J955&gt;G955,M955&gt;G955),'DDF Original'!L955&lt;&gt; "MI"),G955,IF(M955&gt;J955,M955,J955))</f>
        <v/>
      </c>
    </row>
    <row r="956" spans="2:14" x14ac:dyDescent="0.2">
      <c r="B956" s="19" t="str">
        <f>IF('DDF Original'!B956="","",'DDF Original'!B956)</f>
        <v/>
      </c>
      <c r="C956" s="19" t="e">
        <f t="shared" si="98"/>
        <v>#VALUE!</v>
      </c>
      <c r="D956" s="20" t="str">
        <f>IF('DDF Original'!C956="","",'DDF Original'!C956)</f>
        <v/>
      </c>
      <c r="E956" s="24" t="str">
        <f>IF('DDF Original'!B956="","",IF(TRIM('DDF Original'!I956)="",0,'DDF Original'!I956))</f>
        <v/>
      </c>
      <c r="F956" s="20" t="str">
        <f t="shared" si="99"/>
        <v/>
      </c>
      <c r="G956" s="37" t="str">
        <f>IF('DDF Original'!B956="","",IF(TRIM('DDF Original'!P956)="",0,'DDF Original'!P956))</f>
        <v/>
      </c>
      <c r="H956" s="20" t="str">
        <f t="shared" si="100"/>
        <v/>
      </c>
      <c r="I956" s="25" t="str">
        <f t="shared" si="101"/>
        <v/>
      </c>
      <c r="J956" s="20" t="str">
        <f t="shared" si="102"/>
        <v/>
      </c>
      <c r="K956" s="20" t="str">
        <f t="shared" si="103"/>
        <v/>
      </c>
      <c r="L956" s="20" t="str">
        <f>IF(B956="","",70*'DDF Original'!$Q$4)</f>
        <v/>
      </c>
      <c r="M956" s="20" t="str">
        <f t="shared" si="104"/>
        <v/>
      </c>
      <c r="N956" s="20" t="str">
        <f>IF(AND(OR(B956="",J956&gt;G956,M956&gt;G956),'DDF Original'!L956&lt;&gt; "MI"),G956,IF(M956&gt;J956,M956,J956))</f>
        <v/>
      </c>
    </row>
    <row r="957" spans="2:14" x14ac:dyDescent="0.2">
      <c r="B957" s="19" t="str">
        <f>IF('DDF Original'!B957="","",'DDF Original'!B957)</f>
        <v/>
      </c>
      <c r="C957" s="19" t="e">
        <f t="shared" ref="C957:C1020" si="105">LEFT(B957,FIND(".",B957)-1)</f>
        <v>#VALUE!</v>
      </c>
      <c r="D957" s="20" t="str">
        <f>IF('DDF Original'!C957="","",'DDF Original'!C957)</f>
        <v/>
      </c>
      <c r="E957" s="24" t="str">
        <f>IF('DDF Original'!B957="","",IF(TRIM('DDF Original'!I957)="",0,'DDF Original'!I957))</f>
        <v/>
      </c>
      <c r="F957" s="20" t="str">
        <f t="shared" ref="F957:F1020" si="106">IF(D957="",D957,ROUND(D957*(1+E957/100),2))</f>
        <v/>
      </c>
      <c r="G957" s="37" t="str">
        <f>IF('DDF Original'!B957="","",IF(TRIM('DDF Original'!P957)="",0,'DDF Original'!P957))</f>
        <v/>
      </c>
      <c r="H957" s="20" t="str">
        <f t="shared" ref="H957:H1020" si="107">IF(OR(D957=0,D957=""),G957,F957)</f>
        <v/>
      </c>
      <c r="I957" s="25" t="str">
        <f t="shared" ref="I957:I1020" si="108">IF(B957="","",IF(OR(D957=0,D957=""),50,35))</f>
        <v/>
      </c>
      <c r="J957" s="20" t="str">
        <f t="shared" ref="J957:J1020" si="109">IF(B957="","",ROUND(H957*I957/100,2))</f>
        <v/>
      </c>
      <c r="K957" s="20" t="str">
        <f t="shared" ref="K957:K1020" si="110">IF(B957="","",SUMIFS($J$9:$J$508,$C$9:$C$508,"="&amp;C957))</f>
        <v/>
      </c>
      <c r="L957" s="20" t="str">
        <f>IF(B957="","",70*'DDF Original'!$Q$4)</f>
        <v/>
      </c>
      <c r="M957" s="20" t="str">
        <f t="shared" ref="M957:M1020" si="111">IF(B957="","",ROUND(J957/K957*L957,2))</f>
        <v/>
      </c>
      <c r="N957" s="20" t="str">
        <f>IF(AND(OR(B957="",J957&gt;G957,M957&gt;G957),'DDF Original'!L957&lt;&gt; "MI"),G957,IF(M957&gt;J957,M957,J957))</f>
        <v/>
      </c>
    </row>
    <row r="958" spans="2:14" x14ac:dyDescent="0.2">
      <c r="B958" s="19" t="str">
        <f>IF('DDF Original'!B958="","",'DDF Original'!B958)</f>
        <v/>
      </c>
      <c r="C958" s="19" t="e">
        <f t="shared" si="105"/>
        <v>#VALUE!</v>
      </c>
      <c r="D958" s="20" t="str">
        <f>IF('DDF Original'!C958="","",'DDF Original'!C958)</f>
        <v/>
      </c>
      <c r="E958" s="24" t="str">
        <f>IF('DDF Original'!B958="","",IF(TRIM('DDF Original'!I958)="",0,'DDF Original'!I958))</f>
        <v/>
      </c>
      <c r="F958" s="20" t="str">
        <f t="shared" si="106"/>
        <v/>
      </c>
      <c r="G958" s="37" t="str">
        <f>IF('DDF Original'!B958="","",IF(TRIM('DDF Original'!P958)="",0,'DDF Original'!P958))</f>
        <v/>
      </c>
      <c r="H958" s="20" t="str">
        <f t="shared" si="107"/>
        <v/>
      </c>
      <c r="I958" s="25" t="str">
        <f t="shared" si="108"/>
        <v/>
      </c>
      <c r="J958" s="20" t="str">
        <f t="shared" si="109"/>
        <v/>
      </c>
      <c r="K958" s="20" t="str">
        <f t="shared" si="110"/>
        <v/>
      </c>
      <c r="L958" s="20" t="str">
        <f>IF(B958="","",70*'DDF Original'!$Q$4)</f>
        <v/>
      </c>
      <c r="M958" s="20" t="str">
        <f t="shared" si="111"/>
        <v/>
      </c>
      <c r="N958" s="20" t="str">
        <f>IF(AND(OR(B958="",J958&gt;G958,M958&gt;G958),'DDF Original'!L958&lt;&gt; "MI"),G958,IF(M958&gt;J958,M958,J958))</f>
        <v/>
      </c>
    </row>
    <row r="959" spans="2:14" x14ac:dyDescent="0.2">
      <c r="B959" s="19" t="str">
        <f>IF('DDF Original'!B959="","",'DDF Original'!B959)</f>
        <v/>
      </c>
      <c r="C959" s="19" t="e">
        <f t="shared" si="105"/>
        <v>#VALUE!</v>
      </c>
      <c r="D959" s="20" t="str">
        <f>IF('DDF Original'!C959="","",'DDF Original'!C959)</f>
        <v/>
      </c>
      <c r="E959" s="24" t="str">
        <f>IF('DDF Original'!B959="","",IF(TRIM('DDF Original'!I959)="",0,'DDF Original'!I959))</f>
        <v/>
      </c>
      <c r="F959" s="20" t="str">
        <f t="shared" si="106"/>
        <v/>
      </c>
      <c r="G959" s="37" t="str">
        <f>IF('DDF Original'!B959="","",IF(TRIM('DDF Original'!P959)="",0,'DDF Original'!P959))</f>
        <v/>
      </c>
      <c r="H959" s="20" t="str">
        <f t="shared" si="107"/>
        <v/>
      </c>
      <c r="I959" s="25" t="str">
        <f t="shared" si="108"/>
        <v/>
      </c>
      <c r="J959" s="20" t="str">
        <f t="shared" si="109"/>
        <v/>
      </c>
      <c r="K959" s="20" t="str">
        <f t="shared" si="110"/>
        <v/>
      </c>
      <c r="L959" s="20" t="str">
        <f>IF(B959="","",70*'DDF Original'!$Q$4)</f>
        <v/>
      </c>
      <c r="M959" s="20" t="str">
        <f t="shared" si="111"/>
        <v/>
      </c>
      <c r="N959" s="20" t="str">
        <f>IF(AND(OR(B959="",J959&gt;G959,M959&gt;G959),'DDF Original'!L959&lt;&gt; "MI"),G959,IF(M959&gt;J959,M959,J959))</f>
        <v/>
      </c>
    </row>
    <row r="960" spans="2:14" x14ac:dyDescent="0.2">
      <c r="B960" s="19" t="str">
        <f>IF('DDF Original'!B960="","",'DDF Original'!B960)</f>
        <v/>
      </c>
      <c r="C960" s="19" t="e">
        <f t="shared" si="105"/>
        <v>#VALUE!</v>
      </c>
      <c r="D960" s="20" t="str">
        <f>IF('DDF Original'!C960="","",'DDF Original'!C960)</f>
        <v/>
      </c>
      <c r="E960" s="24" t="str">
        <f>IF('DDF Original'!B960="","",IF(TRIM('DDF Original'!I960)="",0,'DDF Original'!I960))</f>
        <v/>
      </c>
      <c r="F960" s="20" t="str">
        <f t="shared" si="106"/>
        <v/>
      </c>
      <c r="G960" s="37" t="str">
        <f>IF('DDF Original'!B960="","",IF(TRIM('DDF Original'!P960)="",0,'DDF Original'!P960))</f>
        <v/>
      </c>
      <c r="H960" s="20" t="str">
        <f t="shared" si="107"/>
        <v/>
      </c>
      <c r="I960" s="25" t="str">
        <f t="shared" si="108"/>
        <v/>
      </c>
      <c r="J960" s="20" t="str">
        <f t="shared" si="109"/>
        <v/>
      </c>
      <c r="K960" s="20" t="str">
        <f t="shared" si="110"/>
        <v/>
      </c>
      <c r="L960" s="20" t="str">
        <f>IF(B960="","",70*'DDF Original'!$Q$4)</f>
        <v/>
      </c>
      <c r="M960" s="20" t="str">
        <f t="shared" si="111"/>
        <v/>
      </c>
      <c r="N960" s="20" t="str">
        <f>IF(AND(OR(B960="",J960&gt;G960,M960&gt;G960),'DDF Original'!L960&lt;&gt; "MI"),G960,IF(M960&gt;J960,M960,J960))</f>
        <v/>
      </c>
    </row>
    <row r="961" spans="2:14" x14ac:dyDescent="0.2">
      <c r="B961" s="19" t="str">
        <f>IF('DDF Original'!B961="","",'DDF Original'!B961)</f>
        <v/>
      </c>
      <c r="C961" s="19" t="e">
        <f t="shared" si="105"/>
        <v>#VALUE!</v>
      </c>
      <c r="D961" s="20" t="str">
        <f>IF('DDF Original'!C961="","",'DDF Original'!C961)</f>
        <v/>
      </c>
      <c r="E961" s="24" t="str">
        <f>IF('DDF Original'!B961="","",IF(TRIM('DDF Original'!I961)="",0,'DDF Original'!I961))</f>
        <v/>
      </c>
      <c r="F961" s="20" t="str">
        <f t="shared" si="106"/>
        <v/>
      </c>
      <c r="G961" s="37" t="str">
        <f>IF('DDF Original'!B961="","",IF(TRIM('DDF Original'!P961)="",0,'DDF Original'!P961))</f>
        <v/>
      </c>
      <c r="H961" s="20" t="str">
        <f t="shared" si="107"/>
        <v/>
      </c>
      <c r="I961" s="25" t="str">
        <f t="shared" si="108"/>
        <v/>
      </c>
      <c r="J961" s="20" t="str">
        <f t="shared" si="109"/>
        <v/>
      </c>
      <c r="K961" s="20" t="str">
        <f t="shared" si="110"/>
        <v/>
      </c>
      <c r="L961" s="20" t="str">
        <f>IF(B961="","",70*'DDF Original'!$Q$4)</f>
        <v/>
      </c>
      <c r="M961" s="20" t="str">
        <f t="shared" si="111"/>
        <v/>
      </c>
      <c r="N961" s="20" t="str">
        <f>IF(AND(OR(B961="",J961&gt;G961,M961&gt;G961),'DDF Original'!L961&lt;&gt; "MI"),G961,IF(M961&gt;J961,M961,J961))</f>
        <v/>
      </c>
    </row>
    <row r="962" spans="2:14" x14ac:dyDescent="0.2">
      <c r="B962" s="19" t="str">
        <f>IF('DDF Original'!B962="","",'DDF Original'!B962)</f>
        <v/>
      </c>
      <c r="C962" s="19" t="e">
        <f t="shared" si="105"/>
        <v>#VALUE!</v>
      </c>
      <c r="D962" s="20" t="str">
        <f>IF('DDF Original'!C962="","",'DDF Original'!C962)</f>
        <v/>
      </c>
      <c r="E962" s="24" t="str">
        <f>IF('DDF Original'!B962="","",IF(TRIM('DDF Original'!I962)="",0,'DDF Original'!I962))</f>
        <v/>
      </c>
      <c r="F962" s="20" t="str">
        <f t="shared" si="106"/>
        <v/>
      </c>
      <c r="G962" s="37" t="str">
        <f>IF('DDF Original'!B962="","",IF(TRIM('DDF Original'!P962)="",0,'DDF Original'!P962))</f>
        <v/>
      </c>
      <c r="H962" s="20" t="str">
        <f t="shared" si="107"/>
        <v/>
      </c>
      <c r="I962" s="25" t="str">
        <f t="shared" si="108"/>
        <v/>
      </c>
      <c r="J962" s="20" t="str">
        <f t="shared" si="109"/>
        <v/>
      </c>
      <c r="K962" s="20" t="str">
        <f t="shared" si="110"/>
        <v/>
      </c>
      <c r="L962" s="20" t="str">
        <f>IF(B962="","",70*'DDF Original'!$Q$4)</f>
        <v/>
      </c>
      <c r="M962" s="20" t="str">
        <f t="shared" si="111"/>
        <v/>
      </c>
      <c r="N962" s="20" t="str">
        <f>IF(AND(OR(B962="",J962&gt;G962,M962&gt;G962),'DDF Original'!L962&lt;&gt; "MI"),G962,IF(M962&gt;J962,M962,J962))</f>
        <v/>
      </c>
    </row>
    <row r="963" spans="2:14" x14ac:dyDescent="0.2">
      <c r="B963" s="19" t="str">
        <f>IF('DDF Original'!B963="","",'DDF Original'!B963)</f>
        <v/>
      </c>
      <c r="C963" s="19" t="e">
        <f t="shared" si="105"/>
        <v>#VALUE!</v>
      </c>
      <c r="D963" s="20" t="str">
        <f>IF('DDF Original'!C963="","",'DDF Original'!C963)</f>
        <v/>
      </c>
      <c r="E963" s="24" t="str">
        <f>IF('DDF Original'!B963="","",IF(TRIM('DDF Original'!I963)="",0,'DDF Original'!I963))</f>
        <v/>
      </c>
      <c r="F963" s="20" t="str">
        <f t="shared" si="106"/>
        <v/>
      </c>
      <c r="G963" s="37" t="str">
        <f>IF('DDF Original'!B963="","",IF(TRIM('DDF Original'!P963)="",0,'DDF Original'!P963))</f>
        <v/>
      </c>
      <c r="H963" s="20" t="str">
        <f t="shared" si="107"/>
        <v/>
      </c>
      <c r="I963" s="25" t="str">
        <f t="shared" si="108"/>
        <v/>
      </c>
      <c r="J963" s="20" t="str">
        <f t="shared" si="109"/>
        <v/>
      </c>
      <c r="K963" s="20" t="str">
        <f t="shared" si="110"/>
        <v/>
      </c>
      <c r="L963" s="20" t="str">
        <f>IF(B963="","",70*'DDF Original'!$Q$4)</f>
        <v/>
      </c>
      <c r="M963" s="20" t="str">
        <f t="shared" si="111"/>
        <v/>
      </c>
      <c r="N963" s="20" t="str">
        <f>IF(AND(OR(B963="",J963&gt;G963,M963&gt;G963),'DDF Original'!L963&lt;&gt; "MI"),G963,IF(M963&gt;J963,M963,J963))</f>
        <v/>
      </c>
    </row>
    <row r="964" spans="2:14" x14ac:dyDescent="0.2">
      <c r="B964" s="19" t="str">
        <f>IF('DDF Original'!B964="","",'DDF Original'!B964)</f>
        <v/>
      </c>
      <c r="C964" s="19" t="e">
        <f t="shared" si="105"/>
        <v>#VALUE!</v>
      </c>
      <c r="D964" s="20" t="str">
        <f>IF('DDF Original'!C964="","",'DDF Original'!C964)</f>
        <v/>
      </c>
      <c r="E964" s="24" t="str">
        <f>IF('DDF Original'!B964="","",IF(TRIM('DDF Original'!I964)="",0,'DDF Original'!I964))</f>
        <v/>
      </c>
      <c r="F964" s="20" t="str">
        <f t="shared" si="106"/>
        <v/>
      </c>
      <c r="G964" s="37" t="str">
        <f>IF('DDF Original'!B964="","",IF(TRIM('DDF Original'!P964)="",0,'DDF Original'!P964))</f>
        <v/>
      </c>
      <c r="H964" s="20" t="str">
        <f t="shared" si="107"/>
        <v/>
      </c>
      <c r="I964" s="25" t="str">
        <f t="shared" si="108"/>
        <v/>
      </c>
      <c r="J964" s="20" t="str">
        <f t="shared" si="109"/>
        <v/>
      </c>
      <c r="K964" s="20" t="str">
        <f t="shared" si="110"/>
        <v/>
      </c>
      <c r="L964" s="20" t="str">
        <f>IF(B964="","",70*'DDF Original'!$Q$4)</f>
        <v/>
      </c>
      <c r="M964" s="20" t="str">
        <f t="shared" si="111"/>
        <v/>
      </c>
      <c r="N964" s="20" t="str">
        <f>IF(AND(OR(B964="",J964&gt;G964,M964&gt;G964),'DDF Original'!L964&lt;&gt; "MI"),G964,IF(M964&gt;J964,M964,J964))</f>
        <v/>
      </c>
    </row>
    <row r="965" spans="2:14" x14ac:dyDescent="0.2">
      <c r="B965" s="19" t="str">
        <f>IF('DDF Original'!B965="","",'DDF Original'!B965)</f>
        <v/>
      </c>
      <c r="C965" s="19" t="e">
        <f t="shared" si="105"/>
        <v>#VALUE!</v>
      </c>
      <c r="D965" s="20" t="str">
        <f>IF('DDF Original'!C965="","",'DDF Original'!C965)</f>
        <v/>
      </c>
      <c r="E965" s="24" t="str">
        <f>IF('DDF Original'!B965="","",IF(TRIM('DDF Original'!I965)="",0,'DDF Original'!I965))</f>
        <v/>
      </c>
      <c r="F965" s="20" t="str">
        <f t="shared" si="106"/>
        <v/>
      </c>
      <c r="G965" s="37" t="str">
        <f>IF('DDF Original'!B965="","",IF(TRIM('DDF Original'!P965)="",0,'DDF Original'!P965))</f>
        <v/>
      </c>
      <c r="H965" s="20" t="str">
        <f t="shared" si="107"/>
        <v/>
      </c>
      <c r="I965" s="25" t="str">
        <f t="shared" si="108"/>
        <v/>
      </c>
      <c r="J965" s="20" t="str">
        <f t="shared" si="109"/>
        <v/>
      </c>
      <c r="K965" s="20" t="str">
        <f t="shared" si="110"/>
        <v/>
      </c>
      <c r="L965" s="20" t="str">
        <f>IF(B965="","",70*'DDF Original'!$Q$4)</f>
        <v/>
      </c>
      <c r="M965" s="20" t="str">
        <f t="shared" si="111"/>
        <v/>
      </c>
      <c r="N965" s="20" t="str">
        <f>IF(AND(OR(B965="",J965&gt;G965,M965&gt;G965),'DDF Original'!L965&lt;&gt; "MI"),G965,IF(M965&gt;J965,M965,J965))</f>
        <v/>
      </c>
    </row>
    <row r="966" spans="2:14" x14ac:dyDescent="0.2">
      <c r="B966" s="19" t="str">
        <f>IF('DDF Original'!B966="","",'DDF Original'!B966)</f>
        <v/>
      </c>
      <c r="C966" s="19" t="e">
        <f t="shared" si="105"/>
        <v>#VALUE!</v>
      </c>
      <c r="D966" s="20" t="str">
        <f>IF('DDF Original'!C966="","",'DDF Original'!C966)</f>
        <v/>
      </c>
      <c r="E966" s="24" t="str">
        <f>IF('DDF Original'!B966="","",IF(TRIM('DDF Original'!I966)="",0,'DDF Original'!I966))</f>
        <v/>
      </c>
      <c r="F966" s="20" t="str">
        <f t="shared" si="106"/>
        <v/>
      </c>
      <c r="G966" s="37" t="str">
        <f>IF('DDF Original'!B966="","",IF(TRIM('DDF Original'!P966)="",0,'DDF Original'!P966))</f>
        <v/>
      </c>
      <c r="H966" s="20" t="str">
        <f t="shared" si="107"/>
        <v/>
      </c>
      <c r="I966" s="25" t="str">
        <f t="shared" si="108"/>
        <v/>
      </c>
      <c r="J966" s="20" t="str">
        <f t="shared" si="109"/>
        <v/>
      </c>
      <c r="K966" s="20" t="str">
        <f t="shared" si="110"/>
        <v/>
      </c>
      <c r="L966" s="20" t="str">
        <f>IF(B966="","",70*'DDF Original'!$Q$4)</f>
        <v/>
      </c>
      <c r="M966" s="20" t="str">
        <f t="shared" si="111"/>
        <v/>
      </c>
      <c r="N966" s="20" t="str">
        <f>IF(AND(OR(B966="",J966&gt;G966,M966&gt;G966),'DDF Original'!L966&lt;&gt; "MI"),G966,IF(M966&gt;J966,M966,J966))</f>
        <v/>
      </c>
    </row>
    <row r="967" spans="2:14" x14ac:dyDescent="0.2">
      <c r="B967" s="19" t="str">
        <f>IF('DDF Original'!B967="","",'DDF Original'!B967)</f>
        <v/>
      </c>
      <c r="C967" s="19" t="e">
        <f t="shared" si="105"/>
        <v>#VALUE!</v>
      </c>
      <c r="D967" s="20" t="str">
        <f>IF('DDF Original'!C967="","",'DDF Original'!C967)</f>
        <v/>
      </c>
      <c r="E967" s="24" t="str">
        <f>IF('DDF Original'!B967="","",IF(TRIM('DDF Original'!I967)="",0,'DDF Original'!I967))</f>
        <v/>
      </c>
      <c r="F967" s="20" t="str">
        <f t="shared" si="106"/>
        <v/>
      </c>
      <c r="G967" s="37" t="str">
        <f>IF('DDF Original'!B967="","",IF(TRIM('DDF Original'!P967)="",0,'DDF Original'!P967))</f>
        <v/>
      </c>
      <c r="H967" s="20" t="str">
        <f t="shared" si="107"/>
        <v/>
      </c>
      <c r="I967" s="25" t="str">
        <f t="shared" si="108"/>
        <v/>
      </c>
      <c r="J967" s="20" t="str">
        <f t="shared" si="109"/>
        <v/>
      </c>
      <c r="K967" s="20" t="str">
        <f t="shared" si="110"/>
        <v/>
      </c>
      <c r="L967" s="20" t="str">
        <f>IF(B967="","",70*'DDF Original'!$Q$4)</f>
        <v/>
      </c>
      <c r="M967" s="20" t="str">
        <f t="shared" si="111"/>
        <v/>
      </c>
      <c r="N967" s="20" t="str">
        <f>IF(AND(OR(B967="",J967&gt;G967,M967&gt;G967),'DDF Original'!L967&lt;&gt; "MI"),G967,IF(M967&gt;J967,M967,J967))</f>
        <v/>
      </c>
    </row>
    <row r="968" spans="2:14" x14ac:dyDescent="0.2">
      <c r="B968" s="19" t="str">
        <f>IF('DDF Original'!B968="","",'DDF Original'!B968)</f>
        <v/>
      </c>
      <c r="C968" s="19" t="e">
        <f t="shared" si="105"/>
        <v>#VALUE!</v>
      </c>
      <c r="D968" s="20" t="str">
        <f>IF('DDF Original'!C968="","",'DDF Original'!C968)</f>
        <v/>
      </c>
      <c r="E968" s="24" t="str">
        <f>IF('DDF Original'!B968="","",IF(TRIM('DDF Original'!I968)="",0,'DDF Original'!I968))</f>
        <v/>
      </c>
      <c r="F968" s="20" t="str">
        <f t="shared" si="106"/>
        <v/>
      </c>
      <c r="G968" s="37" t="str">
        <f>IF('DDF Original'!B968="","",IF(TRIM('DDF Original'!P968)="",0,'DDF Original'!P968))</f>
        <v/>
      </c>
      <c r="H968" s="20" t="str">
        <f t="shared" si="107"/>
        <v/>
      </c>
      <c r="I968" s="25" t="str">
        <f t="shared" si="108"/>
        <v/>
      </c>
      <c r="J968" s="20" t="str">
        <f t="shared" si="109"/>
        <v/>
      </c>
      <c r="K968" s="20" t="str">
        <f t="shared" si="110"/>
        <v/>
      </c>
      <c r="L968" s="20" t="str">
        <f>IF(B968="","",70*'DDF Original'!$Q$4)</f>
        <v/>
      </c>
      <c r="M968" s="20" t="str">
        <f t="shared" si="111"/>
        <v/>
      </c>
      <c r="N968" s="20" t="str">
        <f>IF(AND(OR(B968="",J968&gt;G968,M968&gt;G968),'DDF Original'!L968&lt;&gt; "MI"),G968,IF(M968&gt;J968,M968,J968))</f>
        <v/>
      </c>
    </row>
    <row r="969" spans="2:14" x14ac:dyDescent="0.2">
      <c r="B969" s="19" t="str">
        <f>IF('DDF Original'!B969="","",'DDF Original'!B969)</f>
        <v/>
      </c>
      <c r="C969" s="19" t="e">
        <f t="shared" si="105"/>
        <v>#VALUE!</v>
      </c>
      <c r="D969" s="20" t="str">
        <f>IF('DDF Original'!C969="","",'DDF Original'!C969)</f>
        <v/>
      </c>
      <c r="E969" s="24" t="str">
        <f>IF('DDF Original'!B969="","",IF(TRIM('DDF Original'!I969)="",0,'DDF Original'!I969))</f>
        <v/>
      </c>
      <c r="F969" s="20" t="str">
        <f t="shared" si="106"/>
        <v/>
      </c>
      <c r="G969" s="37" t="str">
        <f>IF('DDF Original'!B969="","",IF(TRIM('DDF Original'!P969)="",0,'DDF Original'!P969))</f>
        <v/>
      </c>
      <c r="H969" s="20" t="str">
        <f t="shared" si="107"/>
        <v/>
      </c>
      <c r="I969" s="25" t="str">
        <f t="shared" si="108"/>
        <v/>
      </c>
      <c r="J969" s="20" t="str">
        <f t="shared" si="109"/>
        <v/>
      </c>
      <c r="K969" s="20" t="str">
        <f t="shared" si="110"/>
        <v/>
      </c>
      <c r="L969" s="20" t="str">
        <f>IF(B969="","",70*'DDF Original'!$Q$4)</f>
        <v/>
      </c>
      <c r="M969" s="20" t="str">
        <f t="shared" si="111"/>
        <v/>
      </c>
      <c r="N969" s="20" t="str">
        <f>IF(AND(OR(B969="",J969&gt;G969,M969&gt;G969),'DDF Original'!L969&lt;&gt; "MI"),G969,IF(M969&gt;J969,M969,J969))</f>
        <v/>
      </c>
    </row>
    <row r="970" spans="2:14" x14ac:dyDescent="0.2">
      <c r="B970" s="19" t="str">
        <f>IF('DDF Original'!B970="","",'DDF Original'!B970)</f>
        <v/>
      </c>
      <c r="C970" s="19" t="e">
        <f t="shared" si="105"/>
        <v>#VALUE!</v>
      </c>
      <c r="D970" s="20" t="str">
        <f>IF('DDF Original'!C970="","",'DDF Original'!C970)</f>
        <v/>
      </c>
      <c r="E970" s="24" t="str">
        <f>IF('DDF Original'!B970="","",IF(TRIM('DDF Original'!I970)="",0,'DDF Original'!I970))</f>
        <v/>
      </c>
      <c r="F970" s="20" t="str">
        <f t="shared" si="106"/>
        <v/>
      </c>
      <c r="G970" s="37" t="str">
        <f>IF('DDF Original'!B970="","",IF(TRIM('DDF Original'!P970)="",0,'DDF Original'!P970))</f>
        <v/>
      </c>
      <c r="H970" s="20" t="str">
        <f t="shared" si="107"/>
        <v/>
      </c>
      <c r="I970" s="25" t="str">
        <f t="shared" si="108"/>
        <v/>
      </c>
      <c r="J970" s="20" t="str">
        <f t="shared" si="109"/>
        <v/>
      </c>
      <c r="K970" s="20" t="str">
        <f t="shared" si="110"/>
        <v/>
      </c>
      <c r="L970" s="20" t="str">
        <f>IF(B970="","",70*'DDF Original'!$Q$4)</f>
        <v/>
      </c>
      <c r="M970" s="20" t="str">
        <f t="shared" si="111"/>
        <v/>
      </c>
      <c r="N970" s="20" t="str">
        <f>IF(AND(OR(B970="",J970&gt;G970,M970&gt;G970),'DDF Original'!L970&lt;&gt; "MI"),G970,IF(M970&gt;J970,M970,J970))</f>
        <v/>
      </c>
    </row>
    <row r="971" spans="2:14" x14ac:dyDescent="0.2">
      <c r="B971" s="19" t="str">
        <f>IF('DDF Original'!B971="","",'DDF Original'!B971)</f>
        <v/>
      </c>
      <c r="C971" s="19" t="e">
        <f t="shared" si="105"/>
        <v>#VALUE!</v>
      </c>
      <c r="D971" s="20" t="str">
        <f>IF('DDF Original'!C971="","",'DDF Original'!C971)</f>
        <v/>
      </c>
      <c r="E971" s="24" t="str">
        <f>IF('DDF Original'!B971="","",IF(TRIM('DDF Original'!I971)="",0,'DDF Original'!I971))</f>
        <v/>
      </c>
      <c r="F971" s="20" t="str">
        <f t="shared" si="106"/>
        <v/>
      </c>
      <c r="G971" s="37" t="str">
        <f>IF('DDF Original'!B971="","",IF(TRIM('DDF Original'!P971)="",0,'DDF Original'!P971))</f>
        <v/>
      </c>
      <c r="H971" s="20" t="str">
        <f t="shared" si="107"/>
        <v/>
      </c>
      <c r="I971" s="25" t="str">
        <f t="shared" si="108"/>
        <v/>
      </c>
      <c r="J971" s="20" t="str">
        <f t="shared" si="109"/>
        <v/>
      </c>
      <c r="K971" s="20" t="str">
        <f t="shared" si="110"/>
        <v/>
      </c>
      <c r="L971" s="20" t="str">
        <f>IF(B971="","",70*'DDF Original'!$Q$4)</f>
        <v/>
      </c>
      <c r="M971" s="20" t="str">
        <f t="shared" si="111"/>
        <v/>
      </c>
      <c r="N971" s="20" t="str">
        <f>IF(AND(OR(B971="",J971&gt;G971,M971&gt;G971),'DDF Original'!L971&lt;&gt; "MI"),G971,IF(M971&gt;J971,M971,J971))</f>
        <v/>
      </c>
    </row>
    <row r="972" spans="2:14" x14ac:dyDescent="0.2">
      <c r="B972" s="19" t="str">
        <f>IF('DDF Original'!B972="","",'DDF Original'!B972)</f>
        <v/>
      </c>
      <c r="C972" s="19" t="e">
        <f t="shared" si="105"/>
        <v>#VALUE!</v>
      </c>
      <c r="D972" s="20" t="str">
        <f>IF('DDF Original'!C972="","",'DDF Original'!C972)</f>
        <v/>
      </c>
      <c r="E972" s="24" t="str">
        <f>IF('DDF Original'!B972="","",IF(TRIM('DDF Original'!I972)="",0,'DDF Original'!I972))</f>
        <v/>
      </c>
      <c r="F972" s="20" t="str">
        <f t="shared" si="106"/>
        <v/>
      </c>
      <c r="G972" s="37" t="str">
        <f>IF('DDF Original'!B972="","",IF(TRIM('DDF Original'!P972)="",0,'DDF Original'!P972))</f>
        <v/>
      </c>
      <c r="H972" s="20" t="str">
        <f t="shared" si="107"/>
        <v/>
      </c>
      <c r="I972" s="25" t="str">
        <f t="shared" si="108"/>
        <v/>
      </c>
      <c r="J972" s="20" t="str">
        <f t="shared" si="109"/>
        <v/>
      </c>
      <c r="K972" s="20" t="str">
        <f t="shared" si="110"/>
        <v/>
      </c>
      <c r="L972" s="20" t="str">
        <f>IF(B972="","",70*'DDF Original'!$Q$4)</f>
        <v/>
      </c>
      <c r="M972" s="20" t="str">
        <f t="shared" si="111"/>
        <v/>
      </c>
      <c r="N972" s="20" t="str">
        <f>IF(AND(OR(B972="",J972&gt;G972,M972&gt;G972),'DDF Original'!L972&lt;&gt; "MI"),G972,IF(M972&gt;J972,M972,J972))</f>
        <v/>
      </c>
    </row>
    <row r="973" spans="2:14" x14ac:dyDescent="0.2">
      <c r="B973" s="19" t="str">
        <f>IF('DDF Original'!B973="","",'DDF Original'!B973)</f>
        <v/>
      </c>
      <c r="C973" s="19" t="e">
        <f t="shared" si="105"/>
        <v>#VALUE!</v>
      </c>
      <c r="D973" s="20" t="str">
        <f>IF('DDF Original'!C973="","",'DDF Original'!C973)</f>
        <v/>
      </c>
      <c r="E973" s="24" t="str">
        <f>IF('DDF Original'!B973="","",IF(TRIM('DDF Original'!I973)="",0,'DDF Original'!I973))</f>
        <v/>
      </c>
      <c r="F973" s="20" t="str">
        <f t="shared" si="106"/>
        <v/>
      </c>
      <c r="G973" s="37" t="str">
        <f>IF('DDF Original'!B973="","",IF(TRIM('DDF Original'!P973)="",0,'DDF Original'!P973))</f>
        <v/>
      </c>
      <c r="H973" s="20" t="str">
        <f t="shared" si="107"/>
        <v/>
      </c>
      <c r="I973" s="25" t="str">
        <f t="shared" si="108"/>
        <v/>
      </c>
      <c r="J973" s="20" t="str">
        <f t="shared" si="109"/>
        <v/>
      </c>
      <c r="K973" s="20" t="str">
        <f t="shared" si="110"/>
        <v/>
      </c>
      <c r="L973" s="20" t="str">
        <f>IF(B973="","",70*'DDF Original'!$Q$4)</f>
        <v/>
      </c>
      <c r="M973" s="20" t="str">
        <f t="shared" si="111"/>
        <v/>
      </c>
      <c r="N973" s="20" t="str">
        <f>IF(AND(OR(B973="",J973&gt;G973,M973&gt;G973),'DDF Original'!L973&lt;&gt; "MI"),G973,IF(M973&gt;J973,M973,J973))</f>
        <v/>
      </c>
    </row>
    <row r="974" spans="2:14" x14ac:dyDescent="0.2">
      <c r="B974" s="19" t="str">
        <f>IF('DDF Original'!B974="","",'DDF Original'!B974)</f>
        <v/>
      </c>
      <c r="C974" s="19" t="e">
        <f t="shared" si="105"/>
        <v>#VALUE!</v>
      </c>
      <c r="D974" s="20" t="str">
        <f>IF('DDF Original'!C974="","",'DDF Original'!C974)</f>
        <v/>
      </c>
      <c r="E974" s="24" t="str">
        <f>IF('DDF Original'!B974="","",IF(TRIM('DDF Original'!I974)="",0,'DDF Original'!I974))</f>
        <v/>
      </c>
      <c r="F974" s="20" t="str">
        <f t="shared" si="106"/>
        <v/>
      </c>
      <c r="G974" s="37" t="str">
        <f>IF('DDF Original'!B974="","",IF(TRIM('DDF Original'!P974)="",0,'DDF Original'!P974))</f>
        <v/>
      </c>
      <c r="H974" s="20" t="str">
        <f t="shared" si="107"/>
        <v/>
      </c>
      <c r="I974" s="25" t="str">
        <f t="shared" si="108"/>
        <v/>
      </c>
      <c r="J974" s="20" t="str">
        <f t="shared" si="109"/>
        <v/>
      </c>
      <c r="K974" s="20" t="str">
        <f t="shared" si="110"/>
        <v/>
      </c>
      <c r="L974" s="20" t="str">
        <f>IF(B974="","",70*'DDF Original'!$Q$4)</f>
        <v/>
      </c>
      <c r="M974" s="20" t="str">
        <f t="shared" si="111"/>
        <v/>
      </c>
      <c r="N974" s="20" t="str">
        <f>IF(AND(OR(B974="",J974&gt;G974,M974&gt;G974),'DDF Original'!L974&lt;&gt; "MI"),G974,IF(M974&gt;J974,M974,J974))</f>
        <v/>
      </c>
    </row>
    <row r="975" spans="2:14" x14ac:dyDescent="0.2">
      <c r="B975" s="19" t="str">
        <f>IF('DDF Original'!B975="","",'DDF Original'!B975)</f>
        <v/>
      </c>
      <c r="C975" s="19" t="e">
        <f t="shared" si="105"/>
        <v>#VALUE!</v>
      </c>
      <c r="D975" s="20" t="str">
        <f>IF('DDF Original'!C975="","",'DDF Original'!C975)</f>
        <v/>
      </c>
      <c r="E975" s="24" t="str">
        <f>IF('DDF Original'!B975="","",IF(TRIM('DDF Original'!I975)="",0,'DDF Original'!I975))</f>
        <v/>
      </c>
      <c r="F975" s="20" t="str">
        <f t="shared" si="106"/>
        <v/>
      </c>
      <c r="G975" s="37" t="str">
        <f>IF('DDF Original'!B975="","",IF(TRIM('DDF Original'!P975)="",0,'DDF Original'!P975))</f>
        <v/>
      </c>
      <c r="H975" s="20" t="str">
        <f t="shared" si="107"/>
        <v/>
      </c>
      <c r="I975" s="25" t="str">
        <f t="shared" si="108"/>
        <v/>
      </c>
      <c r="J975" s="20" t="str">
        <f t="shared" si="109"/>
        <v/>
      </c>
      <c r="K975" s="20" t="str">
        <f t="shared" si="110"/>
        <v/>
      </c>
      <c r="L975" s="20" t="str">
        <f>IF(B975="","",70*'DDF Original'!$Q$4)</f>
        <v/>
      </c>
      <c r="M975" s="20" t="str">
        <f t="shared" si="111"/>
        <v/>
      </c>
      <c r="N975" s="20" t="str">
        <f>IF(AND(OR(B975="",J975&gt;G975,M975&gt;G975),'DDF Original'!L975&lt;&gt; "MI"),G975,IF(M975&gt;J975,M975,J975))</f>
        <v/>
      </c>
    </row>
    <row r="976" spans="2:14" x14ac:dyDescent="0.2">
      <c r="B976" s="19" t="str">
        <f>IF('DDF Original'!B976="","",'DDF Original'!B976)</f>
        <v/>
      </c>
      <c r="C976" s="19" t="e">
        <f t="shared" si="105"/>
        <v>#VALUE!</v>
      </c>
      <c r="D976" s="20" t="str">
        <f>IF('DDF Original'!C976="","",'DDF Original'!C976)</f>
        <v/>
      </c>
      <c r="E976" s="24" t="str">
        <f>IF('DDF Original'!B976="","",IF(TRIM('DDF Original'!I976)="",0,'DDF Original'!I976))</f>
        <v/>
      </c>
      <c r="F976" s="20" t="str">
        <f t="shared" si="106"/>
        <v/>
      </c>
      <c r="G976" s="37" t="str">
        <f>IF('DDF Original'!B976="","",IF(TRIM('DDF Original'!P976)="",0,'DDF Original'!P976))</f>
        <v/>
      </c>
      <c r="H976" s="20" t="str">
        <f t="shared" si="107"/>
        <v/>
      </c>
      <c r="I976" s="25" t="str">
        <f t="shared" si="108"/>
        <v/>
      </c>
      <c r="J976" s="20" t="str">
        <f t="shared" si="109"/>
        <v/>
      </c>
      <c r="K976" s="20" t="str">
        <f t="shared" si="110"/>
        <v/>
      </c>
      <c r="L976" s="20" t="str">
        <f>IF(B976="","",70*'DDF Original'!$Q$4)</f>
        <v/>
      </c>
      <c r="M976" s="20" t="str">
        <f t="shared" si="111"/>
        <v/>
      </c>
      <c r="N976" s="20" t="str">
        <f>IF(AND(OR(B976="",J976&gt;G976,M976&gt;G976),'DDF Original'!L976&lt;&gt; "MI"),G976,IF(M976&gt;J976,M976,J976))</f>
        <v/>
      </c>
    </row>
    <row r="977" spans="2:14" x14ac:dyDescent="0.2">
      <c r="B977" s="19" t="str">
        <f>IF('DDF Original'!B977="","",'DDF Original'!B977)</f>
        <v/>
      </c>
      <c r="C977" s="19" t="e">
        <f t="shared" si="105"/>
        <v>#VALUE!</v>
      </c>
      <c r="D977" s="20" t="str">
        <f>IF('DDF Original'!C977="","",'DDF Original'!C977)</f>
        <v/>
      </c>
      <c r="E977" s="24" t="str">
        <f>IF('DDF Original'!B977="","",IF(TRIM('DDF Original'!I977)="",0,'DDF Original'!I977))</f>
        <v/>
      </c>
      <c r="F977" s="20" t="str">
        <f t="shared" si="106"/>
        <v/>
      </c>
      <c r="G977" s="37" t="str">
        <f>IF('DDF Original'!B977="","",IF(TRIM('DDF Original'!P977)="",0,'DDF Original'!P977))</f>
        <v/>
      </c>
      <c r="H977" s="20" t="str">
        <f t="shared" si="107"/>
        <v/>
      </c>
      <c r="I977" s="25" t="str">
        <f t="shared" si="108"/>
        <v/>
      </c>
      <c r="J977" s="20" t="str">
        <f t="shared" si="109"/>
        <v/>
      </c>
      <c r="K977" s="20" t="str">
        <f t="shared" si="110"/>
        <v/>
      </c>
      <c r="L977" s="20" t="str">
        <f>IF(B977="","",70*'DDF Original'!$Q$4)</f>
        <v/>
      </c>
      <c r="M977" s="20" t="str">
        <f t="shared" si="111"/>
        <v/>
      </c>
      <c r="N977" s="20" t="str">
        <f>IF(AND(OR(B977="",J977&gt;G977,M977&gt;G977),'DDF Original'!L977&lt;&gt; "MI"),G977,IF(M977&gt;J977,M977,J977))</f>
        <v/>
      </c>
    </row>
    <row r="978" spans="2:14" x14ac:dyDescent="0.2">
      <c r="B978" s="19" t="str">
        <f>IF('DDF Original'!B978="","",'DDF Original'!B978)</f>
        <v/>
      </c>
      <c r="C978" s="19" t="e">
        <f t="shared" si="105"/>
        <v>#VALUE!</v>
      </c>
      <c r="D978" s="20" t="str">
        <f>IF('DDF Original'!C978="","",'DDF Original'!C978)</f>
        <v/>
      </c>
      <c r="E978" s="24" t="str">
        <f>IF('DDF Original'!B978="","",IF(TRIM('DDF Original'!I978)="",0,'DDF Original'!I978))</f>
        <v/>
      </c>
      <c r="F978" s="20" t="str">
        <f t="shared" si="106"/>
        <v/>
      </c>
      <c r="G978" s="37" t="str">
        <f>IF('DDF Original'!B978="","",IF(TRIM('DDF Original'!P978)="",0,'DDF Original'!P978))</f>
        <v/>
      </c>
      <c r="H978" s="20" t="str">
        <f t="shared" si="107"/>
        <v/>
      </c>
      <c r="I978" s="25" t="str">
        <f t="shared" si="108"/>
        <v/>
      </c>
      <c r="J978" s="20" t="str">
        <f t="shared" si="109"/>
        <v/>
      </c>
      <c r="K978" s="20" t="str">
        <f t="shared" si="110"/>
        <v/>
      </c>
      <c r="L978" s="20" t="str">
        <f>IF(B978="","",70*'DDF Original'!$Q$4)</f>
        <v/>
      </c>
      <c r="M978" s="20" t="str">
        <f t="shared" si="111"/>
        <v/>
      </c>
      <c r="N978" s="20" t="str">
        <f>IF(AND(OR(B978="",J978&gt;G978,M978&gt;G978),'DDF Original'!L978&lt;&gt; "MI"),G978,IF(M978&gt;J978,M978,J978))</f>
        <v/>
      </c>
    </row>
    <row r="979" spans="2:14" x14ac:dyDescent="0.2">
      <c r="B979" s="19" t="str">
        <f>IF('DDF Original'!B979="","",'DDF Original'!B979)</f>
        <v/>
      </c>
      <c r="C979" s="19" t="e">
        <f t="shared" si="105"/>
        <v>#VALUE!</v>
      </c>
      <c r="D979" s="20" t="str">
        <f>IF('DDF Original'!C979="","",'DDF Original'!C979)</f>
        <v/>
      </c>
      <c r="E979" s="24" t="str">
        <f>IF('DDF Original'!B979="","",IF(TRIM('DDF Original'!I979)="",0,'DDF Original'!I979))</f>
        <v/>
      </c>
      <c r="F979" s="20" t="str">
        <f t="shared" si="106"/>
        <v/>
      </c>
      <c r="G979" s="37" t="str">
        <f>IF('DDF Original'!B979="","",IF(TRIM('DDF Original'!P979)="",0,'DDF Original'!P979))</f>
        <v/>
      </c>
      <c r="H979" s="20" t="str">
        <f t="shared" si="107"/>
        <v/>
      </c>
      <c r="I979" s="25" t="str">
        <f t="shared" si="108"/>
        <v/>
      </c>
      <c r="J979" s="20" t="str">
        <f t="shared" si="109"/>
        <v/>
      </c>
      <c r="K979" s="20" t="str">
        <f t="shared" si="110"/>
        <v/>
      </c>
      <c r="L979" s="20" t="str">
        <f>IF(B979="","",70*'DDF Original'!$Q$4)</f>
        <v/>
      </c>
      <c r="M979" s="20" t="str">
        <f t="shared" si="111"/>
        <v/>
      </c>
      <c r="N979" s="20" t="str">
        <f>IF(AND(OR(B979="",J979&gt;G979,M979&gt;G979),'DDF Original'!L979&lt;&gt; "MI"),G979,IF(M979&gt;J979,M979,J979))</f>
        <v/>
      </c>
    </row>
    <row r="980" spans="2:14" x14ac:dyDescent="0.2">
      <c r="B980" s="19" t="str">
        <f>IF('DDF Original'!B980="","",'DDF Original'!B980)</f>
        <v/>
      </c>
      <c r="C980" s="19" t="e">
        <f t="shared" si="105"/>
        <v>#VALUE!</v>
      </c>
      <c r="D980" s="20" t="str">
        <f>IF('DDF Original'!C980="","",'DDF Original'!C980)</f>
        <v/>
      </c>
      <c r="E980" s="24" t="str">
        <f>IF('DDF Original'!B980="","",IF(TRIM('DDF Original'!I980)="",0,'DDF Original'!I980))</f>
        <v/>
      </c>
      <c r="F980" s="20" t="str">
        <f t="shared" si="106"/>
        <v/>
      </c>
      <c r="G980" s="37" t="str">
        <f>IF('DDF Original'!B980="","",IF(TRIM('DDF Original'!P980)="",0,'DDF Original'!P980))</f>
        <v/>
      </c>
      <c r="H980" s="20" t="str">
        <f t="shared" si="107"/>
        <v/>
      </c>
      <c r="I980" s="25" t="str">
        <f t="shared" si="108"/>
        <v/>
      </c>
      <c r="J980" s="20" t="str">
        <f t="shared" si="109"/>
        <v/>
      </c>
      <c r="K980" s="20" t="str">
        <f t="shared" si="110"/>
        <v/>
      </c>
      <c r="L980" s="20" t="str">
        <f>IF(B980="","",70*'DDF Original'!$Q$4)</f>
        <v/>
      </c>
      <c r="M980" s="20" t="str">
        <f t="shared" si="111"/>
        <v/>
      </c>
      <c r="N980" s="20" t="str">
        <f>IF(AND(OR(B980="",J980&gt;G980,M980&gt;G980),'DDF Original'!L980&lt;&gt; "MI"),G980,IF(M980&gt;J980,M980,J980))</f>
        <v/>
      </c>
    </row>
    <row r="981" spans="2:14" x14ac:dyDescent="0.2">
      <c r="B981" s="19" t="str">
        <f>IF('DDF Original'!B981="","",'DDF Original'!B981)</f>
        <v/>
      </c>
      <c r="C981" s="19" t="e">
        <f t="shared" si="105"/>
        <v>#VALUE!</v>
      </c>
      <c r="D981" s="20" t="str">
        <f>IF('DDF Original'!C981="","",'DDF Original'!C981)</f>
        <v/>
      </c>
      <c r="E981" s="24" t="str">
        <f>IF('DDF Original'!B981="","",IF(TRIM('DDF Original'!I981)="",0,'DDF Original'!I981))</f>
        <v/>
      </c>
      <c r="F981" s="20" t="str">
        <f t="shared" si="106"/>
        <v/>
      </c>
      <c r="G981" s="37" t="str">
        <f>IF('DDF Original'!B981="","",IF(TRIM('DDF Original'!P981)="",0,'DDF Original'!P981))</f>
        <v/>
      </c>
      <c r="H981" s="20" t="str">
        <f t="shared" si="107"/>
        <v/>
      </c>
      <c r="I981" s="25" t="str">
        <f t="shared" si="108"/>
        <v/>
      </c>
      <c r="J981" s="20" t="str">
        <f t="shared" si="109"/>
        <v/>
      </c>
      <c r="K981" s="20" t="str">
        <f t="shared" si="110"/>
        <v/>
      </c>
      <c r="L981" s="20" t="str">
        <f>IF(B981="","",70*'DDF Original'!$Q$4)</f>
        <v/>
      </c>
      <c r="M981" s="20" t="str">
        <f t="shared" si="111"/>
        <v/>
      </c>
      <c r="N981" s="20" t="str">
        <f>IF(AND(OR(B981="",J981&gt;G981,M981&gt;G981),'DDF Original'!L981&lt;&gt; "MI"),G981,IF(M981&gt;J981,M981,J981))</f>
        <v/>
      </c>
    </row>
    <row r="982" spans="2:14" x14ac:dyDescent="0.2">
      <c r="B982" s="19" t="str">
        <f>IF('DDF Original'!B982="","",'DDF Original'!B982)</f>
        <v/>
      </c>
      <c r="C982" s="19" t="e">
        <f t="shared" si="105"/>
        <v>#VALUE!</v>
      </c>
      <c r="D982" s="20" t="str">
        <f>IF('DDF Original'!C982="","",'DDF Original'!C982)</f>
        <v/>
      </c>
      <c r="E982" s="24" t="str">
        <f>IF('DDF Original'!B982="","",IF(TRIM('DDF Original'!I982)="",0,'DDF Original'!I982))</f>
        <v/>
      </c>
      <c r="F982" s="20" t="str">
        <f t="shared" si="106"/>
        <v/>
      </c>
      <c r="G982" s="37" t="str">
        <f>IF('DDF Original'!B982="","",IF(TRIM('DDF Original'!P982)="",0,'DDF Original'!P982))</f>
        <v/>
      </c>
      <c r="H982" s="20" t="str">
        <f t="shared" si="107"/>
        <v/>
      </c>
      <c r="I982" s="25" t="str">
        <f t="shared" si="108"/>
        <v/>
      </c>
      <c r="J982" s="20" t="str">
        <f t="shared" si="109"/>
        <v/>
      </c>
      <c r="K982" s="20" t="str">
        <f t="shared" si="110"/>
        <v/>
      </c>
      <c r="L982" s="20" t="str">
        <f>IF(B982="","",70*'DDF Original'!$Q$4)</f>
        <v/>
      </c>
      <c r="M982" s="20" t="str">
        <f t="shared" si="111"/>
        <v/>
      </c>
      <c r="N982" s="20" t="str">
        <f>IF(AND(OR(B982="",J982&gt;G982,M982&gt;G982),'DDF Original'!L982&lt;&gt; "MI"),G982,IF(M982&gt;J982,M982,J982))</f>
        <v/>
      </c>
    </row>
    <row r="983" spans="2:14" x14ac:dyDescent="0.2">
      <c r="B983" s="19" t="str">
        <f>IF('DDF Original'!B983="","",'DDF Original'!B983)</f>
        <v/>
      </c>
      <c r="C983" s="19" t="e">
        <f t="shared" si="105"/>
        <v>#VALUE!</v>
      </c>
      <c r="D983" s="20" t="str">
        <f>IF('DDF Original'!C983="","",'DDF Original'!C983)</f>
        <v/>
      </c>
      <c r="E983" s="24" t="str">
        <f>IF('DDF Original'!B983="","",IF(TRIM('DDF Original'!I983)="",0,'DDF Original'!I983))</f>
        <v/>
      </c>
      <c r="F983" s="20" t="str">
        <f t="shared" si="106"/>
        <v/>
      </c>
      <c r="G983" s="37" t="str">
        <f>IF('DDF Original'!B983="","",IF(TRIM('DDF Original'!P983)="",0,'DDF Original'!P983))</f>
        <v/>
      </c>
      <c r="H983" s="20" t="str">
        <f t="shared" si="107"/>
        <v/>
      </c>
      <c r="I983" s="25" t="str">
        <f t="shared" si="108"/>
        <v/>
      </c>
      <c r="J983" s="20" t="str">
        <f t="shared" si="109"/>
        <v/>
      </c>
      <c r="K983" s="20" t="str">
        <f t="shared" si="110"/>
        <v/>
      </c>
      <c r="L983" s="20" t="str">
        <f>IF(B983="","",70*'DDF Original'!$Q$4)</f>
        <v/>
      </c>
      <c r="M983" s="20" t="str">
        <f t="shared" si="111"/>
        <v/>
      </c>
      <c r="N983" s="20" t="str">
        <f>IF(AND(OR(B983="",J983&gt;G983,M983&gt;G983),'DDF Original'!L983&lt;&gt; "MI"),G983,IF(M983&gt;J983,M983,J983))</f>
        <v/>
      </c>
    </row>
    <row r="984" spans="2:14" x14ac:dyDescent="0.2">
      <c r="B984" s="19" t="str">
        <f>IF('DDF Original'!B984="","",'DDF Original'!B984)</f>
        <v/>
      </c>
      <c r="C984" s="19" t="e">
        <f t="shared" si="105"/>
        <v>#VALUE!</v>
      </c>
      <c r="D984" s="20" t="str">
        <f>IF('DDF Original'!C984="","",'DDF Original'!C984)</f>
        <v/>
      </c>
      <c r="E984" s="24" t="str">
        <f>IF('DDF Original'!B984="","",IF(TRIM('DDF Original'!I984)="",0,'DDF Original'!I984))</f>
        <v/>
      </c>
      <c r="F984" s="20" t="str">
        <f t="shared" si="106"/>
        <v/>
      </c>
      <c r="G984" s="37" t="str">
        <f>IF('DDF Original'!B984="","",IF(TRIM('DDF Original'!P984)="",0,'DDF Original'!P984))</f>
        <v/>
      </c>
      <c r="H984" s="20" t="str">
        <f t="shared" si="107"/>
        <v/>
      </c>
      <c r="I984" s="25" t="str">
        <f t="shared" si="108"/>
        <v/>
      </c>
      <c r="J984" s="20" t="str">
        <f t="shared" si="109"/>
        <v/>
      </c>
      <c r="K984" s="20" t="str">
        <f t="shared" si="110"/>
        <v/>
      </c>
      <c r="L984" s="20" t="str">
        <f>IF(B984="","",70*'DDF Original'!$Q$4)</f>
        <v/>
      </c>
      <c r="M984" s="20" t="str">
        <f t="shared" si="111"/>
        <v/>
      </c>
      <c r="N984" s="20" t="str">
        <f>IF(AND(OR(B984="",J984&gt;G984,M984&gt;G984),'DDF Original'!L984&lt;&gt; "MI"),G984,IF(M984&gt;J984,M984,J984))</f>
        <v/>
      </c>
    </row>
    <row r="985" spans="2:14" x14ac:dyDescent="0.2">
      <c r="B985" s="19" t="str">
        <f>IF('DDF Original'!B985="","",'DDF Original'!B985)</f>
        <v/>
      </c>
      <c r="C985" s="19" t="e">
        <f t="shared" si="105"/>
        <v>#VALUE!</v>
      </c>
      <c r="D985" s="20" t="str">
        <f>IF('DDF Original'!C985="","",'DDF Original'!C985)</f>
        <v/>
      </c>
      <c r="E985" s="24" t="str">
        <f>IF('DDF Original'!B985="","",IF(TRIM('DDF Original'!I985)="",0,'DDF Original'!I985))</f>
        <v/>
      </c>
      <c r="F985" s="20" t="str">
        <f t="shared" si="106"/>
        <v/>
      </c>
      <c r="G985" s="37" t="str">
        <f>IF('DDF Original'!B985="","",IF(TRIM('DDF Original'!P985)="",0,'DDF Original'!P985))</f>
        <v/>
      </c>
      <c r="H985" s="20" t="str">
        <f t="shared" si="107"/>
        <v/>
      </c>
      <c r="I985" s="25" t="str">
        <f t="shared" si="108"/>
        <v/>
      </c>
      <c r="J985" s="20" t="str">
        <f t="shared" si="109"/>
        <v/>
      </c>
      <c r="K985" s="20" t="str">
        <f t="shared" si="110"/>
        <v/>
      </c>
      <c r="L985" s="20" t="str">
        <f>IF(B985="","",70*'DDF Original'!$Q$4)</f>
        <v/>
      </c>
      <c r="M985" s="20" t="str">
        <f t="shared" si="111"/>
        <v/>
      </c>
      <c r="N985" s="20" t="str">
        <f>IF(AND(OR(B985="",J985&gt;G985,M985&gt;G985),'DDF Original'!L985&lt;&gt; "MI"),G985,IF(M985&gt;J985,M985,J985))</f>
        <v/>
      </c>
    </row>
    <row r="986" spans="2:14" x14ac:dyDescent="0.2">
      <c r="B986" s="19" t="str">
        <f>IF('DDF Original'!B986="","",'DDF Original'!B986)</f>
        <v/>
      </c>
      <c r="C986" s="19" t="e">
        <f t="shared" si="105"/>
        <v>#VALUE!</v>
      </c>
      <c r="D986" s="20" t="str">
        <f>IF('DDF Original'!C986="","",'DDF Original'!C986)</f>
        <v/>
      </c>
      <c r="E986" s="24" t="str">
        <f>IF('DDF Original'!B986="","",IF(TRIM('DDF Original'!I986)="",0,'DDF Original'!I986))</f>
        <v/>
      </c>
      <c r="F986" s="20" t="str">
        <f t="shared" si="106"/>
        <v/>
      </c>
      <c r="G986" s="37" t="str">
        <f>IF('DDF Original'!B986="","",IF(TRIM('DDF Original'!P986)="",0,'DDF Original'!P986))</f>
        <v/>
      </c>
      <c r="H986" s="20" t="str">
        <f t="shared" si="107"/>
        <v/>
      </c>
      <c r="I986" s="25" t="str">
        <f t="shared" si="108"/>
        <v/>
      </c>
      <c r="J986" s="20" t="str">
        <f t="shared" si="109"/>
        <v/>
      </c>
      <c r="K986" s="20" t="str">
        <f t="shared" si="110"/>
        <v/>
      </c>
      <c r="L986" s="20" t="str">
        <f>IF(B986="","",70*'DDF Original'!$Q$4)</f>
        <v/>
      </c>
      <c r="M986" s="20" t="str">
        <f t="shared" si="111"/>
        <v/>
      </c>
      <c r="N986" s="20" t="str">
        <f>IF(AND(OR(B986="",J986&gt;G986,M986&gt;G986),'DDF Original'!L986&lt;&gt; "MI"),G986,IF(M986&gt;J986,M986,J986))</f>
        <v/>
      </c>
    </row>
    <row r="987" spans="2:14" x14ac:dyDescent="0.2">
      <c r="B987" s="19" t="str">
        <f>IF('DDF Original'!B987="","",'DDF Original'!B987)</f>
        <v/>
      </c>
      <c r="C987" s="19" t="e">
        <f t="shared" si="105"/>
        <v>#VALUE!</v>
      </c>
      <c r="D987" s="20" t="str">
        <f>IF('DDF Original'!C987="","",'DDF Original'!C987)</f>
        <v/>
      </c>
      <c r="E987" s="24" t="str">
        <f>IF('DDF Original'!B987="","",IF(TRIM('DDF Original'!I987)="",0,'DDF Original'!I987))</f>
        <v/>
      </c>
      <c r="F987" s="20" t="str">
        <f t="shared" si="106"/>
        <v/>
      </c>
      <c r="G987" s="37" t="str">
        <f>IF('DDF Original'!B987="","",IF(TRIM('DDF Original'!P987)="",0,'DDF Original'!P987))</f>
        <v/>
      </c>
      <c r="H987" s="20" t="str">
        <f t="shared" si="107"/>
        <v/>
      </c>
      <c r="I987" s="25" t="str">
        <f t="shared" si="108"/>
        <v/>
      </c>
      <c r="J987" s="20" t="str">
        <f t="shared" si="109"/>
        <v/>
      </c>
      <c r="K987" s="20" t="str">
        <f t="shared" si="110"/>
        <v/>
      </c>
      <c r="L987" s="20" t="str">
        <f>IF(B987="","",70*'DDF Original'!$Q$4)</f>
        <v/>
      </c>
      <c r="M987" s="20" t="str">
        <f t="shared" si="111"/>
        <v/>
      </c>
      <c r="N987" s="20" t="str">
        <f>IF(AND(OR(B987="",J987&gt;G987,M987&gt;G987),'DDF Original'!L987&lt;&gt; "MI"),G987,IF(M987&gt;J987,M987,J987))</f>
        <v/>
      </c>
    </row>
    <row r="988" spans="2:14" x14ac:dyDescent="0.2">
      <c r="B988" s="19" t="str">
        <f>IF('DDF Original'!B988="","",'DDF Original'!B988)</f>
        <v/>
      </c>
      <c r="C988" s="19" t="e">
        <f t="shared" si="105"/>
        <v>#VALUE!</v>
      </c>
      <c r="D988" s="20" t="str">
        <f>IF('DDF Original'!C988="","",'DDF Original'!C988)</f>
        <v/>
      </c>
      <c r="E988" s="24" t="str">
        <f>IF('DDF Original'!B988="","",IF(TRIM('DDF Original'!I988)="",0,'DDF Original'!I988))</f>
        <v/>
      </c>
      <c r="F988" s="20" t="str">
        <f t="shared" si="106"/>
        <v/>
      </c>
      <c r="G988" s="37" t="str">
        <f>IF('DDF Original'!B988="","",IF(TRIM('DDF Original'!P988)="",0,'DDF Original'!P988))</f>
        <v/>
      </c>
      <c r="H988" s="20" t="str">
        <f t="shared" si="107"/>
        <v/>
      </c>
      <c r="I988" s="25" t="str">
        <f t="shared" si="108"/>
        <v/>
      </c>
      <c r="J988" s="20" t="str">
        <f t="shared" si="109"/>
        <v/>
      </c>
      <c r="K988" s="20" t="str">
        <f t="shared" si="110"/>
        <v/>
      </c>
      <c r="L988" s="20" t="str">
        <f>IF(B988="","",70*'DDF Original'!$Q$4)</f>
        <v/>
      </c>
      <c r="M988" s="20" t="str">
        <f t="shared" si="111"/>
        <v/>
      </c>
      <c r="N988" s="20" t="str">
        <f>IF(AND(OR(B988="",J988&gt;G988,M988&gt;G988),'DDF Original'!L988&lt;&gt; "MI"),G988,IF(M988&gt;J988,M988,J988))</f>
        <v/>
      </c>
    </row>
    <row r="989" spans="2:14" x14ac:dyDescent="0.2">
      <c r="B989" s="19" t="str">
        <f>IF('DDF Original'!B989="","",'DDF Original'!B989)</f>
        <v/>
      </c>
      <c r="C989" s="19" t="e">
        <f t="shared" si="105"/>
        <v>#VALUE!</v>
      </c>
      <c r="D989" s="20" t="str">
        <f>IF('DDF Original'!C989="","",'DDF Original'!C989)</f>
        <v/>
      </c>
      <c r="E989" s="24" t="str">
        <f>IF('DDF Original'!B989="","",IF(TRIM('DDF Original'!I989)="",0,'DDF Original'!I989))</f>
        <v/>
      </c>
      <c r="F989" s="20" t="str">
        <f t="shared" si="106"/>
        <v/>
      </c>
      <c r="G989" s="37" t="str">
        <f>IF('DDF Original'!B989="","",IF(TRIM('DDF Original'!P989)="",0,'DDF Original'!P989))</f>
        <v/>
      </c>
      <c r="H989" s="20" t="str">
        <f t="shared" si="107"/>
        <v/>
      </c>
      <c r="I989" s="25" t="str">
        <f t="shared" si="108"/>
        <v/>
      </c>
      <c r="J989" s="20" t="str">
        <f t="shared" si="109"/>
        <v/>
      </c>
      <c r="K989" s="20" t="str">
        <f t="shared" si="110"/>
        <v/>
      </c>
      <c r="L989" s="20" t="str">
        <f>IF(B989="","",70*'DDF Original'!$Q$4)</f>
        <v/>
      </c>
      <c r="M989" s="20" t="str">
        <f t="shared" si="111"/>
        <v/>
      </c>
      <c r="N989" s="20" t="str">
        <f>IF(AND(OR(B989="",J989&gt;G989,M989&gt;G989),'DDF Original'!L989&lt;&gt; "MI"),G989,IF(M989&gt;J989,M989,J989))</f>
        <v/>
      </c>
    </row>
    <row r="990" spans="2:14" x14ac:dyDescent="0.2">
      <c r="B990" s="19" t="str">
        <f>IF('DDF Original'!B990="","",'DDF Original'!B990)</f>
        <v/>
      </c>
      <c r="C990" s="19" t="e">
        <f t="shared" si="105"/>
        <v>#VALUE!</v>
      </c>
      <c r="D990" s="20" t="str">
        <f>IF('DDF Original'!C990="","",'DDF Original'!C990)</f>
        <v/>
      </c>
      <c r="E990" s="24" t="str">
        <f>IF('DDF Original'!B990="","",IF(TRIM('DDF Original'!I990)="",0,'DDF Original'!I990))</f>
        <v/>
      </c>
      <c r="F990" s="20" t="str">
        <f t="shared" si="106"/>
        <v/>
      </c>
      <c r="G990" s="37" t="str">
        <f>IF('DDF Original'!B990="","",IF(TRIM('DDF Original'!P990)="",0,'DDF Original'!P990))</f>
        <v/>
      </c>
      <c r="H990" s="20" t="str">
        <f t="shared" si="107"/>
        <v/>
      </c>
      <c r="I990" s="25" t="str">
        <f t="shared" si="108"/>
        <v/>
      </c>
      <c r="J990" s="20" t="str">
        <f t="shared" si="109"/>
        <v/>
      </c>
      <c r="K990" s="20" t="str">
        <f t="shared" si="110"/>
        <v/>
      </c>
      <c r="L990" s="20" t="str">
        <f>IF(B990="","",70*'DDF Original'!$Q$4)</f>
        <v/>
      </c>
      <c r="M990" s="20" t="str">
        <f t="shared" si="111"/>
        <v/>
      </c>
      <c r="N990" s="20" t="str">
        <f>IF(AND(OR(B990="",J990&gt;G990,M990&gt;G990),'DDF Original'!L990&lt;&gt; "MI"),G990,IF(M990&gt;J990,M990,J990))</f>
        <v/>
      </c>
    </row>
    <row r="991" spans="2:14" x14ac:dyDescent="0.2">
      <c r="B991" s="19" t="str">
        <f>IF('DDF Original'!B991="","",'DDF Original'!B991)</f>
        <v/>
      </c>
      <c r="C991" s="19" t="e">
        <f t="shared" si="105"/>
        <v>#VALUE!</v>
      </c>
      <c r="D991" s="20" t="str">
        <f>IF('DDF Original'!C991="","",'DDF Original'!C991)</f>
        <v/>
      </c>
      <c r="E991" s="24" t="str">
        <f>IF('DDF Original'!B991="","",IF(TRIM('DDF Original'!I991)="",0,'DDF Original'!I991))</f>
        <v/>
      </c>
      <c r="F991" s="20" t="str">
        <f t="shared" si="106"/>
        <v/>
      </c>
      <c r="G991" s="37" t="str">
        <f>IF('DDF Original'!B991="","",IF(TRIM('DDF Original'!P991)="",0,'DDF Original'!P991))</f>
        <v/>
      </c>
      <c r="H991" s="20" t="str">
        <f t="shared" si="107"/>
        <v/>
      </c>
      <c r="I991" s="25" t="str">
        <f t="shared" si="108"/>
        <v/>
      </c>
      <c r="J991" s="20" t="str">
        <f t="shared" si="109"/>
        <v/>
      </c>
      <c r="K991" s="20" t="str">
        <f t="shared" si="110"/>
        <v/>
      </c>
      <c r="L991" s="20" t="str">
        <f>IF(B991="","",70*'DDF Original'!$Q$4)</f>
        <v/>
      </c>
      <c r="M991" s="20" t="str">
        <f t="shared" si="111"/>
        <v/>
      </c>
      <c r="N991" s="20" t="str">
        <f>IF(AND(OR(B991="",J991&gt;G991,M991&gt;G991),'DDF Original'!L991&lt;&gt; "MI"),G991,IF(M991&gt;J991,M991,J991))</f>
        <v/>
      </c>
    </row>
    <row r="992" spans="2:14" x14ac:dyDescent="0.2">
      <c r="B992" s="19" t="str">
        <f>IF('DDF Original'!B992="","",'DDF Original'!B992)</f>
        <v/>
      </c>
      <c r="C992" s="19" t="e">
        <f t="shared" si="105"/>
        <v>#VALUE!</v>
      </c>
      <c r="D992" s="20" t="str">
        <f>IF('DDF Original'!C992="","",'DDF Original'!C992)</f>
        <v/>
      </c>
      <c r="E992" s="24" t="str">
        <f>IF('DDF Original'!B992="","",IF(TRIM('DDF Original'!I992)="",0,'DDF Original'!I992))</f>
        <v/>
      </c>
      <c r="F992" s="20" t="str">
        <f t="shared" si="106"/>
        <v/>
      </c>
      <c r="G992" s="37" t="str">
        <f>IF('DDF Original'!B992="","",IF(TRIM('DDF Original'!P992)="",0,'DDF Original'!P992))</f>
        <v/>
      </c>
      <c r="H992" s="20" t="str">
        <f t="shared" si="107"/>
        <v/>
      </c>
      <c r="I992" s="25" t="str">
        <f t="shared" si="108"/>
        <v/>
      </c>
      <c r="J992" s="20" t="str">
        <f t="shared" si="109"/>
        <v/>
      </c>
      <c r="K992" s="20" t="str">
        <f t="shared" si="110"/>
        <v/>
      </c>
      <c r="L992" s="20" t="str">
        <f>IF(B992="","",70*'DDF Original'!$Q$4)</f>
        <v/>
      </c>
      <c r="M992" s="20" t="str">
        <f t="shared" si="111"/>
        <v/>
      </c>
      <c r="N992" s="20" t="str">
        <f>IF(AND(OR(B992="",J992&gt;G992,M992&gt;G992),'DDF Original'!L992&lt;&gt; "MI"),G992,IF(M992&gt;J992,M992,J992))</f>
        <v/>
      </c>
    </row>
    <row r="993" spans="2:14" x14ac:dyDescent="0.2">
      <c r="B993" s="19" t="str">
        <f>IF('DDF Original'!B993="","",'DDF Original'!B993)</f>
        <v/>
      </c>
      <c r="C993" s="19" t="e">
        <f t="shared" si="105"/>
        <v>#VALUE!</v>
      </c>
      <c r="D993" s="20" t="str">
        <f>IF('DDF Original'!C993="","",'DDF Original'!C993)</f>
        <v/>
      </c>
      <c r="E993" s="24" t="str">
        <f>IF('DDF Original'!B993="","",IF(TRIM('DDF Original'!I993)="",0,'DDF Original'!I993))</f>
        <v/>
      </c>
      <c r="F993" s="20" t="str">
        <f t="shared" si="106"/>
        <v/>
      </c>
      <c r="G993" s="37" t="str">
        <f>IF('DDF Original'!B993="","",IF(TRIM('DDF Original'!P993)="",0,'DDF Original'!P993))</f>
        <v/>
      </c>
      <c r="H993" s="20" t="str">
        <f t="shared" si="107"/>
        <v/>
      </c>
      <c r="I993" s="25" t="str">
        <f t="shared" si="108"/>
        <v/>
      </c>
      <c r="J993" s="20" t="str">
        <f t="shared" si="109"/>
        <v/>
      </c>
      <c r="K993" s="20" t="str">
        <f t="shared" si="110"/>
        <v/>
      </c>
      <c r="L993" s="20" t="str">
        <f>IF(B993="","",70*'DDF Original'!$Q$4)</f>
        <v/>
      </c>
      <c r="M993" s="20" t="str">
        <f t="shared" si="111"/>
        <v/>
      </c>
      <c r="N993" s="20" t="str">
        <f>IF(AND(OR(B993="",J993&gt;G993,M993&gt;G993),'DDF Original'!L993&lt;&gt; "MI"),G993,IF(M993&gt;J993,M993,J993))</f>
        <v/>
      </c>
    </row>
    <row r="994" spans="2:14" x14ac:dyDescent="0.2">
      <c r="B994" s="19" t="str">
        <f>IF('DDF Original'!B994="","",'DDF Original'!B994)</f>
        <v/>
      </c>
      <c r="C994" s="19" t="e">
        <f t="shared" si="105"/>
        <v>#VALUE!</v>
      </c>
      <c r="D994" s="20" t="str">
        <f>IF('DDF Original'!C994="","",'DDF Original'!C994)</f>
        <v/>
      </c>
      <c r="E994" s="24" t="str">
        <f>IF('DDF Original'!B994="","",IF(TRIM('DDF Original'!I994)="",0,'DDF Original'!I994))</f>
        <v/>
      </c>
      <c r="F994" s="20" t="str">
        <f t="shared" si="106"/>
        <v/>
      </c>
      <c r="G994" s="37" t="str">
        <f>IF('DDF Original'!B994="","",IF(TRIM('DDF Original'!P994)="",0,'DDF Original'!P994))</f>
        <v/>
      </c>
      <c r="H994" s="20" t="str">
        <f t="shared" si="107"/>
        <v/>
      </c>
      <c r="I994" s="25" t="str">
        <f t="shared" si="108"/>
        <v/>
      </c>
      <c r="J994" s="20" t="str">
        <f t="shared" si="109"/>
        <v/>
      </c>
      <c r="K994" s="20" t="str">
        <f t="shared" si="110"/>
        <v/>
      </c>
      <c r="L994" s="20" t="str">
        <f>IF(B994="","",70*'DDF Original'!$Q$4)</f>
        <v/>
      </c>
      <c r="M994" s="20" t="str">
        <f t="shared" si="111"/>
        <v/>
      </c>
      <c r="N994" s="20" t="str">
        <f>IF(AND(OR(B994="",J994&gt;G994,M994&gt;G994),'DDF Original'!L994&lt;&gt; "MI"),G994,IF(M994&gt;J994,M994,J994))</f>
        <v/>
      </c>
    </row>
    <row r="995" spans="2:14" x14ac:dyDescent="0.2">
      <c r="B995" s="19" t="str">
        <f>IF('DDF Original'!B995="","",'DDF Original'!B995)</f>
        <v/>
      </c>
      <c r="C995" s="19" t="e">
        <f t="shared" si="105"/>
        <v>#VALUE!</v>
      </c>
      <c r="D995" s="20" t="str">
        <f>IF('DDF Original'!C995="","",'DDF Original'!C995)</f>
        <v/>
      </c>
      <c r="E995" s="24" t="str">
        <f>IF('DDF Original'!B995="","",IF(TRIM('DDF Original'!I995)="",0,'DDF Original'!I995))</f>
        <v/>
      </c>
      <c r="F995" s="20" t="str">
        <f t="shared" si="106"/>
        <v/>
      </c>
      <c r="G995" s="37" t="str">
        <f>IF('DDF Original'!B995="","",IF(TRIM('DDF Original'!P995)="",0,'DDF Original'!P995))</f>
        <v/>
      </c>
      <c r="H995" s="20" t="str">
        <f t="shared" si="107"/>
        <v/>
      </c>
      <c r="I995" s="25" t="str">
        <f t="shared" si="108"/>
        <v/>
      </c>
      <c r="J995" s="20" t="str">
        <f t="shared" si="109"/>
        <v/>
      </c>
      <c r="K995" s="20" t="str">
        <f t="shared" si="110"/>
        <v/>
      </c>
      <c r="L995" s="20" t="str">
        <f>IF(B995="","",70*'DDF Original'!$Q$4)</f>
        <v/>
      </c>
      <c r="M995" s="20" t="str">
        <f t="shared" si="111"/>
        <v/>
      </c>
      <c r="N995" s="20" t="str">
        <f>IF(AND(OR(B995="",J995&gt;G995,M995&gt;G995),'DDF Original'!L995&lt;&gt; "MI"),G995,IF(M995&gt;J995,M995,J995))</f>
        <v/>
      </c>
    </row>
    <row r="996" spans="2:14" x14ac:dyDescent="0.2">
      <c r="B996" s="19" t="str">
        <f>IF('DDF Original'!B996="","",'DDF Original'!B996)</f>
        <v/>
      </c>
      <c r="C996" s="19" t="e">
        <f t="shared" si="105"/>
        <v>#VALUE!</v>
      </c>
      <c r="D996" s="20" t="str">
        <f>IF('DDF Original'!C996="","",'DDF Original'!C996)</f>
        <v/>
      </c>
      <c r="E996" s="24" t="str">
        <f>IF('DDF Original'!B996="","",IF(TRIM('DDF Original'!I996)="",0,'DDF Original'!I996))</f>
        <v/>
      </c>
      <c r="F996" s="20" t="str">
        <f t="shared" si="106"/>
        <v/>
      </c>
      <c r="G996" s="37" t="str">
        <f>IF('DDF Original'!B996="","",IF(TRIM('DDF Original'!P996)="",0,'DDF Original'!P996))</f>
        <v/>
      </c>
      <c r="H996" s="20" t="str">
        <f t="shared" si="107"/>
        <v/>
      </c>
      <c r="I996" s="25" t="str">
        <f t="shared" si="108"/>
        <v/>
      </c>
      <c r="J996" s="20" t="str">
        <f t="shared" si="109"/>
        <v/>
      </c>
      <c r="K996" s="20" t="str">
        <f t="shared" si="110"/>
        <v/>
      </c>
      <c r="L996" s="20" t="str">
        <f>IF(B996="","",70*'DDF Original'!$Q$4)</f>
        <v/>
      </c>
      <c r="M996" s="20" t="str">
        <f t="shared" si="111"/>
        <v/>
      </c>
      <c r="N996" s="20" t="str">
        <f>IF(AND(OR(B996="",J996&gt;G996,M996&gt;G996),'DDF Original'!L996&lt;&gt; "MI"),G996,IF(M996&gt;J996,M996,J996))</f>
        <v/>
      </c>
    </row>
    <row r="997" spans="2:14" x14ac:dyDescent="0.2">
      <c r="B997" s="19" t="str">
        <f>IF('DDF Original'!B997="","",'DDF Original'!B997)</f>
        <v/>
      </c>
      <c r="C997" s="19" t="e">
        <f t="shared" si="105"/>
        <v>#VALUE!</v>
      </c>
      <c r="D997" s="20" t="str">
        <f>IF('DDF Original'!C997="","",'DDF Original'!C997)</f>
        <v/>
      </c>
      <c r="E997" s="24" t="str">
        <f>IF('DDF Original'!B997="","",IF(TRIM('DDF Original'!I997)="",0,'DDF Original'!I997))</f>
        <v/>
      </c>
      <c r="F997" s="20" t="str">
        <f t="shared" si="106"/>
        <v/>
      </c>
      <c r="G997" s="37" t="str">
        <f>IF('DDF Original'!B997="","",IF(TRIM('DDF Original'!P997)="",0,'DDF Original'!P997))</f>
        <v/>
      </c>
      <c r="H997" s="20" t="str">
        <f t="shared" si="107"/>
        <v/>
      </c>
      <c r="I997" s="25" t="str">
        <f t="shared" si="108"/>
        <v/>
      </c>
      <c r="J997" s="20" t="str">
        <f t="shared" si="109"/>
        <v/>
      </c>
      <c r="K997" s="20" t="str">
        <f t="shared" si="110"/>
        <v/>
      </c>
      <c r="L997" s="20" t="str">
        <f>IF(B997="","",70*'DDF Original'!$Q$4)</f>
        <v/>
      </c>
      <c r="M997" s="20" t="str">
        <f t="shared" si="111"/>
        <v/>
      </c>
      <c r="N997" s="20" t="str">
        <f>IF(AND(OR(B997="",J997&gt;G997,M997&gt;G997),'DDF Original'!L997&lt;&gt; "MI"),G997,IF(M997&gt;J997,M997,J997))</f>
        <v/>
      </c>
    </row>
    <row r="998" spans="2:14" x14ac:dyDescent="0.2">
      <c r="B998" s="19" t="str">
        <f>IF('DDF Original'!B998="","",'DDF Original'!B998)</f>
        <v/>
      </c>
      <c r="C998" s="19" t="e">
        <f t="shared" si="105"/>
        <v>#VALUE!</v>
      </c>
      <c r="D998" s="20" t="str">
        <f>IF('DDF Original'!C998="","",'DDF Original'!C998)</f>
        <v/>
      </c>
      <c r="E998" s="24" t="str">
        <f>IF('DDF Original'!B998="","",IF(TRIM('DDF Original'!I998)="",0,'DDF Original'!I998))</f>
        <v/>
      </c>
      <c r="F998" s="20" t="str">
        <f t="shared" si="106"/>
        <v/>
      </c>
      <c r="G998" s="37" t="str">
        <f>IF('DDF Original'!B998="","",IF(TRIM('DDF Original'!P998)="",0,'DDF Original'!P998))</f>
        <v/>
      </c>
      <c r="H998" s="20" t="str">
        <f t="shared" si="107"/>
        <v/>
      </c>
      <c r="I998" s="25" t="str">
        <f t="shared" si="108"/>
        <v/>
      </c>
      <c r="J998" s="20" t="str">
        <f t="shared" si="109"/>
        <v/>
      </c>
      <c r="K998" s="20" t="str">
        <f t="shared" si="110"/>
        <v/>
      </c>
      <c r="L998" s="20" t="str">
        <f>IF(B998="","",70*'DDF Original'!$Q$4)</f>
        <v/>
      </c>
      <c r="M998" s="20" t="str">
        <f t="shared" si="111"/>
        <v/>
      </c>
      <c r="N998" s="20" t="str">
        <f>IF(AND(OR(B998="",J998&gt;G998,M998&gt;G998),'DDF Original'!L998&lt;&gt; "MI"),G998,IF(M998&gt;J998,M998,J998))</f>
        <v/>
      </c>
    </row>
    <row r="999" spans="2:14" x14ac:dyDescent="0.2">
      <c r="B999" s="19" t="str">
        <f>IF('DDF Original'!B999="","",'DDF Original'!B999)</f>
        <v/>
      </c>
      <c r="C999" s="19" t="e">
        <f t="shared" si="105"/>
        <v>#VALUE!</v>
      </c>
      <c r="D999" s="20" t="str">
        <f>IF('DDF Original'!C999="","",'DDF Original'!C999)</f>
        <v/>
      </c>
      <c r="E999" s="24" t="str">
        <f>IF('DDF Original'!B999="","",IF(TRIM('DDF Original'!I999)="",0,'DDF Original'!I999))</f>
        <v/>
      </c>
      <c r="F999" s="20" t="str">
        <f t="shared" si="106"/>
        <v/>
      </c>
      <c r="G999" s="37" t="str">
        <f>IF('DDF Original'!B999="","",IF(TRIM('DDF Original'!P999)="",0,'DDF Original'!P999))</f>
        <v/>
      </c>
      <c r="H999" s="20" t="str">
        <f t="shared" si="107"/>
        <v/>
      </c>
      <c r="I999" s="25" t="str">
        <f t="shared" si="108"/>
        <v/>
      </c>
      <c r="J999" s="20" t="str">
        <f t="shared" si="109"/>
        <v/>
      </c>
      <c r="K999" s="20" t="str">
        <f t="shared" si="110"/>
        <v/>
      </c>
      <c r="L999" s="20" t="str">
        <f>IF(B999="","",70*'DDF Original'!$Q$4)</f>
        <v/>
      </c>
      <c r="M999" s="20" t="str">
        <f t="shared" si="111"/>
        <v/>
      </c>
      <c r="N999" s="20" t="str">
        <f>IF(AND(OR(B999="",J999&gt;G999,M999&gt;G999),'DDF Original'!L999&lt;&gt; "MI"),G999,IF(M999&gt;J999,M999,J999))</f>
        <v/>
      </c>
    </row>
    <row r="1000" spans="2:14" x14ac:dyDescent="0.2">
      <c r="B1000" s="19" t="str">
        <f>IF('DDF Original'!B1000="","",'DDF Original'!B1000)</f>
        <v/>
      </c>
      <c r="C1000" s="19" t="e">
        <f t="shared" si="105"/>
        <v>#VALUE!</v>
      </c>
      <c r="D1000" s="20" t="str">
        <f>IF('DDF Original'!C1000="","",'DDF Original'!C1000)</f>
        <v/>
      </c>
      <c r="E1000" s="24" t="str">
        <f>IF('DDF Original'!B1000="","",IF(TRIM('DDF Original'!I1000)="",0,'DDF Original'!I1000))</f>
        <v/>
      </c>
      <c r="F1000" s="20" t="str">
        <f t="shared" si="106"/>
        <v/>
      </c>
      <c r="G1000" s="37" t="str">
        <f>IF('DDF Original'!B1000="","",IF(TRIM('DDF Original'!P1000)="",0,'DDF Original'!P1000))</f>
        <v/>
      </c>
      <c r="H1000" s="20" t="str">
        <f t="shared" si="107"/>
        <v/>
      </c>
      <c r="I1000" s="25" t="str">
        <f t="shared" si="108"/>
        <v/>
      </c>
      <c r="J1000" s="20" t="str">
        <f t="shared" si="109"/>
        <v/>
      </c>
      <c r="K1000" s="20" t="str">
        <f t="shared" si="110"/>
        <v/>
      </c>
      <c r="L1000" s="20" t="str">
        <f>IF(B1000="","",70*'DDF Original'!$Q$4)</f>
        <v/>
      </c>
      <c r="M1000" s="20" t="str">
        <f t="shared" si="111"/>
        <v/>
      </c>
      <c r="N1000" s="20" t="str">
        <f>IF(AND(OR(B1000="",J1000&gt;G1000,M1000&gt;G1000),'DDF Original'!L1000&lt;&gt; "MI"),G1000,IF(M1000&gt;J1000,M1000,J1000))</f>
        <v/>
      </c>
    </row>
    <row r="1001" spans="2:14" x14ac:dyDescent="0.2">
      <c r="B1001" s="19" t="str">
        <f>IF('DDF Original'!B1001="","",'DDF Original'!B1001)</f>
        <v/>
      </c>
      <c r="C1001" s="19" t="e">
        <f t="shared" si="105"/>
        <v>#VALUE!</v>
      </c>
      <c r="D1001" s="20" t="str">
        <f>IF('DDF Original'!C1001="","",'DDF Original'!C1001)</f>
        <v/>
      </c>
      <c r="E1001" s="24" t="str">
        <f>IF('DDF Original'!B1001="","",IF(TRIM('DDF Original'!I1001)="",0,'DDF Original'!I1001))</f>
        <v/>
      </c>
      <c r="F1001" s="20" t="str">
        <f t="shared" si="106"/>
        <v/>
      </c>
      <c r="G1001" s="37" t="str">
        <f>IF('DDF Original'!B1001="","",IF(TRIM('DDF Original'!P1001)="",0,'DDF Original'!P1001))</f>
        <v/>
      </c>
      <c r="H1001" s="20" t="str">
        <f t="shared" si="107"/>
        <v/>
      </c>
      <c r="I1001" s="25" t="str">
        <f t="shared" si="108"/>
        <v/>
      </c>
      <c r="J1001" s="20" t="str">
        <f t="shared" si="109"/>
        <v/>
      </c>
      <c r="K1001" s="20" t="str">
        <f t="shared" si="110"/>
        <v/>
      </c>
      <c r="L1001" s="20" t="str">
        <f>IF(B1001="","",70*'DDF Original'!$Q$4)</f>
        <v/>
      </c>
      <c r="M1001" s="20" t="str">
        <f t="shared" si="111"/>
        <v/>
      </c>
      <c r="N1001" s="20" t="str">
        <f>IF(AND(OR(B1001="",J1001&gt;G1001,M1001&gt;G1001),'DDF Original'!L1001&lt;&gt; "MI"),G1001,IF(M1001&gt;J1001,M1001,J1001))</f>
        <v/>
      </c>
    </row>
    <row r="1002" spans="2:14" x14ac:dyDescent="0.2">
      <c r="B1002" s="19" t="str">
        <f>IF('DDF Original'!B1002="","",'DDF Original'!B1002)</f>
        <v/>
      </c>
      <c r="C1002" s="19" t="e">
        <f t="shared" si="105"/>
        <v>#VALUE!</v>
      </c>
      <c r="D1002" s="20" t="str">
        <f>IF('DDF Original'!C1002="","",'DDF Original'!C1002)</f>
        <v/>
      </c>
      <c r="E1002" s="24" t="str">
        <f>IF('DDF Original'!B1002="","",IF(TRIM('DDF Original'!I1002)="",0,'DDF Original'!I1002))</f>
        <v/>
      </c>
      <c r="F1002" s="20" t="str">
        <f t="shared" si="106"/>
        <v/>
      </c>
      <c r="G1002" s="37" t="str">
        <f>IF('DDF Original'!B1002="","",IF(TRIM('DDF Original'!P1002)="",0,'DDF Original'!P1002))</f>
        <v/>
      </c>
      <c r="H1002" s="20" t="str">
        <f t="shared" si="107"/>
        <v/>
      </c>
      <c r="I1002" s="25" t="str">
        <f t="shared" si="108"/>
        <v/>
      </c>
      <c r="J1002" s="20" t="str">
        <f t="shared" si="109"/>
        <v/>
      </c>
      <c r="K1002" s="20" t="str">
        <f t="shared" si="110"/>
        <v/>
      </c>
      <c r="L1002" s="20" t="str">
        <f>IF(B1002="","",70*'DDF Original'!$Q$4)</f>
        <v/>
      </c>
      <c r="M1002" s="20" t="str">
        <f t="shared" si="111"/>
        <v/>
      </c>
      <c r="N1002" s="20" t="str">
        <f>IF(AND(OR(B1002="",J1002&gt;G1002,M1002&gt;G1002),'DDF Original'!L1002&lt;&gt; "MI"),G1002,IF(M1002&gt;J1002,M1002,J1002))</f>
        <v/>
      </c>
    </row>
    <row r="1003" spans="2:14" x14ac:dyDescent="0.2">
      <c r="B1003" s="19" t="str">
        <f>IF('DDF Original'!B1003="","",'DDF Original'!B1003)</f>
        <v/>
      </c>
      <c r="C1003" s="19" t="e">
        <f t="shared" si="105"/>
        <v>#VALUE!</v>
      </c>
      <c r="D1003" s="20" t="str">
        <f>IF('DDF Original'!C1003="","",'DDF Original'!C1003)</f>
        <v/>
      </c>
      <c r="E1003" s="24" t="str">
        <f>IF('DDF Original'!B1003="","",IF(TRIM('DDF Original'!I1003)="",0,'DDF Original'!I1003))</f>
        <v/>
      </c>
      <c r="F1003" s="20" t="str">
        <f t="shared" si="106"/>
        <v/>
      </c>
      <c r="G1003" s="37" t="str">
        <f>IF('DDF Original'!B1003="","",IF(TRIM('DDF Original'!P1003)="",0,'DDF Original'!P1003))</f>
        <v/>
      </c>
      <c r="H1003" s="20" t="str">
        <f t="shared" si="107"/>
        <v/>
      </c>
      <c r="I1003" s="25" t="str">
        <f t="shared" si="108"/>
        <v/>
      </c>
      <c r="J1003" s="20" t="str">
        <f t="shared" si="109"/>
        <v/>
      </c>
      <c r="K1003" s="20" t="str">
        <f t="shared" si="110"/>
        <v/>
      </c>
      <c r="L1003" s="20" t="str">
        <f>IF(B1003="","",70*'DDF Original'!$Q$4)</f>
        <v/>
      </c>
      <c r="M1003" s="20" t="str">
        <f t="shared" si="111"/>
        <v/>
      </c>
      <c r="N1003" s="20" t="str">
        <f>IF(AND(OR(B1003="",J1003&gt;G1003,M1003&gt;G1003),'DDF Original'!L1003&lt;&gt; "MI"),G1003,IF(M1003&gt;J1003,M1003,J1003))</f>
        <v/>
      </c>
    </row>
    <row r="1004" spans="2:14" x14ac:dyDescent="0.2">
      <c r="B1004" s="19" t="str">
        <f>IF('DDF Original'!B1004="","",'DDF Original'!B1004)</f>
        <v/>
      </c>
      <c r="C1004" s="19" t="e">
        <f t="shared" si="105"/>
        <v>#VALUE!</v>
      </c>
      <c r="D1004" s="20" t="str">
        <f>IF('DDF Original'!C1004="","",'DDF Original'!C1004)</f>
        <v/>
      </c>
      <c r="E1004" s="24" t="str">
        <f>IF('DDF Original'!B1004="","",IF(TRIM('DDF Original'!I1004)="",0,'DDF Original'!I1004))</f>
        <v/>
      </c>
      <c r="F1004" s="20" t="str">
        <f t="shared" si="106"/>
        <v/>
      </c>
      <c r="G1004" s="37" t="str">
        <f>IF('DDF Original'!B1004="","",IF(TRIM('DDF Original'!P1004)="",0,'DDF Original'!P1004))</f>
        <v/>
      </c>
      <c r="H1004" s="20" t="str">
        <f t="shared" si="107"/>
        <v/>
      </c>
      <c r="I1004" s="25" t="str">
        <f t="shared" si="108"/>
        <v/>
      </c>
      <c r="J1004" s="20" t="str">
        <f t="shared" si="109"/>
        <v/>
      </c>
      <c r="K1004" s="20" t="str">
        <f t="shared" si="110"/>
        <v/>
      </c>
      <c r="L1004" s="20" t="str">
        <f>IF(B1004="","",70*'DDF Original'!$Q$4)</f>
        <v/>
      </c>
      <c r="M1004" s="20" t="str">
        <f t="shared" si="111"/>
        <v/>
      </c>
      <c r="N1004" s="20" t="str">
        <f>IF(AND(OR(B1004="",J1004&gt;G1004,M1004&gt;G1004),'DDF Original'!L1004&lt;&gt; "MI"),G1004,IF(M1004&gt;J1004,M1004,J1004))</f>
        <v/>
      </c>
    </row>
    <row r="1005" spans="2:14" x14ac:dyDescent="0.2">
      <c r="B1005" s="19" t="str">
        <f>IF('DDF Original'!B1005="","",'DDF Original'!B1005)</f>
        <v/>
      </c>
      <c r="C1005" s="19" t="e">
        <f t="shared" si="105"/>
        <v>#VALUE!</v>
      </c>
      <c r="D1005" s="20" t="str">
        <f>IF('DDF Original'!C1005="","",'DDF Original'!C1005)</f>
        <v/>
      </c>
      <c r="E1005" s="24" t="str">
        <f>IF('DDF Original'!B1005="","",IF(TRIM('DDF Original'!I1005)="",0,'DDF Original'!I1005))</f>
        <v/>
      </c>
      <c r="F1005" s="20" t="str">
        <f t="shared" si="106"/>
        <v/>
      </c>
      <c r="G1005" s="37" t="str">
        <f>IF('DDF Original'!B1005="","",IF(TRIM('DDF Original'!P1005)="",0,'DDF Original'!P1005))</f>
        <v/>
      </c>
      <c r="H1005" s="20" t="str">
        <f t="shared" si="107"/>
        <v/>
      </c>
      <c r="I1005" s="25" t="str">
        <f t="shared" si="108"/>
        <v/>
      </c>
      <c r="J1005" s="20" t="str">
        <f t="shared" si="109"/>
        <v/>
      </c>
      <c r="K1005" s="20" t="str">
        <f t="shared" si="110"/>
        <v/>
      </c>
      <c r="L1005" s="20" t="str">
        <f>IF(B1005="","",70*'DDF Original'!$Q$4)</f>
        <v/>
      </c>
      <c r="M1005" s="20" t="str">
        <f t="shared" si="111"/>
        <v/>
      </c>
      <c r="N1005" s="20" t="str">
        <f>IF(AND(OR(B1005="",J1005&gt;G1005,M1005&gt;G1005),'DDF Original'!L1005&lt;&gt; "MI"),G1005,IF(M1005&gt;J1005,M1005,J1005))</f>
        <v/>
      </c>
    </row>
    <row r="1006" spans="2:14" x14ac:dyDescent="0.2">
      <c r="B1006" s="19" t="str">
        <f>IF('DDF Original'!B1006="","",'DDF Original'!B1006)</f>
        <v/>
      </c>
      <c r="C1006" s="19" t="e">
        <f t="shared" si="105"/>
        <v>#VALUE!</v>
      </c>
      <c r="D1006" s="20" t="str">
        <f>IF('DDF Original'!C1006="","",'DDF Original'!C1006)</f>
        <v/>
      </c>
      <c r="E1006" s="24" t="str">
        <f>IF('DDF Original'!B1006="","",IF(TRIM('DDF Original'!I1006)="",0,'DDF Original'!I1006))</f>
        <v/>
      </c>
      <c r="F1006" s="20" t="str">
        <f t="shared" si="106"/>
        <v/>
      </c>
      <c r="G1006" s="37" t="str">
        <f>IF('DDF Original'!B1006="","",IF(TRIM('DDF Original'!P1006)="",0,'DDF Original'!P1006))</f>
        <v/>
      </c>
      <c r="H1006" s="20" t="str">
        <f t="shared" si="107"/>
        <v/>
      </c>
      <c r="I1006" s="25" t="str">
        <f t="shared" si="108"/>
        <v/>
      </c>
      <c r="J1006" s="20" t="str">
        <f t="shared" si="109"/>
        <v/>
      </c>
      <c r="K1006" s="20" t="str">
        <f t="shared" si="110"/>
        <v/>
      </c>
      <c r="L1006" s="20" t="str">
        <f>IF(B1006="","",70*'DDF Original'!$Q$4)</f>
        <v/>
      </c>
      <c r="M1006" s="20" t="str">
        <f t="shared" si="111"/>
        <v/>
      </c>
      <c r="N1006" s="20" t="str">
        <f>IF(AND(OR(B1006="",J1006&gt;G1006,M1006&gt;G1006),'DDF Original'!L1006&lt;&gt; "MI"),G1006,IF(M1006&gt;J1006,M1006,J1006))</f>
        <v/>
      </c>
    </row>
    <row r="1007" spans="2:14" x14ac:dyDescent="0.2">
      <c r="B1007" s="19" t="str">
        <f>IF('DDF Original'!B1007="","",'DDF Original'!B1007)</f>
        <v/>
      </c>
      <c r="C1007" s="19" t="e">
        <f t="shared" si="105"/>
        <v>#VALUE!</v>
      </c>
      <c r="D1007" s="20" t="str">
        <f>IF('DDF Original'!C1007="","",'DDF Original'!C1007)</f>
        <v/>
      </c>
      <c r="E1007" s="24" t="str">
        <f>IF('DDF Original'!B1007="","",IF(TRIM('DDF Original'!I1007)="",0,'DDF Original'!I1007))</f>
        <v/>
      </c>
      <c r="F1007" s="20" t="str">
        <f t="shared" si="106"/>
        <v/>
      </c>
      <c r="G1007" s="37" t="str">
        <f>IF('DDF Original'!B1007="","",IF(TRIM('DDF Original'!P1007)="",0,'DDF Original'!P1007))</f>
        <v/>
      </c>
      <c r="H1007" s="20" t="str">
        <f t="shared" si="107"/>
        <v/>
      </c>
      <c r="I1007" s="25" t="str">
        <f t="shared" si="108"/>
        <v/>
      </c>
      <c r="J1007" s="20" t="str">
        <f t="shared" si="109"/>
        <v/>
      </c>
      <c r="K1007" s="20" t="str">
        <f t="shared" si="110"/>
        <v/>
      </c>
      <c r="L1007" s="20" t="str">
        <f>IF(B1007="","",70*'DDF Original'!$Q$4)</f>
        <v/>
      </c>
      <c r="M1007" s="20" t="str">
        <f t="shared" si="111"/>
        <v/>
      </c>
      <c r="N1007" s="20" t="str">
        <f>IF(AND(OR(B1007="",J1007&gt;G1007,M1007&gt;G1007),'DDF Original'!L1007&lt;&gt; "MI"),G1007,IF(M1007&gt;J1007,M1007,J1007))</f>
        <v/>
      </c>
    </row>
    <row r="1008" spans="2:14" x14ac:dyDescent="0.2">
      <c r="B1008" s="19" t="str">
        <f>IF('DDF Original'!B1008="","",'DDF Original'!B1008)</f>
        <v/>
      </c>
      <c r="C1008" s="19" t="e">
        <f t="shared" si="105"/>
        <v>#VALUE!</v>
      </c>
      <c r="D1008" s="20" t="str">
        <f>IF('DDF Original'!C1008="","",'DDF Original'!C1008)</f>
        <v/>
      </c>
      <c r="E1008" s="24" t="str">
        <f>IF('DDF Original'!B1008="","",IF(TRIM('DDF Original'!I1008)="",0,'DDF Original'!I1008))</f>
        <v/>
      </c>
      <c r="F1008" s="20" t="str">
        <f t="shared" si="106"/>
        <v/>
      </c>
      <c r="G1008" s="37" t="str">
        <f>IF('DDF Original'!B1008="","",IF(TRIM('DDF Original'!P1008)="",0,'DDF Original'!P1008))</f>
        <v/>
      </c>
      <c r="H1008" s="20" t="str">
        <f t="shared" si="107"/>
        <v/>
      </c>
      <c r="I1008" s="25" t="str">
        <f t="shared" si="108"/>
        <v/>
      </c>
      <c r="J1008" s="20" t="str">
        <f t="shared" si="109"/>
        <v/>
      </c>
      <c r="K1008" s="20" t="str">
        <f t="shared" si="110"/>
        <v/>
      </c>
      <c r="L1008" s="20" t="str">
        <f>IF(B1008="","",70*'DDF Original'!$Q$4)</f>
        <v/>
      </c>
      <c r="M1008" s="20" t="str">
        <f t="shared" si="111"/>
        <v/>
      </c>
      <c r="N1008" s="20" t="str">
        <f>IF(AND(OR(B1008="",J1008&gt;G1008,M1008&gt;G1008),'DDF Original'!L1008&lt;&gt; "MI"),G1008,IF(M1008&gt;J1008,M1008,J1008))</f>
        <v/>
      </c>
    </row>
    <row r="1009" spans="2:14" x14ac:dyDescent="0.2">
      <c r="B1009" s="19" t="str">
        <f>IF('DDF Original'!B1009="","",'DDF Original'!B1009)</f>
        <v/>
      </c>
      <c r="C1009" s="19" t="e">
        <f t="shared" si="105"/>
        <v>#VALUE!</v>
      </c>
      <c r="D1009" s="20" t="str">
        <f>IF('DDF Original'!C1009="","",'DDF Original'!C1009)</f>
        <v/>
      </c>
      <c r="E1009" s="24" t="str">
        <f>IF('DDF Original'!B1009="","",IF(TRIM('DDF Original'!I1009)="",0,'DDF Original'!I1009))</f>
        <v/>
      </c>
      <c r="F1009" s="20" t="str">
        <f t="shared" si="106"/>
        <v/>
      </c>
      <c r="G1009" s="37" t="str">
        <f>IF('DDF Original'!B1009="","",IF(TRIM('DDF Original'!P1009)="",0,'DDF Original'!P1009))</f>
        <v/>
      </c>
      <c r="H1009" s="20" t="str">
        <f t="shared" si="107"/>
        <v/>
      </c>
      <c r="I1009" s="25" t="str">
        <f t="shared" si="108"/>
        <v/>
      </c>
      <c r="J1009" s="20" t="str">
        <f t="shared" si="109"/>
        <v/>
      </c>
      <c r="K1009" s="20" t="str">
        <f t="shared" si="110"/>
        <v/>
      </c>
      <c r="L1009" s="20" t="str">
        <f>IF(B1009="","",70*'DDF Original'!$Q$4)</f>
        <v/>
      </c>
      <c r="M1009" s="20" t="str">
        <f t="shared" si="111"/>
        <v/>
      </c>
      <c r="N1009" s="20" t="str">
        <f>IF(AND(OR(B1009="",J1009&gt;G1009,M1009&gt;G1009),'DDF Original'!L1009&lt;&gt; "MI"),G1009,IF(M1009&gt;J1009,M1009,J1009))</f>
        <v/>
      </c>
    </row>
    <row r="1010" spans="2:14" x14ac:dyDescent="0.2">
      <c r="B1010" s="19" t="str">
        <f>IF('DDF Original'!B1010="","",'DDF Original'!B1010)</f>
        <v/>
      </c>
      <c r="C1010" s="19" t="e">
        <f t="shared" si="105"/>
        <v>#VALUE!</v>
      </c>
      <c r="D1010" s="20" t="str">
        <f>IF('DDF Original'!C1010="","",'DDF Original'!C1010)</f>
        <v/>
      </c>
      <c r="E1010" s="24" t="str">
        <f>IF('DDF Original'!B1010="","",IF(TRIM('DDF Original'!I1010)="",0,'DDF Original'!I1010))</f>
        <v/>
      </c>
      <c r="F1010" s="20" t="str">
        <f t="shared" si="106"/>
        <v/>
      </c>
      <c r="G1010" s="37" t="str">
        <f>IF('DDF Original'!B1010="","",IF(TRIM('DDF Original'!P1010)="",0,'DDF Original'!P1010))</f>
        <v/>
      </c>
      <c r="H1010" s="20" t="str">
        <f t="shared" si="107"/>
        <v/>
      </c>
      <c r="I1010" s="25" t="str">
        <f t="shared" si="108"/>
        <v/>
      </c>
      <c r="J1010" s="20" t="str">
        <f t="shared" si="109"/>
        <v/>
      </c>
      <c r="K1010" s="20" t="str">
        <f t="shared" si="110"/>
        <v/>
      </c>
      <c r="L1010" s="20" t="str">
        <f>IF(B1010="","",70*'DDF Original'!$Q$4)</f>
        <v/>
      </c>
      <c r="M1010" s="20" t="str">
        <f t="shared" si="111"/>
        <v/>
      </c>
      <c r="N1010" s="20" t="str">
        <f>IF(AND(OR(B1010="",J1010&gt;G1010,M1010&gt;G1010),'DDF Original'!L1010&lt;&gt; "MI"),G1010,IF(M1010&gt;J1010,M1010,J1010))</f>
        <v/>
      </c>
    </row>
    <row r="1011" spans="2:14" x14ac:dyDescent="0.2">
      <c r="B1011" s="19" t="str">
        <f>IF('DDF Original'!B1011="","",'DDF Original'!B1011)</f>
        <v/>
      </c>
      <c r="C1011" s="19" t="e">
        <f t="shared" si="105"/>
        <v>#VALUE!</v>
      </c>
      <c r="D1011" s="20" t="str">
        <f>IF('DDF Original'!C1011="","",'DDF Original'!C1011)</f>
        <v/>
      </c>
      <c r="E1011" s="24" t="str">
        <f>IF('DDF Original'!B1011="","",IF(TRIM('DDF Original'!I1011)="",0,'DDF Original'!I1011))</f>
        <v/>
      </c>
      <c r="F1011" s="20" t="str">
        <f t="shared" si="106"/>
        <v/>
      </c>
      <c r="G1011" s="37" t="str">
        <f>IF('DDF Original'!B1011="","",IF(TRIM('DDF Original'!P1011)="",0,'DDF Original'!P1011))</f>
        <v/>
      </c>
      <c r="H1011" s="20" t="str">
        <f t="shared" si="107"/>
        <v/>
      </c>
      <c r="I1011" s="25" t="str">
        <f t="shared" si="108"/>
        <v/>
      </c>
      <c r="J1011" s="20" t="str">
        <f t="shared" si="109"/>
        <v/>
      </c>
      <c r="K1011" s="20" t="str">
        <f t="shared" si="110"/>
        <v/>
      </c>
      <c r="L1011" s="20" t="str">
        <f>IF(B1011="","",70*'DDF Original'!$Q$4)</f>
        <v/>
      </c>
      <c r="M1011" s="20" t="str">
        <f t="shared" si="111"/>
        <v/>
      </c>
      <c r="N1011" s="20" t="str">
        <f>IF(AND(OR(B1011="",J1011&gt;G1011,M1011&gt;G1011),'DDF Original'!L1011&lt;&gt; "MI"),G1011,IF(M1011&gt;J1011,M1011,J1011))</f>
        <v/>
      </c>
    </row>
    <row r="1012" spans="2:14" x14ac:dyDescent="0.2">
      <c r="B1012" s="19" t="str">
        <f>IF('DDF Original'!B1012="","",'DDF Original'!B1012)</f>
        <v/>
      </c>
      <c r="C1012" s="19" t="e">
        <f t="shared" si="105"/>
        <v>#VALUE!</v>
      </c>
      <c r="D1012" s="20" t="str">
        <f>IF('DDF Original'!C1012="","",'DDF Original'!C1012)</f>
        <v/>
      </c>
      <c r="E1012" s="24" t="str">
        <f>IF('DDF Original'!B1012="","",IF(TRIM('DDF Original'!I1012)="",0,'DDF Original'!I1012))</f>
        <v/>
      </c>
      <c r="F1012" s="20" t="str">
        <f t="shared" si="106"/>
        <v/>
      </c>
      <c r="G1012" s="37" t="str">
        <f>IF('DDF Original'!B1012="","",IF(TRIM('DDF Original'!P1012)="",0,'DDF Original'!P1012))</f>
        <v/>
      </c>
      <c r="H1012" s="20" t="str">
        <f t="shared" si="107"/>
        <v/>
      </c>
      <c r="I1012" s="25" t="str">
        <f t="shared" si="108"/>
        <v/>
      </c>
      <c r="J1012" s="20" t="str">
        <f t="shared" si="109"/>
        <v/>
      </c>
      <c r="K1012" s="20" t="str">
        <f t="shared" si="110"/>
        <v/>
      </c>
      <c r="L1012" s="20" t="str">
        <f>IF(B1012="","",70*'DDF Original'!$Q$4)</f>
        <v/>
      </c>
      <c r="M1012" s="20" t="str">
        <f t="shared" si="111"/>
        <v/>
      </c>
      <c r="N1012" s="20" t="str">
        <f>IF(AND(OR(B1012="",J1012&gt;G1012,M1012&gt;G1012),'DDF Original'!L1012&lt;&gt; "MI"),G1012,IF(M1012&gt;J1012,M1012,J1012))</f>
        <v/>
      </c>
    </row>
    <row r="1013" spans="2:14" x14ac:dyDescent="0.2">
      <c r="B1013" s="19" t="str">
        <f>IF('DDF Original'!B1013="","",'DDF Original'!B1013)</f>
        <v/>
      </c>
      <c r="C1013" s="19" t="e">
        <f t="shared" si="105"/>
        <v>#VALUE!</v>
      </c>
      <c r="D1013" s="20" t="str">
        <f>IF('DDF Original'!C1013="","",'DDF Original'!C1013)</f>
        <v/>
      </c>
      <c r="E1013" s="24" t="str">
        <f>IF('DDF Original'!B1013="","",IF(TRIM('DDF Original'!I1013)="",0,'DDF Original'!I1013))</f>
        <v/>
      </c>
      <c r="F1013" s="20" t="str">
        <f t="shared" si="106"/>
        <v/>
      </c>
      <c r="G1013" s="37" t="str">
        <f>IF('DDF Original'!B1013="","",IF(TRIM('DDF Original'!P1013)="",0,'DDF Original'!P1013))</f>
        <v/>
      </c>
      <c r="H1013" s="20" t="str">
        <f t="shared" si="107"/>
        <v/>
      </c>
      <c r="I1013" s="25" t="str">
        <f t="shared" si="108"/>
        <v/>
      </c>
      <c r="J1013" s="20" t="str">
        <f t="shared" si="109"/>
        <v/>
      </c>
      <c r="K1013" s="20" t="str">
        <f t="shared" si="110"/>
        <v/>
      </c>
      <c r="L1013" s="20" t="str">
        <f>IF(B1013="","",70*'DDF Original'!$Q$4)</f>
        <v/>
      </c>
      <c r="M1013" s="20" t="str">
        <f t="shared" si="111"/>
        <v/>
      </c>
      <c r="N1013" s="20" t="str">
        <f>IF(AND(OR(B1013="",J1013&gt;G1013,M1013&gt;G1013),'DDF Original'!L1013&lt;&gt; "MI"),G1013,IF(M1013&gt;J1013,M1013,J1013))</f>
        <v/>
      </c>
    </row>
    <row r="1014" spans="2:14" x14ac:dyDescent="0.2">
      <c r="B1014" s="19" t="str">
        <f>IF('DDF Original'!B1014="","",'DDF Original'!B1014)</f>
        <v/>
      </c>
      <c r="C1014" s="19" t="e">
        <f t="shared" si="105"/>
        <v>#VALUE!</v>
      </c>
      <c r="D1014" s="20" t="str">
        <f>IF('DDF Original'!C1014="","",'DDF Original'!C1014)</f>
        <v/>
      </c>
      <c r="E1014" s="24" t="str">
        <f>IF('DDF Original'!B1014="","",IF(TRIM('DDF Original'!I1014)="",0,'DDF Original'!I1014))</f>
        <v/>
      </c>
      <c r="F1014" s="20" t="str">
        <f t="shared" si="106"/>
        <v/>
      </c>
      <c r="G1014" s="37" t="str">
        <f>IF('DDF Original'!B1014="","",IF(TRIM('DDF Original'!P1014)="",0,'DDF Original'!P1014))</f>
        <v/>
      </c>
      <c r="H1014" s="20" t="str">
        <f t="shared" si="107"/>
        <v/>
      </c>
      <c r="I1014" s="25" t="str">
        <f t="shared" si="108"/>
        <v/>
      </c>
      <c r="J1014" s="20" t="str">
        <f t="shared" si="109"/>
        <v/>
      </c>
      <c r="K1014" s="20" t="str">
        <f t="shared" si="110"/>
        <v/>
      </c>
      <c r="L1014" s="20" t="str">
        <f>IF(B1014="","",70*'DDF Original'!$Q$4)</f>
        <v/>
      </c>
      <c r="M1014" s="20" t="str">
        <f t="shared" si="111"/>
        <v/>
      </c>
      <c r="N1014" s="20" t="str">
        <f>IF(AND(OR(B1014="",J1014&gt;G1014,M1014&gt;G1014),'DDF Original'!L1014&lt;&gt; "MI"),G1014,IF(M1014&gt;J1014,M1014,J1014))</f>
        <v/>
      </c>
    </row>
    <row r="1015" spans="2:14" x14ac:dyDescent="0.2">
      <c r="B1015" s="19" t="str">
        <f>IF('DDF Original'!B1015="","",'DDF Original'!B1015)</f>
        <v/>
      </c>
      <c r="C1015" s="19" t="e">
        <f t="shared" si="105"/>
        <v>#VALUE!</v>
      </c>
      <c r="D1015" s="20" t="str">
        <f>IF('DDF Original'!C1015="","",'DDF Original'!C1015)</f>
        <v/>
      </c>
      <c r="E1015" s="24" t="str">
        <f>IF('DDF Original'!B1015="","",IF(TRIM('DDF Original'!I1015)="",0,'DDF Original'!I1015))</f>
        <v/>
      </c>
      <c r="F1015" s="20" t="str">
        <f t="shared" si="106"/>
        <v/>
      </c>
      <c r="G1015" s="37" t="str">
        <f>IF('DDF Original'!B1015="","",IF(TRIM('DDF Original'!P1015)="",0,'DDF Original'!P1015))</f>
        <v/>
      </c>
      <c r="H1015" s="20" t="str">
        <f t="shared" si="107"/>
        <v/>
      </c>
      <c r="I1015" s="25" t="str">
        <f t="shared" si="108"/>
        <v/>
      </c>
      <c r="J1015" s="20" t="str">
        <f t="shared" si="109"/>
        <v/>
      </c>
      <c r="K1015" s="20" t="str">
        <f t="shared" si="110"/>
        <v/>
      </c>
      <c r="L1015" s="20" t="str">
        <f>IF(B1015="","",70*'DDF Original'!$Q$4)</f>
        <v/>
      </c>
      <c r="M1015" s="20" t="str">
        <f t="shared" si="111"/>
        <v/>
      </c>
      <c r="N1015" s="20" t="str">
        <f>IF(AND(OR(B1015="",J1015&gt;G1015,M1015&gt;G1015),'DDF Original'!L1015&lt;&gt; "MI"),G1015,IF(M1015&gt;J1015,M1015,J1015))</f>
        <v/>
      </c>
    </row>
    <row r="1016" spans="2:14" x14ac:dyDescent="0.2">
      <c r="B1016" s="19" t="str">
        <f>IF('DDF Original'!B1016="","",'DDF Original'!B1016)</f>
        <v/>
      </c>
      <c r="C1016" s="19" t="e">
        <f t="shared" si="105"/>
        <v>#VALUE!</v>
      </c>
      <c r="D1016" s="20" t="str">
        <f>IF('DDF Original'!C1016="","",'DDF Original'!C1016)</f>
        <v/>
      </c>
      <c r="E1016" s="24" t="str">
        <f>IF('DDF Original'!B1016="","",IF(TRIM('DDF Original'!I1016)="",0,'DDF Original'!I1016))</f>
        <v/>
      </c>
      <c r="F1016" s="20" t="str">
        <f t="shared" si="106"/>
        <v/>
      </c>
      <c r="G1016" s="37" t="str">
        <f>IF('DDF Original'!B1016="","",IF(TRIM('DDF Original'!P1016)="",0,'DDF Original'!P1016))</f>
        <v/>
      </c>
      <c r="H1016" s="20" t="str">
        <f t="shared" si="107"/>
        <v/>
      </c>
      <c r="I1016" s="25" t="str">
        <f t="shared" si="108"/>
        <v/>
      </c>
      <c r="J1016" s="20" t="str">
        <f t="shared" si="109"/>
        <v/>
      </c>
      <c r="K1016" s="20" t="str">
        <f t="shared" si="110"/>
        <v/>
      </c>
      <c r="L1016" s="20" t="str">
        <f>IF(B1016="","",70*'DDF Original'!$Q$4)</f>
        <v/>
      </c>
      <c r="M1016" s="20" t="str">
        <f t="shared" si="111"/>
        <v/>
      </c>
      <c r="N1016" s="20" t="str">
        <f>IF(AND(OR(B1016="",J1016&gt;G1016,M1016&gt;G1016),'DDF Original'!L1016&lt;&gt; "MI"),G1016,IF(M1016&gt;J1016,M1016,J1016))</f>
        <v/>
      </c>
    </row>
    <row r="1017" spans="2:14" x14ac:dyDescent="0.2">
      <c r="B1017" s="19" t="str">
        <f>IF('DDF Original'!B1017="","",'DDF Original'!B1017)</f>
        <v/>
      </c>
      <c r="C1017" s="19" t="e">
        <f t="shared" si="105"/>
        <v>#VALUE!</v>
      </c>
      <c r="D1017" s="20" t="str">
        <f>IF('DDF Original'!C1017="","",'DDF Original'!C1017)</f>
        <v/>
      </c>
      <c r="E1017" s="24" t="str">
        <f>IF('DDF Original'!B1017="","",IF(TRIM('DDF Original'!I1017)="",0,'DDF Original'!I1017))</f>
        <v/>
      </c>
      <c r="F1017" s="20" t="str">
        <f t="shared" si="106"/>
        <v/>
      </c>
      <c r="G1017" s="37" t="str">
        <f>IF('DDF Original'!B1017="","",IF(TRIM('DDF Original'!P1017)="",0,'DDF Original'!P1017))</f>
        <v/>
      </c>
      <c r="H1017" s="20" t="str">
        <f t="shared" si="107"/>
        <v/>
      </c>
      <c r="I1017" s="25" t="str">
        <f t="shared" si="108"/>
        <v/>
      </c>
      <c r="J1017" s="20" t="str">
        <f t="shared" si="109"/>
        <v/>
      </c>
      <c r="K1017" s="20" t="str">
        <f t="shared" si="110"/>
        <v/>
      </c>
      <c r="L1017" s="20" t="str">
        <f>IF(B1017="","",70*'DDF Original'!$Q$4)</f>
        <v/>
      </c>
      <c r="M1017" s="20" t="str">
        <f t="shared" si="111"/>
        <v/>
      </c>
      <c r="N1017" s="20" t="str">
        <f>IF(AND(OR(B1017="",J1017&gt;G1017,M1017&gt;G1017),'DDF Original'!L1017&lt;&gt; "MI"),G1017,IF(M1017&gt;J1017,M1017,J1017))</f>
        <v/>
      </c>
    </row>
    <row r="1018" spans="2:14" x14ac:dyDescent="0.2">
      <c r="B1018" s="19" t="str">
        <f>IF('DDF Original'!B1018="","",'DDF Original'!B1018)</f>
        <v/>
      </c>
      <c r="C1018" s="19" t="e">
        <f t="shared" si="105"/>
        <v>#VALUE!</v>
      </c>
      <c r="D1018" s="20" t="str">
        <f>IF('DDF Original'!C1018="","",'DDF Original'!C1018)</f>
        <v/>
      </c>
      <c r="E1018" s="24" t="str">
        <f>IF('DDF Original'!B1018="","",IF(TRIM('DDF Original'!I1018)="",0,'DDF Original'!I1018))</f>
        <v/>
      </c>
      <c r="F1018" s="20" t="str">
        <f t="shared" si="106"/>
        <v/>
      </c>
      <c r="G1018" s="37" t="str">
        <f>IF('DDF Original'!B1018="","",IF(TRIM('DDF Original'!P1018)="",0,'DDF Original'!P1018))</f>
        <v/>
      </c>
      <c r="H1018" s="20" t="str">
        <f t="shared" si="107"/>
        <v/>
      </c>
      <c r="I1018" s="25" t="str">
        <f t="shared" si="108"/>
        <v/>
      </c>
      <c r="J1018" s="20" t="str">
        <f t="shared" si="109"/>
        <v/>
      </c>
      <c r="K1018" s="20" t="str">
        <f t="shared" si="110"/>
        <v/>
      </c>
      <c r="L1018" s="20" t="str">
        <f>IF(B1018="","",70*'DDF Original'!$Q$4)</f>
        <v/>
      </c>
      <c r="M1018" s="20" t="str">
        <f t="shared" si="111"/>
        <v/>
      </c>
      <c r="N1018" s="20" t="str">
        <f>IF(AND(OR(B1018="",J1018&gt;G1018,M1018&gt;G1018),'DDF Original'!L1018&lt;&gt; "MI"),G1018,IF(M1018&gt;J1018,M1018,J1018))</f>
        <v/>
      </c>
    </row>
    <row r="1019" spans="2:14" x14ac:dyDescent="0.2">
      <c r="B1019" s="19" t="str">
        <f>IF('DDF Original'!B1019="","",'DDF Original'!B1019)</f>
        <v/>
      </c>
      <c r="C1019" s="19" t="e">
        <f t="shared" si="105"/>
        <v>#VALUE!</v>
      </c>
      <c r="D1019" s="20" t="str">
        <f>IF('DDF Original'!C1019="","",'DDF Original'!C1019)</f>
        <v/>
      </c>
      <c r="E1019" s="24" t="str">
        <f>IF('DDF Original'!B1019="","",IF(TRIM('DDF Original'!I1019)="",0,'DDF Original'!I1019))</f>
        <v/>
      </c>
      <c r="F1019" s="20" t="str">
        <f t="shared" si="106"/>
        <v/>
      </c>
      <c r="G1019" s="37" t="str">
        <f>IF('DDF Original'!B1019="","",IF(TRIM('DDF Original'!P1019)="",0,'DDF Original'!P1019))</f>
        <v/>
      </c>
      <c r="H1019" s="20" t="str">
        <f t="shared" si="107"/>
        <v/>
      </c>
      <c r="I1019" s="25" t="str">
        <f t="shared" si="108"/>
        <v/>
      </c>
      <c r="J1019" s="20" t="str">
        <f t="shared" si="109"/>
        <v/>
      </c>
      <c r="K1019" s="20" t="str">
        <f t="shared" si="110"/>
        <v/>
      </c>
      <c r="L1019" s="20" t="str">
        <f>IF(B1019="","",70*'DDF Original'!$Q$4)</f>
        <v/>
      </c>
      <c r="M1019" s="20" t="str">
        <f t="shared" si="111"/>
        <v/>
      </c>
      <c r="N1019" s="20" t="str">
        <f>IF(AND(OR(B1019="",J1019&gt;G1019,M1019&gt;G1019),'DDF Original'!L1019&lt;&gt; "MI"),G1019,IF(M1019&gt;J1019,M1019,J1019))</f>
        <v/>
      </c>
    </row>
    <row r="1020" spans="2:14" x14ac:dyDescent="0.2">
      <c r="B1020" s="19" t="str">
        <f>IF('DDF Original'!B1020="","",'DDF Original'!B1020)</f>
        <v/>
      </c>
      <c r="C1020" s="19" t="e">
        <f t="shared" si="105"/>
        <v>#VALUE!</v>
      </c>
      <c r="D1020" s="20" t="str">
        <f>IF('DDF Original'!C1020="","",'DDF Original'!C1020)</f>
        <v/>
      </c>
      <c r="E1020" s="24" t="str">
        <f>IF('DDF Original'!B1020="","",IF(TRIM('DDF Original'!I1020)="",0,'DDF Original'!I1020))</f>
        <v/>
      </c>
      <c r="F1020" s="20" t="str">
        <f t="shared" si="106"/>
        <v/>
      </c>
      <c r="G1020" s="37" t="str">
        <f>IF('DDF Original'!B1020="","",IF(TRIM('DDF Original'!P1020)="",0,'DDF Original'!P1020))</f>
        <v/>
      </c>
      <c r="H1020" s="20" t="str">
        <f t="shared" si="107"/>
        <v/>
      </c>
      <c r="I1020" s="25" t="str">
        <f t="shared" si="108"/>
        <v/>
      </c>
      <c r="J1020" s="20" t="str">
        <f t="shared" si="109"/>
        <v/>
      </c>
      <c r="K1020" s="20" t="str">
        <f t="shared" si="110"/>
        <v/>
      </c>
      <c r="L1020" s="20" t="str">
        <f>IF(B1020="","",70*'DDF Original'!$Q$4)</f>
        <v/>
      </c>
      <c r="M1020" s="20" t="str">
        <f t="shared" si="111"/>
        <v/>
      </c>
      <c r="N1020" s="20" t="str">
        <f>IF(AND(OR(B1020="",J1020&gt;G1020,M1020&gt;G1020),'DDF Original'!L1020&lt;&gt; "MI"),G1020,IF(M1020&gt;J1020,M1020,J1020))</f>
        <v/>
      </c>
    </row>
    <row r="1021" spans="2:14" x14ac:dyDescent="0.2">
      <c r="B1021" s="19" t="str">
        <f>IF('DDF Original'!B1021="","",'DDF Original'!B1021)</f>
        <v/>
      </c>
      <c r="C1021" s="19" t="e">
        <f t="shared" ref="C1021:C1084" si="112">LEFT(B1021,FIND(".",B1021)-1)</f>
        <v>#VALUE!</v>
      </c>
      <c r="D1021" s="20" t="str">
        <f>IF('DDF Original'!C1021="","",'DDF Original'!C1021)</f>
        <v/>
      </c>
      <c r="E1021" s="24" t="str">
        <f>IF('DDF Original'!B1021="","",IF(TRIM('DDF Original'!I1021)="",0,'DDF Original'!I1021))</f>
        <v/>
      </c>
      <c r="F1021" s="20" t="str">
        <f t="shared" ref="F1021:F1084" si="113">IF(D1021="",D1021,ROUND(D1021*(1+E1021/100),2))</f>
        <v/>
      </c>
      <c r="G1021" s="37" t="str">
        <f>IF('DDF Original'!B1021="","",IF(TRIM('DDF Original'!P1021)="",0,'DDF Original'!P1021))</f>
        <v/>
      </c>
      <c r="H1021" s="20" t="str">
        <f t="shared" ref="H1021:H1084" si="114">IF(OR(D1021=0,D1021=""),G1021,F1021)</f>
        <v/>
      </c>
      <c r="I1021" s="25" t="str">
        <f t="shared" ref="I1021:I1084" si="115">IF(B1021="","",IF(OR(D1021=0,D1021=""),50,35))</f>
        <v/>
      </c>
      <c r="J1021" s="20" t="str">
        <f t="shared" ref="J1021:J1084" si="116">IF(B1021="","",ROUND(H1021*I1021/100,2))</f>
        <v/>
      </c>
      <c r="K1021" s="20" t="str">
        <f t="shared" ref="K1021:K1084" si="117">IF(B1021="","",SUMIFS($J$9:$J$508,$C$9:$C$508,"="&amp;C1021))</f>
        <v/>
      </c>
      <c r="L1021" s="20" t="str">
        <f>IF(B1021="","",70*'DDF Original'!$Q$4)</f>
        <v/>
      </c>
      <c r="M1021" s="20" t="str">
        <f t="shared" ref="M1021:M1084" si="118">IF(B1021="","",ROUND(J1021/K1021*L1021,2))</f>
        <v/>
      </c>
      <c r="N1021" s="20" t="str">
        <f>IF(AND(OR(B1021="",J1021&gt;G1021,M1021&gt;G1021),'DDF Original'!L1021&lt;&gt; "MI"),G1021,IF(M1021&gt;J1021,M1021,J1021))</f>
        <v/>
      </c>
    </row>
    <row r="1022" spans="2:14" x14ac:dyDescent="0.2">
      <c r="B1022" s="19" t="str">
        <f>IF('DDF Original'!B1022="","",'DDF Original'!B1022)</f>
        <v/>
      </c>
      <c r="C1022" s="19" t="e">
        <f t="shared" si="112"/>
        <v>#VALUE!</v>
      </c>
      <c r="D1022" s="20" t="str">
        <f>IF('DDF Original'!C1022="","",'DDF Original'!C1022)</f>
        <v/>
      </c>
      <c r="E1022" s="24" t="str">
        <f>IF('DDF Original'!B1022="","",IF(TRIM('DDF Original'!I1022)="",0,'DDF Original'!I1022))</f>
        <v/>
      </c>
      <c r="F1022" s="20" t="str">
        <f t="shared" si="113"/>
        <v/>
      </c>
      <c r="G1022" s="37" t="str">
        <f>IF('DDF Original'!B1022="","",IF(TRIM('DDF Original'!P1022)="",0,'DDF Original'!P1022))</f>
        <v/>
      </c>
      <c r="H1022" s="20" t="str">
        <f t="shared" si="114"/>
        <v/>
      </c>
      <c r="I1022" s="25" t="str">
        <f t="shared" si="115"/>
        <v/>
      </c>
      <c r="J1022" s="20" t="str">
        <f t="shared" si="116"/>
        <v/>
      </c>
      <c r="K1022" s="20" t="str">
        <f t="shared" si="117"/>
        <v/>
      </c>
      <c r="L1022" s="20" t="str">
        <f>IF(B1022="","",70*'DDF Original'!$Q$4)</f>
        <v/>
      </c>
      <c r="M1022" s="20" t="str">
        <f t="shared" si="118"/>
        <v/>
      </c>
      <c r="N1022" s="20" t="str">
        <f>IF(AND(OR(B1022="",J1022&gt;G1022,M1022&gt;G1022),'DDF Original'!L1022&lt;&gt; "MI"),G1022,IF(M1022&gt;J1022,M1022,J1022))</f>
        <v/>
      </c>
    </row>
    <row r="1023" spans="2:14" x14ac:dyDescent="0.2">
      <c r="B1023" s="19" t="str">
        <f>IF('DDF Original'!B1023="","",'DDF Original'!B1023)</f>
        <v/>
      </c>
      <c r="C1023" s="19" t="e">
        <f t="shared" si="112"/>
        <v>#VALUE!</v>
      </c>
      <c r="D1023" s="20" t="str">
        <f>IF('DDF Original'!C1023="","",'DDF Original'!C1023)</f>
        <v/>
      </c>
      <c r="E1023" s="24" t="str">
        <f>IF('DDF Original'!B1023="","",IF(TRIM('DDF Original'!I1023)="",0,'DDF Original'!I1023))</f>
        <v/>
      </c>
      <c r="F1023" s="20" t="str">
        <f t="shared" si="113"/>
        <v/>
      </c>
      <c r="G1023" s="37" t="str">
        <f>IF('DDF Original'!B1023="","",IF(TRIM('DDF Original'!P1023)="",0,'DDF Original'!P1023))</f>
        <v/>
      </c>
      <c r="H1023" s="20" t="str">
        <f t="shared" si="114"/>
        <v/>
      </c>
      <c r="I1023" s="25" t="str">
        <f t="shared" si="115"/>
        <v/>
      </c>
      <c r="J1023" s="20" t="str">
        <f t="shared" si="116"/>
        <v/>
      </c>
      <c r="K1023" s="20" t="str">
        <f t="shared" si="117"/>
        <v/>
      </c>
      <c r="L1023" s="20" t="str">
        <f>IF(B1023="","",70*'DDF Original'!$Q$4)</f>
        <v/>
      </c>
      <c r="M1023" s="20" t="str">
        <f t="shared" si="118"/>
        <v/>
      </c>
      <c r="N1023" s="20" t="str">
        <f>IF(AND(OR(B1023="",J1023&gt;G1023,M1023&gt;G1023),'DDF Original'!L1023&lt;&gt; "MI"),G1023,IF(M1023&gt;J1023,M1023,J1023))</f>
        <v/>
      </c>
    </row>
    <row r="1024" spans="2:14" x14ac:dyDescent="0.2">
      <c r="B1024" s="19" t="str">
        <f>IF('DDF Original'!B1024="","",'DDF Original'!B1024)</f>
        <v/>
      </c>
      <c r="C1024" s="19" t="e">
        <f t="shared" si="112"/>
        <v>#VALUE!</v>
      </c>
      <c r="D1024" s="20" t="str">
        <f>IF('DDF Original'!C1024="","",'DDF Original'!C1024)</f>
        <v/>
      </c>
      <c r="E1024" s="24" t="str">
        <f>IF('DDF Original'!B1024="","",IF(TRIM('DDF Original'!I1024)="",0,'DDF Original'!I1024))</f>
        <v/>
      </c>
      <c r="F1024" s="20" t="str">
        <f t="shared" si="113"/>
        <v/>
      </c>
      <c r="G1024" s="37" t="str">
        <f>IF('DDF Original'!B1024="","",IF(TRIM('DDF Original'!P1024)="",0,'DDF Original'!P1024))</f>
        <v/>
      </c>
      <c r="H1024" s="20" t="str">
        <f t="shared" si="114"/>
        <v/>
      </c>
      <c r="I1024" s="25" t="str">
        <f t="shared" si="115"/>
        <v/>
      </c>
      <c r="J1024" s="20" t="str">
        <f t="shared" si="116"/>
        <v/>
      </c>
      <c r="K1024" s="20" t="str">
        <f t="shared" si="117"/>
        <v/>
      </c>
      <c r="L1024" s="20" t="str">
        <f>IF(B1024="","",70*'DDF Original'!$Q$4)</f>
        <v/>
      </c>
      <c r="M1024" s="20" t="str">
        <f t="shared" si="118"/>
        <v/>
      </c>
      <c r="N1024" s="20" t="str">
        <f>IF(AND(OR(B1024="",J1024&gt;G1024,M1024&gt;G1024),'DDF Original'!L1024&lt;&gt; "MI"),G1024,IF(M1024&gt;J1024,M1024,J1024))</f>
        <v/>
      </c>
    </row>
    <row r="1025" spans="2:14" x14ac:dyDescent="0.2">
      <c r="B1025" s="19" t="str">
        <f>IF('DDF Original'!B1025="","",'DDF Original'!B1025)</f>
        <v/>
      </c>
      <c r="C1025" s="19" t="e">
        <f t="shared" si="112"/>
        <v>#VALUE!</v>
      </c>
      <c r="D1025" s="20" t="str">
        <f>IF('DDF Original'!C1025="","",'DDF Original'!C1025)</f>
        <v/>
      </c>
      <c r="E1025" s="24" t="str">
        <f>IF('DDF Original'!B1025="","",IF(TRIM('DDF Original'!I1025)="",0,'DDF Original'!I1025))</f>
        <v/>
      </c>
      <c r="F1025" s="20" t="str">
        <f t="shared" si="113"/>
        <v/>
      </c>
      <c r="G1025" s="37" t="str">
        <f>IF('DDF Original'!B1025="","",IF(TRIM('DDF Original'!P1025)="",0,'DDF Original'!P1025))</f>
        <v/>
      </c>
      <c r="H1025" s="20" t="str">
        <f t="shared" si="114"/>
        <v/>
      </c>
      <c r="I1025" s="25" t="str">
        <f t="shared" si="115"/>
        <v/>
      </c>
      <c r="J1025" s="20" t="str">
        <f t="shared" si="116"/>
        <v/>
      </c>
      <c r="K1025" s="20" t="str">
        <f t="shared" si="117"/>
        <v/>
      </c>
      <c r="L1025" s="20" t="str">
        <f>IF(B1025="","",70*'DDF Original'!$Q$4)</f>
        <v/>
      </c>
      <c r="M1025" s="20" t="str">
        <f t="shared" si="118"/>
        <v/>
      </c>
      <c r="N1025" s="20" t="str">
        <f>IF(AND(OR(B1025="",J1025&gt;G1025,M1025&gt;G1025),'DDF Original'!L1025&lt;&gt; "MI"),G1025,IF(M1025&gt;J1025,M1025,J1025))</f>
        <v/>
      </c>
    </row>
    <row r="1026" spans="2:14" x14ac:dyDescent="0.2">
      <c r="B1026" s="19" t="str">
        <f>IF('DDF Original'!B1026="","",'DDF Original'!B1026)</f>
        <v/>
      </c>
      <c r="C1026" s="19" t="e">
        <f t="shared" si="112"/>
        <v>#VALUE!</v>
      </c>
      <c r="D1026" s="20" t="str">
        <f>IF('DDF Original'!C1026="","",'DDF Original'!C1026)</f>
        <v/>
      </c>
      <c r="E1026" s="24" t="str">
        <f>IF('DDF Original'!B1026="","",IF(TRIM('DDF Original'!I1026)="",0,'DDF Original'!I1026))</f>
        <v/>
      </c>
      <c r="F1026" s="20" t="str">
        <f t="shared" si="113"/>
        <v/>
      </c>
      <c r="G1026" s="37" t="str">
        <f>IF('DDF Original'!B1026="","",IF(TRIM('DDF Original'!P1026)="",0,'DDF Original'!P1026))</f>
        <v/>
      </c>
      <c r="H1026" s="20" t="str">
        <f t="shared" si="114"/>
        <v/>
      </c>
      <c r="I1026" s="25" t="str">
        <f t="shared" si="115"/>
        <v/>
      </c>
      <c r="J1026" s="20" t="str">
        <f t="shared" si="116"/>
        <v/>
      </c>
      <c r="K1026" s="20" t="str">
        <f t="shared" si="117"/>
        <v/>
      </c>
      <c r="L1026" s="20" t="str">
        <f>IF(B1026="","",70*'DDF Original'!$Q$4)</f>
        <v/>
      </c>
      <c r="M1026" s="20" t="str">
        <f t="shared" si="118"/>
        <v/>
      </c>
      <c r="N1026" s="20" t="str">
        <f>IF(AND(OR(B1026="",J1026&gt;G1026,M1026&gt;G1026),'DDF Original'!L1026&lt;&gt; "MI"),G1026,IF(M1026&gt;J1026,M1026,J1026))</f>
        <v/>
      </c>
    </row>
    <row r="1027" spans="2:14" x14ac:dyDescent="0.2">
      <c r="B1027" s="19" t="str">
        <f>IF('DDF Original'!B1027="","",'DDF Original'!B1027)</f>
        <v/>
      </c>
      <c r="C1027" s="19" t="e">
        <f t="shared" si="112"/>
        <v>#VALUE!</v>
      </c>
      <c r="D1027" s="20" t="str">
        <f>IF('DDF Original'!C1027="","",'DDF Original'!C1027)</f>
        <v/>
      </c>
      <c r="E1027" s="24" t="str">
        <f>IF('DDF Original'!B1027="","",IF(TRIM('DDF Original'!I1027)="",0,'DDF Original'!I1027))</f>
        <v/>
      </c>
      <c r="F1027" s="20" t="str">
        <f t="shared" si="113"/>
        <v/>
      </c>
      <c r="G1027" s="37" t="str">
        <f>IF('DDF Original'!B1027="","",IF(TRIM('DDF Original'!P1027)="",0,'DDF Original'!P1027))</f>
        <v/>
      </c>
      <c r="H1027" s="20" t="str">
        <f t="shared" si="114"/>
        <v/>
      </c>
      <c r="I1027" s="25" t="str">
        <f t="shared" si="115"/>
        <v/>
      </c>
      <c r="J1027" s="20" t="str">
        <f t="shared" si="116"/>
        <v/>
      </c>
      <c r="K1027" s="20" t="str">
        <f t="shared" si="117"/>
        <v/>
      </c>
      <c r="L1027" s="20" t="str">
        <f>IF(B1027="","",70*'DDF Original'!$Q$4)</f>
        <v/>
      </c>
      <c r="M1027" s="20" t="str">
        <f t="shared" si="118"/>
        <v/>
      </c>
      <c r="N1027" s="20" t="str">
        <f>IF(AND(OR(B1027="",J1027&gt;G1027,M1027&gt;G1027),'DDF Original'!L1027&lt;&gt; "MI"),G1027,IF(M1027&gt;J1027,M1027,J1027))</f>
        <v/>
      </c>
    </row>
    <row r="1028" spans="2:14" x14ac:dyDescent="0.2">
      <c r="B1028" s="19" t="str">
        <f>IF('DDF Original'!B1028="","",'DDF Original'!B1028)</f>
        <v/>
      </c>
      <c r="C1028" s="19" t="e">
        <f t="shared" si="112"/>
        <v>#VALUE!</v>
      </c>
      <c r="D1028" s="20" t="str">
        <f>IF('DDF Original'!C1028="","",'DDF Original'!C1028)</f>
        <v/>
      </c>
      <c r="E1028" s="24" t="str">
        <f>IF('DDF Original'!B1028="","",IF(TRIM('DDF Original'!I1028)="",0,'DDF Original'!I1028))</f>
        <v/>
      </c>
      <c r="F1028" s="20" t="str">
        <f t="shared" si="113"/>
        <v/>
      </c>
      <c r="G1028" s="37" t="str">
        <f>IF('DDF Original'!B1028="","",IF(TRIM('DDF Original'!P1028)="",0,'DDF Original'!P1028))</f>
        <v/>
      </c>
      <c r="H1028" s="20" t="str">
        <f t="shared" si="114"/>
        <v/>
      </c>
      <c r="I1028" s="25" t="str">
        <f t="shared" si="115"/>
        <v/>
      </c>
      <c r="J1028" s="20" t="str">
        <f t="shared" si="116"/>
        <v/>
      </c>
      <c r="K1028" s="20" t="str">
        <f t="shared" si="117"/>
        <v/>
      </c>
      <c r="L1028" s="20" t="str">
        <f>IF(B1028="","",70*'DDF Original'!$Q$4)</f>
        <v/>
      </c>
      <c r="M1028" s="20" t="str">
        <f t="shared" si="118"/>
        <v/>
      </c>
      <c r="N1028" s="20" t="str">
        <f>IF(AND(OR(B1028="",J1028&gt;G1028,M1028&gt;G1028),'DDF Original'!L1028&lt;&gt; "MI"),G1028,IF(M1028&gt;J1028,M1028,J1028))</f>
        <v/>
      </c>
    </row>
    <row r="1029" spans="2:14" x14ac:dyDescent="0.2">
      <c r="B1029" s="19" t="str">
        <f>IF('DDF Original'!B1029="","",'DDF Original'!B1029)</f>
        <v/>
      </c>
      <c r="C1029" s="19" t="e">
        <f t="shared" si="112"/>
        <v>#VALUE!</v>
      </c>
      <c r="D1029" s="20" t="str">
        <f>IF('DDF Original'!C1029="","",'DDF Original'!C1029)</f>
        <v/>
      </c>
      <c r="E1029" s="24" t="str">
        <f>IF('DDF Original'!B1029="","",IF(TRIM('DDF Original'!I1029)="",0,'DDF Original'!I1029))</f>
        <v/>
      </c>
      <c r="F1029" s="20" t="str">
        <f t="shared" si="113"/>
        <v/>
      </c>
      <c r="G1029" s="37" t="str">
        <f>IF('DDF Original'!B1029="","",IF(TRIM('DDF Original'!P1029)="",0,'DDF Original'!P1029))</f>
        <v/>
      </c>
      <c r="H1029" s="20" t="str">
        <f t="shared" si="114"/>
        <v/>
      </c>
      <c r="I1029" s="25" t="str">
        <f t="shared" si="115"/>
        <v/>
      </c>
      <c r="J1029" s="20" t="str">
        <f t="shared" si="116"/>
        <v/>
      </c>
      <c r="K1029" s="20" t="str">
        <f t="shared" si="117"/>
        <v/>
      </c>
      <c r="L1029" s="20" t="str">
        <f>IF(B1029="","",70*'DDF Original'!$Q$4)</f>
        <v/>
      </c>
      <c r="M1029" s="20" t="str">
        <f t="shared" si="118"/>
        <v/>
      </c>
      <c r="N1029" s="20" t="str">
        <f>IF(AND(OR(B1029="",J1029&gt;G1029,M1029&gt;G1029),'DDF Original'!L1029&lt;&gt; "MI"),G1029,IF(M1029&gt;J1029,M1029,J1029))</f>
        <v/>
      </c>
    </row>
    <row r="1030" spans="2:14" x14ac:dyDescent="0.2">
      <c r="B1030" s="19" t="str">
        <f>IF('DDF Original'!B1030="","",'DDF Original'!B1030)</f>
        <v/>
      </c>
      <c r="C1030" s="19" t="e">
        <f t="shared" si="112"/>
        <v>#VALUE!</v>
      </c>
      <c r="D1030" s="20" t="str">
        <f>IF('DDF Original'!C1030="","",'DDF Original'!C1030)</f>
        <v/>
      </c>
      <c r="E1030" s="24" t="str">
        <f>IF('DDF Original'!B1030="","",IF(TRIM('DDF Original'!I1030)="",0,'DDF Original'!I1030))</f>
        <v/>
      </c>
      <c r="F1030" s="20" t="str">
        <f t="shared" si="113"/>
        <v/>
      </c>
      <c r="G1030" s="37" t="str">
        <f>IF('DDF Original'!B1030="","",IF(TRIM('DDF Original'!P1030)="",0,'DDF Original'!P1030))</f>
        <v/>
      </c>
      <c r="H1030" s="20" t="str">
        <f t="shared" si="114"/>
        <v/>
      </c>
      <c r="I1030" s="25" t="str">
        <f t="shared" si="115"/>
        <v/>
      </c>
      <c r="J1030" s="20" t="str">
        <f t="shared" si="116"/>
        <v/>
      </c>
      <c r="K1030" s="20" t="str">
        <f t="shared" si="117"/>
        <v/>
      </c>
      <c r="L1030" s="20" t="str">
        <f>IF(B1030="","",70*'DDF Original'!$Q$4)</f>
        <v/>
      </c>
      <c r="M1030" s="20" t="str">
        <f t="shared" si="118"/>
        <v/>
      </c>
      <c r="N1030" s="20" t="str">
        <f>IF(AND(OR(B1030="",J1030&gt;G1030,M1030&gt;G1030),'DDF Original'!L1030&lt;&gt; "MI"),G1030,IF(M1030&gt;J1030,M1030,J1030))</f>
        <v/>
      </c>
    </row>
    <row r="1031" spans="2:14" x14ac:dyDescent="0.2">
      <c r="B1031" s="19" t="str">
        <f>IF('DDF Original'!B1031="","",'DDF Original'!B1031)</f>
        <v/>
      </c>
      <c r="C1031" s="19" t="e">
        <f t="shared" si="112"/>
        <v>#VALUE!</v>
      </c>
      <c r="D1031" s="20" t="str">
        <f>IF('DDF Original'!C1031="","",'DDF Original'!C1031)</f>
        <v/>
      </c>
      <c r="E1031" s="24" t="str">
        <f>IF('DDF Original'!B1031="","",IF(TRIM('DDF Original'!I1031)="",0,'DDF Original'!I1031))</f>
        <v/>
      </c>
      <c r="F1031" s="20" t="str">
        <f t="shared" si="113"/>
        <v/>
      </c>
      <c r="G1031" s="37" t="str">
        <f>IF('DDF Original'!B1031="","",IF(TRIM('DDF Original'!P1031)="",0,'DDF Original'!P1031))</f>
        <v/>
      </c>
      <c r="H1031" s="20" t="str">
        <f t="shared" si="114"/>
        <v/>
      </c>
      <c r="I1031" s="25" t="str">
        <f t="shared" si="115"/>
        <v/>
      </c>
      <c r="J1031" s="20" t="str">
        <f t="shared" si="116"/>
        <v/>
      </c>
      <c r="K1031" s="20" t="str">
        <f t="shared" si="117"/>
        <v/>
      </c>
      <c r="L1031" s="20" t="str">
        <f>IF(B1031="","",70*'DDF Original'!$Q$4)</f>
        <v/>
      </c>
      <c r="M1031" s="20" t="str">
        <f t="shared" si="118"/>
        <v/>
      </c>
      <c r="N1031" s="20" t="str">
        <f>IF(AND(OR(B1031="",J1031&gt;G1031,M1031&gt;G1031),'DDF Original'!L1031&lt;&gt; "MI"),G1031,IF(M1031&gt;J1031,M1031,J1031))</f>
        <v/>
      </c>
    </row>
    <row r="1032" spans="2:14" x14ac:dyDescent="0.2">
      <c r="B1032" s="19" t="str">
        <f>IF('DDF Original'!B1032="","",'DDF Original'!B1032)</f>
        <v/>
      </c>
      <c r="C1032" s="19" t="e">
        <f t="shared" si="112"/>
        <v>#VALUE!</v>
      </c>
      <c r="D1032" s="20" t="str">
        <f>IF('DDF Original'!C1032="","",'DDF Original'!C1032)</f>
        <v/>
      </c>
      <c r="E1032" s="24" t="str">
        <f>IF('DDF Original'!B1032="","",IF(TRIM('DDF Original'!I1032)="",0,'DDF Original'!I1032))</f>
        <v/>
      </c>
      <c r="F1032" s="20" t="str">
        <f t="shared" si="113"/>
        <v/>
      </c>
      <c r="G1032" s="37" t="str">
        <f>IF('DDF Original'!B1032="","",IF(TRIM('DDF Original'!P1032)="",0,'DDF Original'!P1032))</f>
        <v/>
      </c>
      <c r="H1032" s="20" t="str">
        <f t="shared" si="114"/>
        <v/>
      </c>
      <c r="I1032" s="25" t="str">
        <f t="shared" si="115"/>
        <v/>
      </c>
      <c r="J1032" s="20" t="str">
        <f t="shared" si="116"/>
        <v/>
      </c>
      <c r="K1032" s="20" t="str">
        <f t="shared" si="117"/>
        <v/>
      </c>
      <c r="L1032" s="20" t="str">
        <f>IF(B1032="","",70*'DDF Original'!$Q$4)</f>
        <v/>
      </c>
      <c r="M1032" s="20" t="str">
        <f t="shared" si="118"/>
        <v/>
      </c>
      <c r="N1032" s="20" t="str">
        <f>IF(AND(OR(B1032="",J1032&gt;G1032,M1032&gt;G1032),'DDF Original'!L1032&lt;&gt; "MI"),G1032,IF(M1032&gt;J1032,M1032,J1032))</f>
        <v/>
      </c>
    </row>
    <row r="1033" spans="2:14" x14ac:dyDescent="0.2">
      <c r="B1033" s="19" t="str">
        <f>IF('DDF Original'!B1033="","",'DDF Original'!B1033)</f>
        <v/>
      </c>
      <c r="C1033" s="19" t="e">
        <f t="shared" si="112"/>
        <v>#VALUE!</v>
      </c>
      <c r="D1033" s="20" t="str">
        <f>IF('DDF Original'!C1033="","",'DDF Original'!C1033)</f>
        <v/>
      </c>
      <c r="E1033" s="24" t="str">
        <f>IF('DDF Original'!B1033="","",IF(TRIM('DDF Original'!I1033)="",0,'DDF Original'!I1033))</f>
        <v/>
      </c>
      <c r="F1033" s="20" t="str">
        <f t="shared" si="113"/>
        <v/>
      </c>
      <c r="G1033" s="37" t="str">
        <f>IF('DDF Original'!B1033="","",IF(TRIM('DDF Original'!P1033)="",0,'DDF Original'!P1033))</f>
        <v/>
      </c>
      <c r="H1033" s="20" t="str">
        <f t="shared" si="114"/>
        <v/>
      </c>
      <c r="I1033" s="25" t="str">
        <f t="shared" si="115"/>
        <v/>
      </c>
      <c r="J1033" s="20" t="str">
        <f t="shared" si="116"/>
        <v/>
      </c>
      <c r="K1033" s="20" t="str">
        <f t="shared" si="117"/>
        <v/>
      </c>
      <c r="L1033" s="20" t="str">
        <f>IF(B1033="","",70*'DDF Original'!$Q$4)</f>
        <v/>
      </c>
      <c r="M1033" s="20" t="str">
        <f t="shared" si="118"/>
        <v/>
      </c>
      <c r="N1033" s="20" t="str">
        <f>IF(AND(OR(B1033="",J1033&gt;G1033,M1033&gt;G1033),'DDF Original'!L1033&lt;&gt; "MI"),G1033,IF(M1033&gt;J1033,M1033,J1033))</f>
        <v/>
      </c>
    </row>
    <row r="1034" spans="2:14" x14ac:dyDescent="0.2">
      <c r="B1034" s="19" t="str">
        <f>IF('DDF Original'!B1034="","",'DDF Original'!B1034)</f>
        <v/>
      </c>
      <c r="C1034" s="19" t="e">
        <f t="shared" si="112"/>
        <v>#VALUE!</v>
      </c>
      <c r="D1034" s="20" t="str">
        <f>IF('DDF Original'!C1034="","",'DDF Original'!C1034)</f>
        <v/>
      </c>
      <c r="E1034" s="24" t="str">
        <f>IF('DDF Original'!B1034="","",IF(TRIM('DDF Original'!I1034)="",0,'DDF Original'!I1034))</f>
        <v/>
      </c>
      <c r="F1034" s="20" t="str">
        <f t="shared" si="113"/>
        <v/>
      </c>
      <c r="G1034" s="37" t="str">
        <f>IF('DDF Original'!B1034="","",IF(TRIM('DDF Original'!P1034)="",0,'DDF Original'!P1034))</f>
        <v/>
      </c>
      <c r="H1034" s="20" t="str">
        <f t="shared" si="114"/>
        <v/>
      </c>
      <c r="I1034" s="25" t="str">
        <f t="shared" si="115"/>
        <v/>
      </c>
      <c r="J1034" s="20" t="str">
        <f t="shared" si="116"/>
        <v/>
      </c>
      <c r="K1034" s="20" t="str">
        <f t="shared" si="117"/>
        <v/>
      </c>
      <c r="L1034" s="20" t="str">
        <f>IF(B1034="","",70*'DDF Original'!$Q$4)</f>
        <v/>
      </c>
      <c r="M1034" s="20" t="str">
        <f t="shared" si="118"/>
        <v/>
      </c>
      <c r="N1034" s="20" t="str">
        <f>IF(AND(OR(B1034="",J1034&gt;G1034,M1034&gt;G1034),'DDF Original'!L1034&lt;&gt; "MI"),G1034,IF(M1034&gt;J1034,M1034,J1034))</f>
        <v/>
      </c>
    </row>
    <row r="1035" spans="2:14" x14ac:dyDescent="0.2">
      <c r="B1035" s="19" t="str">
        <f>IF('DDF Original'!B1035="","",'DDF Original'!B1035)</f>
        <v/>
      </c>
      <c r="C1035" s="19" t="e">
        <f t="shared" si="112"/>
        <v>#VALUE!</v>
      </c>
      <c r="D1035" s="20" t="str">
        <f>IF('DDF Original'!C1035="","",'DDF Original'!C1035)</f>
        <v/>
      </c>
      <c r="E1035" s="24" t="str">
        <f>IF('DDF Original'!B1035="","",IF(TRIM('DDF Original'!I1035)="",0,'DDF Original'!I1035))</f>
        <v/>
      </c>
      <c r="F1035" s="20" t="str">
        <f t="shared" si="113"/>
        <v/>
      </c>
      <c r="G1035" s="37" t="str">
        <f>IF('DDF Original'!B1035="","",IF(TRIM('DDF Original'!P1035)="",0,'DDF Original'!P1035))</f>
        <v/>
      </c>
      <c r="H1035" s="20" t="str">
        <f t="shared" si="114"/>
        <v/>
      </c>
      <c r="I1035" s="25" t="str">
        <f t="shared" si="115"/>
        <v/>
      </c>
      <c r="J1035" s="20" t="str">
        <f t="shared" si="116"/>
        <v/>
      </c>
      <c r="K1035" s="20" t="str">
        <f t="shared" si="117"/>
        <v/>
      </c>
      <c r="L1035" s="20" t="str">
        <f>IF(B1035="","",70*'DDF Original'!$Q$4)</f>
        <v/>
      </c>
      <c r="M1035" s="20" t="str">
        <f t="shared" si="118"/>
        <v/>
      </c>
      <c r="N1035" s="20" t="str">
        <f>IF(AND(OR(B1035="",J1035&gt;G1035,M1035&gt;G1035),'DDF Original'!L1035&lt;&gt; "MI"),G1035,IF(M1035&gt;J1035,M1035,J1035))</f>
        <v/>
      </c>
    </row>
    <row r="1036" spans="2:14" x14ac:dyDescent="0.2">
      <c r="B1036" s="19" t="str">
        <f>IF('DDF Original'!B1036="","",'DDF Original'!B1036)</f>
        <v/>
      </c>
      <c r="C1036" s="19" t="e">
        <f t="shared" si="112"/>
        <v>#VALUE!</v>
      </c>
      <c r="D1036" s="20" t="str">
        <f>IF('DDF Original'!C1036="","",'DDF Original'!C1036)</f>
        <v/>
      </c>
      <c r="E1036" s="24" t="str">
        <f>IF('DDF Original'!B1036="","",IF(TRIM('DDF Original'!I1036)="",0,'DDF Original'!I1036))</f>
        <v/>
      </c>
      <c r="F1036" s="20" t="str">
        <f t="shared" si="113"/>
        <v/>
      </c>
      <c r="G1036" s="37" t="str">
        <f>IF('DDF Original'!B1036="","",IF(TRIM('DDF Original'!P1036)="",0,'DDF Original'!P1036))</f>
        <v/>
      </c>
      <c r="H1036" s="20" t="str">
        <f t="shared" si="114"/>
        <v/>
      </c>
      <c r="I1036" s="25" t="str">
        <f t="shared" si="115"/>
        <v/>
      </c>
      <c r="J1036" s="20" t="str">
        <f t="shared" si="116"/>
        <v/>
      </c>
      <c r="K1036" s="20" t="str">
        <f t="shared" si="117"/>
        <v/>
      </c>
      <c r="L1036" s="20" t="str">
        <f>IF(B1036="","",70*'DDF Original'!$Q$4)</f>
        <v/>
      </c>
      <c r="M1036" s="20" t="str">
        <f t="shared" si="118"/>
        <v/>
      </c>
      <c r="N1036" s="20" t="str">
        <f>IF(AND(OR(B1036="",J1036&gt;G1036,M1036&gt;G1036),'DDF Original'!L1036&lt;&gt; "MI"),G1036,IF(M1036&gt;J1036,M1036,J1036))</f>
        <v/>
      </c>
    </row>
    <row r="1037" spans="2:14" x14ac:dyDescent="0.2">
      <c r="B1037" s="19" t="str">
        <f>IF('DDF Original'!B1037="","",'DDF Original'!B1037)</f>
        <v/>
      </c>
      <c r="C1037" s="19" t="e">
        <f t="shared" si="112"/>
        <v>#VALUE!</v>
      </c>
      <c r="D1037" s="20" t="str">
        <f>IF('DDF Original'!C1037="","",'DDF Original'!C1037)</f>
        <v/>
      </c>
      <c r="E1037" s="24" t="str">
        <f>IF('DDF Original'!B1037="","",IF(TRIM('DDF Original'!I1037)="",0,'DDF Original'!I1037))</f>
        <v/>
      </c>
      <c r="F1037" s="20" t="str">
        <f t="shared" si="113"/>
        <v/>
      </c>
      <c r="G1037" s="37" t="str">
        <f>IF('DDF Original'!B1037="","",IF(TRIM('DDF Original'!P1037)="",0,'DDF Original'!P1037))</f>
        <v/>
      </c>
      <c r="H1037" s="20" t="str">
        <f t="shared" si="114"/>
        <v/>
      </c>
      <c r="I1037" s="25" t="str">
        <f t="shared" si="115"/>
        <v/>
      </c>
      <c r="J1037" s="20" t="str">
        <f t="shared" si="116"/>
        <v/>
      </c>
      <c r="K1037" s="20" t="str">
        <f t="shared" si="117"/>
        <v/>
      </c>
      <c r="L1037" s="20" t="str">
        <f>IF(B1037="","",70*'DDF Original'!$Q$4)</f>
        <v/>
      </c>
      <c r="M1037" s="20" t="str">
        <f t="shared" si="118"/>
        <v/>
      </c>
      <c r="N1037" s="20" t="str">
        <f>IF(AND(OR(B1037="",J1037&gt;G1037,M1037&gt;G1037),'DDF Original'!L1037&lt;&gt; "MI"),G1037,IF(M1037&gt;J1037,M1037,J1037))</f>
        <v/>
      </c>
    </row>
    <row r="1038" spans="2:14" x14ac:dyDescent="0.2">
      <c r="B1038" s="19" t="str">
        <f>IF('DDF Original'!B1038="","",'DDF Original'!B1038)</f>
        <v/>
      </c>
      <c r="C1038" s="19" t="e">
        <f t="shared" si="112"/>
        <v>#VALUE!</v>
      </c>
      <c r="D1038" s="20" t="str">
        <f>IF('DDF Original'!C1038="","",'DDF Original'!C1038)</f>
        <v/>
      </c>
      <c r="E1038" s="24" t="str">
        <f>IF('DDF Original'!B1038="","",IF(TRIM('DDF Original'!I1038)="",0,'DDF Original'!I1038))</f>
        <v/>
      </c>
      <c r="F1038" s="20" t="str">
        <f t="shared" si="113"/>
        <v/>
      </c>
      <c r="G1038" s="37" t="str">
        <f>IF('DDF Original'!B1038="","",IF(TRIM('DDF Original'!P1038)="",0,'DDF Original'!P1038))</f>
        <v/>
      </c>
      <c r="H1038" s="20" t="str">
        <f t="shared" si="114"/>
        <v/>
      </c>
      <c r="I1038" s="25" t="str">
        <f t="shared" si="115"/>
        <v/>
      </c>
      <c r="J1038" s="20" t="str">
        <f t="shared" si="116"/>
        <v/>
      </c>
      <c r="K1038" s="20" t="str">
        <f t="shared" si="117"/>
        <v/>
      </c>
      <c r="L1038" s="20" t="str">
        <f>IF(B1038="","",70*'DDF Original'!$Q$4)</f>
        <v/>
      </c>
      <c r="M1038" s="20" t="str">
        <f t="shared" si="118"/>
        <v/>
      </c>
      <c r="N1038" s="20" t="str">
        <f>IF(AND(OR(B1038="",J1038&gt;G1038,M1038&gt;G1038),'DDF Original'!L1038&lt;&gt; "MI"),G1038,IF(M1038&gt;J1038,M1038,J1038))</f>
        <v/>
      </c>
    </row>
    <row r="1039" spans="2:14" x14ac:dyDescent="0.2">
      <c r="B1039" s="19" t="str">
        <f>IF('DDF Original'!B1039="","",'DDF Original'!B1039)</f>
        <v/>
      </c>
      <c r="C1039" s="19" t="e">
        <f t="shared" si="112"/>
        <v>#VALUE!</v>
      </c>
      <c r="D1039" s="20" t="str">
        <f>IF('DDF Original'!C1039="","",'DDF Original'!C1039)</f>
        <v/>
      </c>
      <c r="E1039" s="24" t="str">
        <f>IF('DDF Original'!B1039="","",IF(TRIM('DDF Original'!I1039)="",0,'DDF Original'!I1039))</f>
        <v/>
      </c>
      <c r="F1039" s="20" t="str">
        <f t="shared" si="113"/>
        <v/>
      </c>
      <c r="G1039" s="37" t="str">
        <f>IF('DDF Original'!B1039="","",IF(TRIM('DDF Original'!P1039)="",0,'DDF Original'!P1039))</f>
        <v/>
      </c>
      <c r="H1039" s="20" t="str">
        <f t="shared" si="114"/>
        <v/>
      </c>
      <c r="I1039" s="25" t="str">
        <f t="shared" si="115"/>
        <v/>
      </c>
      <c r="J1039" s="20" t="str">
        <f t="shared" si="116"/>
        <v/>
      </c>
      <c r="K1039" s="20" t="str">
        <f t="shared" si="117"/>
        <v/>
      </c>
      <c r="L1039" s="20" t="str">
        <f>IF(B1039="","",70*'DDF Original'!$Q$4)</f>
        <v/>
      </c>
      <c r="M1039" s="20" t="str">
        <f t="shared" si="118"/>
        <v/>
      </c>
      <c r="N1039" s="20" t="str">
        <f>IF(AND(OR(B1039="",J1039&gt;G1039,M1039&gt;G1039),'DDF Original'!L1039&lt;&gt; "MI"),G1039,IF(M1039&gt;J1039,M1039,J1039))</f>
        <v/>
      </c>
    </row>
    <row r="1040" spans="2:14" x14ac:dyDescent="0.2">
      <c r="B1040" s="19" t="str">
        <f>IF('DDF Original'!B1040="","",'DDF Original'!B1040)</f>
        <v/>
      </c>
      <c r="C1040" s="19" t="e">
        <f t="shared" si="112"/>
        <v>#VALUE!</v>
      </c>
      <c r="D1040" s="20" t="str">
        <f>IF('DDF Original'!C1040="","",'DDF Original'!C1040)</f>
        <v/>
      </c>
      <c r="E1040" s="24" t="str">
        <f>IF('DDF Original'!B1040="","",IF(TRIM('DDF Original'!I1040)="",0,'DDF Original'!I1040))</f>
        <v/>
      </c>
      <c r="F1040" s="20" t="str">
        <f t="shared" si="113"/>
        <v/>
      </c>
      <c r="G1040" s="37" t="str">
        <f>IF('DDF Original'!B1040="","",IF(TRIM('DDF Original'!P1040)="",0,'DDF Original'!P1040))</f>
        <v/>
      </c>
      <c r="H1040" s="20" t="str">
        <f t="shared" si="114"/>
        <v/>
      </c>
      <c r="I1040" s="25" t="str">
        <f t="shared" si="115"/>
        <v/>
      </c>
      <c r="J1040" s="20" t="str">
        <f t="shared" si="116"/>
        <v/>
      </c>
      <c r="K1040" s="20" t="str">
        <f t="shared" si="117"/>
        <v/>
      </c>
      <c r="L1040" s="20" t="str">
        <f>IF(B1040="","",70*'DDF Original'!$Q$4)</f>
        <v/>
      </c>
      <c r="M1040" s="20" t="str">
        <f t="shared" si="118"/>
        <v/>
      </c>
      <c r="N1040" s="20" t="str">
        <f>IF(AND(OR(B1040="",J1040&gt;G1040,M1040&gt;G1040),'DDF Original'!L1040&lt;&gt; "MI"),G1040,IF(M1040&gt;J1040,M1040,J1040))</f>
        <v/>
      </c>
    </row>
    <row r="1041" spans="2:14" x14ac:dyDescent="0.2">
      <c r="B1041" s="19" t="str">
        <f>IF('DDF Original'!B1041="","",'DDF Original'!B1041)</f>
        <v/>
      </c>
      <c r="C1041" s="19" t="e">
        <f t="shared" si="112"/>
        <v>#VALUE!</v>
      </c>
      <c r="D1041" s="20" t="str">
        <f>IF('DDF Original'!C1041="","",'DDF Original'!C1041)</f>
        <v/>
      </c>
      <c r="E1041" s="24" t="str">
        <f>IF('DDF Original'!B1041="","",IF(TRIM('DDF Original'!I1041)="",0,'DDF Original'!I1041))</f>
        <v/>
      </c>
      <c r="F1041" s="20" t="str">
        <f t="shared" si="113"/>
        <v/>
      </c>
      <c r="G1041" s="37" t="str">
        <f>IF('DDF Original'!B1041="","",IF(TRIM('DDF Original'!P1041)="",0,'DDF Original'!P1041))</f>
        <v/>
      </c>
      <c r="H1041" s="20" t="str">
        <f t="shared" si="114"/>
        <v/>
      </c>
      <c r="I1041" s="25" t="str">
        <f t="shared" si="115"/>
        <v/>
      </c>
      <c r="J1041" s="20" t="str">
        <f t="shared" si="116"/>
        <v/>
      </c>
      <c r="K1041" s="20" t="str">
        <f t="shared" si="117"/>
        <v/>
      </c>
      <c r="L1041" s="20" t="str">
        <f>IF(B1041="","",70*'DDF Original'!$Q$4)</f>
        <v/>
      </c>
      <c r="M1041" s="20" t="str">
        <f t="shared" si="118"/>
        <v/>
      </c>
      <c r="N1041" s="20" t="str">
        <f>IF(AND(OR(B1041="",J1041&gt;G1041,M1041&gt;G1041),'DDF Original'!L1041&lt;&gt; "MI"),G1041,IF(M1041&gt;J1041,M1041,J1041))</f>
        <v/>
      </c>
    </row>
    <row r="1042" spans="2:14" x14ac:dyDescent="0.2">
      <c r="B1042" s="19" t="str">
        <f>IF('DDF Original'!B1042="","",'DDF Original'!B1042)</f>
        <v/>
      </c>
      <c r="C1042" s="19" t="e">
        <f t="shared" si="112"/>
        <v>#VALUE!</v>
      </c>
      <c r="D1042" s="20" t="str">
        <f>IF('DDF Original'!C1042="","",'DDF Original'!C1042)</f>
        <v/>
      </c>
      <c r="E1042" s="24" t="str">
        <f>IF('DDF Original'!B1042="","",IF(TRIM('DDF Original'!I1042)="",0,'DDF Original'!I1042))</f>
        <v/>
      </c>
      <c r="F1042" s="20" t="str">
        <f t="shared" si="113"/>
        <v/>
      </c>
      <c r="G1042" s="37" t="str">
        <f>IF('DDF Original'!B1042="","",IF(TRIM('DDF Original'!P1042)="",0,'DDF Original'!P1042))</f>
        <v/>
      </c>
      <c r="H1042" s="20" t="str">
        <f t="shared" si="114"/>
        <v/>
      </c>
      <c r="I1042" s="25" t="str">
        <f t="shared" si="115"/>
        <v/>
      </c>
      <c r="J1042" s="20" t="str">
        <f t="shared" si="116"/>
        <v/>
      </c>
      <c r="K1042" s="20" t="str">
        <f t="shared" si="117"/>
        <v/>
      </c>
      <c r="L1042" s="20" t="str">
        <f>IF(B1042="","",70*'DDF Original'!$Q$4)</f>
        <v/>
      </c>
      <c r="M1042" s="20" t="str">
        <f t="shared" si="118"/>
        <v/>
      </c>
      <c r="N1042" s="20" t="str">
        <f>IF(AND(OR(B1042="",J1042&gt;G1042,M1042&gt;G1042),'DDF Original'!L1042&lt;&gt; "MI"),G1042,IF(M1042&gt;J1042,M1042,J1042))</f>
        <v/>
      </c>
    </row>
    <row r="1043" spans="2:14" x14ac:dyDescent="0.2">
      <c r="B1043" s="19" t="str">
        <f>IF('DDF Original'!B1043="","",'DDF Original'!B1043)</f>
        <v/>
      </c>
      <c r="C1043" s="19" t="e">
        <f t="shared" si="112"/>
        <v>#VALUE!</v>
      </c>
      <c r="D1043" s="20" t="str">
        <f>IF('DDF Original'!C1043="","",'DDF Original'!C1043)</f>
        <v/>
      </c>
      <c r="E1043" s="24" t="str">
        <f>IF('DDF Original'!B1043="","",IF(TRIM('DDF Original'!I1043)="",0,'DDF Original'!I1043))</f>
        <v/>
      </c>
      <c r="F1043" s="20" t="str">
        <f t="shared" si="113"/>
        <v/>
      </c>
      <c r="G1043" s="37" t="str">
        <f>IF('DDF Original'!B1043="","",IF(TRIM('DDF Original'!P1043)="",0,'DDF Original'!P1043))</f>
        <v/>
      </c>
      <c r="H1043" s="20" t="str">
        <f t="shared" si="114"/>
        <v/>
      </c>
      <c r="I1043" s="25" t="str">
        <f t="shared" si="115"/>
        <v/>
      </c>
      <c r="J1043" s="20" t="str">
        <f t="shared" si="116"/>
        <v/>
      </c>
      <c r="K1043" s="20" t="str">
        <f t="shared" si="117"/>
        <v/>
      </c>
      <c r="L1043" s="20" t="str">
        <f>IF(B1043="","",70*'DDF Original'!$Q$4)</f>
        <v/>
      </c>
      <c r="M1043" s="20" t="str">
        <f t="shared" si="118"/>
        <v/>
      </c>
      <c r="N1043" s="20" t="str">
        <f>IF(AND(OR(B1043="",J1043&gt;G1043,M1043&gt;G1043),'DDF Original'!L1043&lt;&gt; "MI"),G1043,IF(M1043&gt;J1043,M1043,J1043))</f>
        <v/>
      </c>
    </row>
    <row r="1044" spans="2:14" x14ac:dyDescent="0.2">
      <c r="B1044" s="19" t="str">
        <f>IF('DDF Original'!B1044="","",'DDF Original'!B1044)</f>
        <v/>
      </c>
      <c r="C1044" s="19" t="e">
        <f t="shared" si="112"/>
        <v>#VALUE!</v>
      </c>
      <c r="D1044" s="20" t="str">
        <f>IF('DDF Original'!C1044="","",'DDF Original'!C1044)</f>
        <v/>
      </c>
      <c r="E1044" s="24" t="str">
        <f>IF('DDF Original'!B1044="","",IF(TRIM('DDF Original'!I1044)="",0,'DDF Original'!I1044))</f>
        <v/>
      </c>
      <c r="F1044" s="20" t="str">
        <f t="shared" si="113"/>
        <v/>
      </c>
      <c r="G1044" s="37" t="str">
        <f>IF('DDF Original'!B1044="","",IF(TRIM('DDF Original'!P1044)="",0,'DDF Original'!P1044))</f>
        <v/>
      </c>
      <c r="H1044" s="20" t="str">
        <f t="shared" si="114"/>
        <v/>
      </c>
      <c r="I1044" s="25" t="str">
        <f t="shared" si="115"/>
        <v/>
      </c>
      <c r="J1044" s="20" t="str">
        <f t="shared" si="116"/>
        <v/>
      </c>
      <c r="K1044" s="20" t="str">
        <f t="shared" si="117"/>
        <v/>
      </c>
      <c r="L1044" s="20" t="str">
        <f>IF(B1044="","",70*'DDF Original'!$Q$4)</f>
        <v/>
      </c>
      <c r="M1044" s="20" t="str">
        <f t="shared" si="118"/>
        <v/>
      </c>
      <c r="N1044" s="20" t="str">
        <f>IF(AND(OR(B1044="",J1044&gt;G1044,M1044&gt;G1044),'DDF Original'!L1044&lt;&gt; "MI"),G1044,IF(M1044&gt;J1044,M1044,J1044))</f>
        <v/>
      </c>
    </row>
    <row r="1045" spans="2:14" x14ac:dyDescent="0.2">
      <c r="B1045" s="19" t="str">
        <f>IF('DDF Original'!B1045="","",'DDF Original'!B1045)</f>
        <v/>
      </c>
      <c r="C1045" s="19" t="e">
        <f t="shared" si="112"/>
        <v>#VALUE!</v>
      </c>
      <c r="D1045" s="20" t="str">
        <f>IF('DDF Original'!C1045="","",'DDF Original'!C1045)</f>
        <v/>
      </c>
      <c r="E1045" s="24" t="str">
        <f>IF('DDF Original'!B1045="","",IF(TRIM('DDF Original'!I1045)="",0,'DDF Original'!I1045))</f>
        <v/>
      </c>
      <c r="F1045" s="20" t="str">
        <f t="shared" si="113"/>
        <v/>
      </c>
      <c r="G1045" s="37" t="str">
        <f>IF('DDF Original'!B1045="","",IF(TRIM('DDF Original'!P1045)="",0,'DDF Original'!P1045))</f>
        <v/>
      </c>
      <c r="H1045" s="20" t="str">
        <f t="shared" si="114"/>
        <v/>
      </c>
      <c r="I1045" s="25" t="str">
        <f t="shared" si="115"/>
        <v/>
      </c>
      <c r="J1045" s="20" t="str">
        <f t="shared" si="116"/>
        <v/>
      </c>
      <c r="K1045" s="20" t="str">
        <f t="shared" si="117"/>
        <v/>
      </c>
      <c r="L1045" s="20" t="str">
        <f>IF(B1045="","",70*'DDF Original'!$Q$4)</f>
        <v/>
      </c>
      <c r="M1045" s="20" t="str">
        <f t="shared" si="118"/>
        <v/>
      </c>
      <c r="N1045" s="20" t="str">
        <f>IF(AND(OR(B1045="",J1045&gt;G1045,M1045&gt;G1045),'DDF Original'!L1045&lt;&gt; "MI"),G1045,IF(M1045&gt;J1045,M1045,J1045))</f>
        <v/>
      </c>
    </row>
    <row r="1046" spans="2:14" x14ac:dyDescent="0.2">
      <c r="B1046" s="19" t="str">
        <f>IF('DDF Original'!B1046="","",'DDF Original'!B1046)</f>
        <v/>
      </c>
      <c r="C1046" s="19" t="e">
        <f t="shared" si="112"/>
        <v>#VALUE!</v>
      </c>
      <c r="D1046" s="20" t="str">
        <f>IF('DDF Original'!C1046="","",'DDF Original'!C1046)</f>
        <v/>
      </c>
      <c r="E1046" s="24" t="str">
        <f>IF('DDF Original'!B1046="","",IF(TRIM('DDF Original'!I1046)="",0,'DDF Original'!I1046))</f>
        <v/>
      </c>
      <c r="F1046" s="20" t="str">
        <f t="shared" si="113"/>
        <v/>
      </c>
      <c r="G1046" s="37" t="str">
        <f>IF('DDF Original'!B1046="","",IF(TRIM('DDF Original'!P1046)="",0,'DDF Original'!P1046))</f>
        <v/>
      </c>
      <c r="H1046" s="20" t="str">
        <f t="shared" si="114"/>
        <v/>
      </c>
      <c r="I1046" s="25" t="str">
        <f t="shared" si="115"/>
        <v/>
      </c>
      <c r="J1046" s="20" t="str">
        <f t="shared" si="116"/>
        <v/>
      </c>
      <c r="K1046" s="20" t="str">
        <f t="shared" si="117"/>
        <v/>
      </c>
      <c r="L1046" s="20" t="str">
        <f>IF(B1046="","",70*'DDF Original'!$Q$4)</f>
        <v/>
      </c>
      <c r="M1046" s="20" t="str">
        <f t="shared" si="118"/>
        <v/>
      </c>
      <c r="N1046" s="20" t="str">
        <f>IF(AND(OR(B1046="",J1046&gt;G1046,M1046&gt;G1046),'DDF Original'!L1046&lt;&gt; "MI"),G1046,IF(M1046&gt;J1046,M1046,J1046))</f>
        <v/>
      </c>
    </row>
    <row r="1047" spans="2:14" x14ac:dyDescent="0.2">
      <c r="B1047" s="19" t="str">
        <f>IF('DDF Original'!B1047="","",'DDF Original'!B1047)</f>
        <v/>
      </c>
      <c r="C1047" s="19" t="e">
        <f t="shared" si="112"/>
        <v>#VALUE!</v>
      </c>
      <c r="D1047" s="20" t="str">
        <f>IF('DDF Original'!C1047="","",'DDF Original'!C1047)</f>
        <v/>
      </c>
      <c r="E1047" s="24" t="str">
        <f>IF('DDF Original'!B1047="","",IF(TRIM('DDF Original'!I1047)="",0,'DDF Original'!I1047))</f>
        <v/>
      </c>
      <c r="F1047" s="20" t="str">
        <f t="shared" si="113"/>
        <v/>
      </c>
      <c r="G1047" s="37" t="str">
        <f>IF('DDF Original'!B1047="","",IF(TRIM('DDF Original'!P1047)="",0,'DDF Original'!P1047))</f>
        <v/>
      </c>
      <c r="H1047" s="20" t="str">
        <f t="shared" si="114"/>
        <v/>
      </c>
      <c r="I1047" s="25" t="str">
        <f t="shared" si="115"/>
        <v/>
      </c>
      <c r="J1047" s="20" t="str">
        <f t="shared" si="116"/>
        <v/>
      </c>
      <c r="K1047" s="20" t="str">
        <f t="shared" si="117"/>
        <v/>
      </c>
      <c r="L1047" s="20" t="str">
        <f>IF(B1047="","",70*'DDF Original'!$Q$4)</f>
        <v/>
      </c>
      <c r="M1047" s="20" t="str">
        <f t="shared" si="118"/>
        <v/>
      </c>
      <c r="N1047" s="20" t="str">
        <f>IF(AND(OR(B1047="",J1047&gt;G1047,M1047&gt;G1047),'DDF Original'!L1047&lt;&gt; "MI"),G1047,IF(M1047&gt;J1047,M1047,J1047))</f>
        <v/>
      </c>
    </row>
    <row r="1048" spans="2:14" x14ac:dyDescent="0.2">
      <c r="B1048" s="19" t="str">
        <f>IF('DDF Original'!B1048="","",'DDF Original'!B1048)</f>
        <v/>
      </c>
      <c r="C1048" s="19" t="e">
        <f t="shared" si="112"/>
        <v>#VALUE!</v>
      </c>
      <c r="D1048" s="20" t="str">
        <f>IF('DDF Original'!C1048="","",'DDF Original'!C1048)</f>
        <v/>
      </c>
      <c r="E1048" s="24" t="str">
        <f>IF('DDF Original'!B1048="","",IF(TRIM('DDF Original'!I1048)="",0,'DDF Original'!I1048))</f>
        <v/>
      </c>
      <c r="F1048" s="20" t="str">
        <f t="shared" si="113"/>
        <v/>
      </c>
      <c r="G1048" s="37" t="str">
        <f>IF('DDF Original'!B1048="","",IF(TRIM('DDF Original'!P1048)="",0,'DDF Original'!P1048))</f>
        <v/>
      </c>
      <c r="H1048" s="20" t="str">
        <f t="shared" si="114"/>
        <v/>
      </c>
      <c r="I1048" s="25" t="str">
        <f t="shared" si="115"/>
        <v/>
      </c>
      <c r="J1048" s="20" t="str">
        <f t="shared" si="116"/>
        <v/>
      </c>
      <c r="K1048" s="20" t="str">
        <f t="shared" si="117"/>
        <v/>
      </c>
      <c r="L1048" s="20" t="str">
        <f>IF(B1048="","",70*'DDF Original'!$Q$4)</f>
        <v/>
      </c>
      <c r="M1048" s="20" t="str">
        <f t="shared" si="118"/>
        <v/>
      </c>
      <c r="N1048" s="20" t="str">
        <f>IF(AND(OR(B1048="",J1048&gt;G1048,M1048&gt;G1048),'DDF Original'!L1048&lt;&gt; "MI"),G1048,IF(M1048&gt;J1048,M1048,J1048))</f>
        <v/>
      </c>
    </row>
    <row r="1049" spans="2:14" x14ac:dyDescent="0.2">
      <c r="B1049" s="19" t="str">
        <f>IF('DDF Original'!B1049="","",'DDF Original'!B1049)</f>
        <v/>
      </c>
      <c r="C1049" s="19" t="e">
        <f t="shared" si="112"/>
        <v>#VALUE!</v>
      </c>
      <c r="D1049" s="20" t="str">
        <f>IF('DDF Original'!C1049="","",'DDF Original'!C1049)</f>
        <v/>
      </c>
      <c r="E1049" s="24" t="str">
        <f>IF('DDF Original'!B1049="","",IF(TRIM('DDF Original'!I1049)="",0,'DDF Original'!I1049))</f>
        <v/>
      </c>
      <c r="F1049" s="20" t="str">
        <f t="shared" si="113"/>
        <v/>
      </c>
      <c r="G1049" s="37" t="str">
        <f>IF('DDF Original'!B1049="","",IF(TRIM('DDF Original'!P1049)="",0,'DDF Original'!P1049))</f>
        <v/>
      </c>
      <c r="H1049" s="20" t="str">
        <f t="shared" si="114"/>
        <v/>
      </c>
      <c r="I1049" s="25" t="str">
        <f t="shared" si="115"/>
        <v/>
      </c>
      <c r="J1049" s="20" t="str">
        <f t="shared" si="116"/>
        <v/>
      </c>
      <c r="K1049" s="20" t="str">
        <f t="shared" si="117"/>
        <v/>
      </c>
      <c r="L1049" s="20" t="str">
        <f>IF(B1049="","",70*'DDF Original'!$Q$4)</f>
        <v/>
      </c>
      <c r="M1049" s="20" t="str">
        <f t="shared" si="118"/>
        <v/>
      </c>
      <c r="N1049" s="20" t="str">
        <f>IF(AND(OR(B1049="",J1049&gt;G1049,M1049&gt;G1049),'DDF Original'!L1049&lt;&gt; "MI"),G1049,IF(M1049&gt;J1049,M1049,J1049))</f>
        <v/>
      </c>
    </row>
    <row r="1050" spans="2:14" x14ac:dyDescent="0.2">
      <c r="B1050" s="19" t="str">
        <f>IF('DDF Original'!B1050="","",'DDF Original'!B1050)</f>
        <v/>
      </c>
      <c r="C1050" s="19" t="e">
        <f t="shared" si="112"/>
        <v>#VALUE!</v>
      </c>
      <c r="D1050" s="20" t="str">
        <f>IF('DDF Original'!C1050="","",'DDF Original'!C1050)</f>
        <v/>
      </c>
      <c r="E1050" s="24" t="str">
        <f>IF('DDF Original'!B1050="","",IF(TRIM('DDF Original'!I1050)="",0,'DDF Original'!I1050))</f>
        <v/>
      </c>
      <c r="F1050" s="20" t="str">
        <f t="shared" si="113"/>
        <v/>
      </c>
      <c r="G1050" s="37" t="str">
        <f>IF('DDF Original'!B1050="","",IF(TRIM('DDF Original'!P1050)="",0,'DDF Original'!P1050))</f>
        <v/>
      </c>
      <c r="H1050" s="20" t="str">
        <f t="shared" si="114"/>
        <v/>
      </c>
      <c r="I1050" s="25" t="str">
        <f t="shared" si="115"/>
        <v/>
      </c>
      <c r="J1050" s="20" t="str">
        <f t="shared" si="116"/>
        <v/>
      </c>
      <c r="K1050" s="20" t="str">
        <f t="shared" si="117"/>
        <v/>
      </c>
      <c r="L1050" s="20" t="str">
        <f>IF(B1050="","",70*'DDF Original'!$Q$4)</f>
        <v/>
      </c>
      <c r="M1050" s="20" t="str">
        <f t="shared" si="118"/>
        <v/>
      </c>
      <c r="N1050" s="20" t="str">
        <f>IF(AND(OR(B1050="",J1050&gt;G1050,M1050&gt;G1050),'DDF Original'!L1050&lt;&gt; "MI"),G1050,IF(M1050&gt;J1050,M1050,J1050))</f>
        <v/>
      </c>
    </row>
    <row r="1051" spans="2:14" x14ac:dyDescent="0.2">
      <c r="B1051" s="19" t="str">
        <f>IF('DDF Original'!B1051="","",'DDF Original'!B1051)</f>
        <v/>
      </c>
      <c r="C1051" s="19" t="e">
        <f t="shared" si="112"/>
        <v>#VALUE!</v>
      </c>
      <c r="D1051" s="20" t="str">
        <f>IF('DDF Original'!C1051="","",'DDF Original'!C1051)</f>
        <v/>
      </c>
      <c r="E1051" s="24" t="str">
        <f>IF('DDF Original'!B1051="","",IF(TRIM('DDF Original'!I1051)="",0,'DDF Original'!I1051))</f>
        <v/>
      </c>
      <c r="F1051" s="20" t="str">
        <f t="shared" si="113"/>
        <v/>
      </c>
      <c r="G1051" s="37" t="str">
        <f>IF('DDF Original'!B1051="","",IF(TRIM('DDF Original'!P1051)="",0,'DDF Original'!P1051))</f>
        <v/>
      </c>
      <c r="H1051" s="20" t="str">
        <f t="shared" si="114"/>
        <v/>
      </c>
      <c r="I1051" s="25" t="str">
        <f t="shared" si="115"/>
        <v/>
      </c>
      <c r="J1051" s="20" t="str">
        <f t="shared" si="116"/>
        <v/>
      </c>
      <c r="K1051" s="20" t="str">
        <f t="shared" si="117"/>
        <v/>
      </c>
      <c r="L1051" s="20" t="str">
        <f>IF(B1051="","",70*'DDF Original'!$Q$4)</f>
        <v/>
      </c>
      <c r="M1051" s="20" t="str">
        <f t="shared" si="118"/>
        <v/>
      </c>
      <c r="N1051" s="20" t="str">
        <f>IF(AND(OR(B1051="",J1051&gt;G1051,M1051&gt;G1051),'DDF Original'!L1051&lt;&gt; "MI"),G1051,IF(M1051&gt;J1051,M1051,J1051))</f>
        <v/>
      </c>
    </row>
    <row r="1052" spans="2:14" x14ac:dyDescent="0.2">
      <c r="B1052" s="19" t="str">
        <f>IF('DDF Original'!B1052="","",'DDF Original'!B1052)</f>
        <v/>
      </c>
      <c r="C1052" s="19" t="e">
        <f t="shared" si="112"/>
        <v>#VALUE!</v>
      </c>
      <c r="D1052" s="20" t="str">
        <f>IF('DDF Original'!C1052="","",'DDF Original'!C1052)</f>
        <v/>
      </c>
      <c r="E1052" s="24" t="str">
        <f>IF('DDF Original'!B1052="","",IF(TRIM('DDF Original'!I1052)="",0,'DDF Original'!I1052))</f>
        <v/>
      </c>
      <c r="F1052" s="20" t="str">
        <f t="shared" si="113"/>
        <v/>
      </c>
      <c r="G1052" s="37" t="str">
        <f>IF('DDF Original'!B1052="","",IF(TRIM('DDF Original'!P1052)="",0,'DDF Original'!P1052))</f>
        <v/>
      </c>
      <c r="H1052" s="20" t="str">
        <f t="shared" si="114"/>
        <v/>
      </c>
      <c r="I1052" s="25" t="str">
        <f t="shared" si="115"/>
        <v/>
      </c>
      <c r="J1052" s="20" t="str">
        <f t="shared" si="116"/>
        <v/>
      </c>
      <c r="K1052" s="20" t="str">
        <f t="shared" si="117"/>
        <v/>
      </c>
      <c r="L1052" s="20" t="str">
        <f>IF(B1052="","",70*'DDF Original'!$Q$4)</f>
        <v/>
      </c>
      <c r="M1052" s="20" t="str">
        <f t="shared" si="118"/>
        <v/>
      </c>
      <c r="N1052" s="20" t="str">
        <f>IF(AND(OR(B1052="",J1052&gt;G1052,M1052&gt;G1052),'DDF Original'!L1052&lt;&gt; "MI"),G1052,IF(M1052&gt;J1052,M1052,J1052))</f>
        <v/>
      </c>
    </row>
    <row r="1053" spans="2:14" x14ac:dyDescent="0.2">
      <c r="B1053" s="19" t="str">
        <f>IF('DDF Original'!B1053="","",'DDF Original'!B1053)</f>
        <v/>
      </c>
      <c r="C1053" s="19" t="e">
        <f t="shared" si="112"/>
        <v>#VALUE!</v>
      </c>
      <c r="D1053" s="20" t="str">
        <f>IF('DDF Original'!C1053="","",'DDF Original'!C1053)</f>
        <v/>
      </c>
      <c r="E1053" s="24" t="str">
        <f>IF('DDF Original'!B1053="","",IF(TRIM('DDF Original'!I1053)="",0,'DDF Original'!I1053))</f>
        <v/>
      </c>
      <c r="F1053" s="20" t="str">
        <f t="shared" si="113"/>
        <v/>
      </c>
      <c r="G1053" s="37" t="str">
        <f>IF('DDF Original'!B1053="","",IF(TRIM('DDF Original'!P1053)="",0,'DDF Original'!P1053))</f>
        <v/>
      </c>
      <c r="H1053" s="20" t="str">
        <f t="shared" si="114"/>
        <v/>
      </c>
      <c r="I1053" s="25" t="str">
        <f t="shared" si="115"/>
        <v/>
      </c>
      <c r="J1053" s="20" t="str">
        <f t="shared" si="116"/>
        <v/>
      </c>
      <c r="K1053" s="20" t="str">
        <f t="shared" si="117"/>
        <v/>
      </c>
      <c r="L1053" s="20" t="str">
        <f>IF(B1053="","",70*'DDF Original'!$Q$4)</f>
        <v/>
      </c>
      <c r="M1053" s="20" t="str">
        <f t="shared" si="118"/>
        <v/>
      </c>
      <c r="N1053" s="20" t="str">
        <f>IF(AND(OR(B1053="",J1053&gt;G1053,M1053&gt;G1053),'DDF Original'!L1053&lt;&gt; "MI"),G1053,IF(M1053&gt;J1053,M1053,J1053))</f>
        <v/>
      </c>
    </row>
    <row r="1054" spans="2:14" x14ac:dyDescent="0.2">
      <c r="B1054" s="19" t="str">
        <f>IF('DDF Original'!B1054="","",'DDF Original'!B1054)</f>
        <v/>
      </c>
      <c r="C1054" s="19" t="e">
        <f t="shared" si="112"/>
        <v>#VALUE!</v>
      </c>
      <c r="D1054" s="20" t="str">
        <f>IF('DDF Original'!C1054="","",'DDF Original'!C1054)</f>
        <v/>
      </c>
      <c r="E1054" s="24" t="str">
        <f>IF('DDF Original'!B1054="","",IF(TRIM('DDF Original'!I1054)="",0,'DDF Original'!I1054))</f>
        <v/>
      </c>
      <c r="F1054" s="20" t="str">
        <f t="shared" si="113"/>
        <v/>
      </c>
      <c r="G1054" s="37" t="str">
        <f>IF('DDF Original'!B1054="","",IF(TRIM('DDF Original'!P1054)="",0,'DDF Original'!P1054))</f>
        <v/>
      </c>
      <c r="H1054" s="20" t="str">
        <f t="shared" si="114"/>
        <v/>
      </c>
      <c r="I1054" s="25" t="str">
        <f t="shared" si="115"/>
        <v/>
      </c>
      <c r="J1054" s="20" t="str">
        <f t="shared" si="116"/>
        <v/>
      </c>
      <c r="K1054" s="20" t="str">
        <f t="shared" si="117"/>
        <v/>
      </c>
      <c r="L1054" s="20" t="str">
        <f>IF(B1054="","",70*'DDF Original'!$Q$4)</f>
        <v/>
      </c>
      <c r="M1054" s="20" t="str">
        <f t="shared" si="118"/>
        <v/>
      </c>
      <c r="N1054" s="20" t="str">
        <f>IF(AND(OR(B1054="",J1054&gt;G1054,M1054&gt;G1054),'DDF Original'!L1054&lt;&gt; "MI"),G1054,IF(M1054&gt;J1054,M1054,J1054))</f>
        <v/>
      </c>
    </row>
    <row r="1055" spans="2:14" x14ac:dyDescent="0.2">
      <c r="B1055" s="19" t="str">
        <f>IF('DDF Original'!B1055="","",'DDF Original'!B1055)</f>
        <v/>
      </c>
      <c r="C1055" s="19" t="e">
        <f t="shared" si="112"/>
        <v>#VALUE!</v>
      </c>
      <c r="D1055" s="20" t="str">
        <f>IF('DDF Original'!C1055="","",'DDF Original'!C1055)</f>
        <v/>
      </c>
      <c r="E1055" s="24" t="str">
        <f>IF('DDF Original'!B1055="","",IF(TRIM('DDF Original'!I1055)="",0,'DDF Original'!I1055))</f>
        <v/>
      </c>
      <c r="F1055" s="20" t="str">
        <f t="shared" si="113"/>
        <v/>
      </c>
      <c r="G1055" s="37" t="str">
        <f>IF('DDF Original'!B1055="","",IF(TRIM('DDF Original'!P1055)="",0,'DDF Original'!P1055))</f>
        <v/>
      </c>
      <c r="H1055" s="20" t="str">
        <f t="shared" si="114"/>
        <v/>
      </c>
      <c r="I1055" s="25" t="str">
        <f t="shared" si="115"/>
        <v/>
      </c>
      <c r="J1055" s="20" t="str">
        <f t="shared" si="116"/>
        <v/>
      </c>
      <c r="K1055" s="20" t="str">
        <f t="shared" si="117"/>
        <v/>
      </c>
      <c r="L1055" s="20" t="str">
        <f>IF(B1055="","",70*'DDF Original'!$Q$4)</f>
        <v/>
      </c>
      <c r="M1055" s="20" t="str">
        <f t="shared" si="118"/>
        <v/>
      </c>
      <c r="N1055" s="20" t="str">
        <f>IF(AND(OR(B1055="",J1055&gt;G1055,M1055&gt;G1055),'DDF Original'!L1055&lt;&gt; "MI"),G1055,IF(M1055&gt;J1055,M1055,J1055))</f>
        <v/>
      </c>
    </row>
    <row r="1056" spans="2:14" x14ac:dyDescent="0.2">
      <c r="B1056" s="19" t="str">
        <f>IF('DDF Original'!B1056="","",'DDF Original'!B1056)</f>
        <v/>
      </c>
      <c r="C1056" s="19" t="e">
        <f t="shared" si="112"/>
        <v>#VALUE!</v>
      </c>
      <c r="D1056" s="20" t="str">
        <f>IF('DDF Original'!C1056="","",'DDF Original'!C1056)</f>
        <v/>
      </c>
      <c r="E1056" s="24" t="str">
        <f>IF('DDF Original'!B1056="","",IF(TRIM('DDF Original'!I1056)="",0,'DDF Original'!I1056))</f>
        <v/>
      </c>
      <c r="F1056" s="20" t="str">
        <f t="shared" si="113"/>
        <v/>
      </c>
      <c r="G1056" s="37" t="str">
        <f>IF('DDF Original'!B1056="","",IF(TRIM('DDF Original'!P1056)="",0,'DDF Original'!P1056))</f>
        <v/>
      </c>
      <c r="H1056" s="20" t="str">
        <f t="shared" si="114"/>
        <v/>
      </c>
      <c r="I1056" s="25" t="str">
        <f t="shared" si="115"/>
        <v/>
      </c>
      <c r="J1056" s="20" t="str">
        <f t="shared" si="116"/>
        <v/>
      </c>
      <c r="K1056" s="20" t="str">
        <f t="shared" si="117"/>
        <v/>
      </c>
      <c r="L1056" s="20" t="str">
        <f>IF(B1056="","",70*'DDF Original'!$Q$4)</f>
        <v/>
      </c>
      <c r="M1056" s="20" t="str">
        <f t="shared" si="118"/>
        <v/>
      </c>
      <c r="N1056" s="20" t="str">
        <f>IF(AND(OR(B1056="",J1056&gt;G1056,M1056&gt;G1056),'DDF Original'!L1056&lt;&gt; "MI"),G1056,IF(M1056&gt;J1056,M1056,J1056))</f>
        <v/>
      </c>
    </row>
    <row r="1057" spans="2:14" x14ac:dyDescent="0.2">
      <c r="B1057" s="19" t="str">
        <f>IF('DDF Original'!B1057="","",'DDF Original'!B1057)</f>
        <v/>
      </c>
      <c r="C1057" s="19" t="e">
        <f t="shared" si="112"/>
        <v>#VALUE!</v>
      </c>
      <c r="D1057" s="20" t="str">
        <f>IF('DDF Original'!C1057="","",'DDF Original'!C1057)</f>
        <v/>
      </c>
      <c r="E1057" s="24" t="str">
        <f>IF('DDF Original'!B1057="","",IF(TRIM('DDF Original'!I1057)="",0,'DDF Original'!I1057))</f>
        <v/>
      </c>
      <c r="F1057" s="20" t="str">
        <f t="shared" si="113"/>
        <v/>
      </c>
      <c r="G1057" s="37" t="str">
        <f>IF('DDF Original'!B1057="","",IF(TRIM('DDF Original'!P1057)="",0,'DDF Original'!P1057))</f>
        <v/>
      </c>
      <c r="H1057" s="20" t="str">
        <f t="shared" si="114"/>
        <v/>
      </c>
      <c r="I1057" s="25" t="str">
        <f t="shared" si="115"/>
        <v/>
      </c>
      <c r="J1057" s="20" t="str">
        <f t="shared" si="116"/>
        <v/>
      </c>
      <c r="K1057" s="20" t="str">
        <f t="shared" si="117"/>
        <v/>
      </c>
      <c r="L1057" s="20" t="str">
        <f>IF(B1057="","",70*'DDF Original'!$Q$4)</f>
        <v/>
      </c>
      <c r="M1057" s="20" t="str">
        <f t="shared" si="118"/>
        <v/>
      </c>
      <c r="N1057" s="20" t="str">
        <f>IF(AND(OR(B1057="",J1057&gt;G1057,M1057&gt;G1057),'DDF Original'!L1057&lt;&gt; "MI"),G1057,IF(M1057&gt;J1057,M1057,J1057))</f>
        <v/>
      </c>
    </row>
    <row r="1058" spans="2:14" x14ac:dyDescent="0.2">
      <c r="B1058" s="19" t="str">
        <f>IF('DDF Original'!B1058="","",'DDF Original'!B1058)</f>
        <v/>
      </c>
      <c r="C1058" s="19" t="e">
        <f t="shared" si="112"/>
        <v>#VALUE!</v>
      </c>
      <c r="D1058" s="20" t="str">
        <f>IF('DDF Original'!C1058="","",'DDF Original'!C1058)</f>
        <v/>
      </c>
      <c r="E1058" s="24" t="str">
        <f>IF('DDF Original'!B1058="","",IF(TRIM('DDF Original'!I1058)="",0,'DDF Original'!I1058))</f>
        <v/>
      </c>
      <c r="F1058" s="20" t="str">
        <f t="shared" si="113"/>
        <v/>
      </c>
      <c r="G1058" s="37" t="str">
        <f>IF('DDF Original'!B1058="","",IF(TRIM('DDF Original'!P1058)="",0,'DDF Original'!P1058))</f>
        <v/>
      </c>
      <c r="H1058" s="20" t="str">
        <f t="shared" si="114"/>
        <v/>
      </c>
      <c r="I1058" s="25" t="str">
        <f t="shared" si="115"/>
        <v/>
      </c>
      <c r="J1058" s="20" t="str">
        <f t="shared" si="116"/>
        <v/>
      </c>
      <c r="K1058" s="20" t="str">
        <f t="shared" si="117"/>
        <v/>
      </c>
      <c r="L1058" s="20" t="str">
        <f>IF(B1058="","",70*'DDF Original'!$Q$4)</f>
        <v/>
      </c>
      <c r="M1058" s="20" t="str">
        <f t="shared" si="118"/>
        <v/>
      </c>
      <c r="N1058" s="20" t="str">
        <f>IF(AND(OR(B1058="",J1058&gt;G1058,M1058&gt;G1058),'DDF Original'!L1058&lt;&gt; "MI"),G1058,IF(M1058&gt;J1058,M1058,J1058))</f>
        <v/>
      </c>
    </row>
    <row r="1059" spans="2:14" x14ac:dyDescent="0.2">
      <c r="B1059" s="19" t="str">
        <f>IF('DDF Original'!B1059="","",'DDF Original'!B1059)</f>
        <v/>
      </c>
      <c r="C1059" s="19" t="e">
        <f t="shared" si="112"/>
        <v>#VALUE!</v>
      </c>
      <c r="D1059" s="20" t="str">
        <f>IF('DDF Original'!C1059="","",'DDF Original'!C1059)</f>
        <v/>
      </c>
      <c r="E1059" s="24" t="str">
        <f>IF('DDF Original'!B1059="","",IF(TRIM('DDF Original'!I1059)="",0,'DDF Original'!I1059))</f>
        <v/>
      </c>
      <c r="F1059" s="20" t="str">
        <f t="shared" si="113"/>
        <v/>
      </c>
      <c r="G1059" s="37" t="str">
        <f>IF('DDF Original'!B1059="","",IF(TRIM('DDF Original'!P1059)="",0,'DDF Original'!P1059))</f>
        <v/>
      </c>
      <c r="H1059" s="20" t="str">
        <f t="shared" si="114"/>
        <v/>
      </c>
      <c r="I1059" s="25" t="str">
        <f t="shared" si="115"/>
        <v/>
      </c>
      <c r="J1059" s="20" t="str">
        <f t="shared" si="116"/>
        <v/>
      </c>
      <c r="K1059" s="20" t="str">
        <f t="shared" si="117"/>
        <v/>
      </c>
      <c r="L1059" s="20" t="str">
        <f>IF(B1059="","",70*'DDF Original'!$Q$4)</f>
        <v/>
      </c>
      <c r="M1059" s="20" t="str">
        <f t="shared" si="118"/>
        <v/>
      </c>
      <c r="N1059" s="20" t="str">
        <f>IF(AND(OR(B1059="",J1059&gt;G1059,M1059&gt;G1059),'DDF Original'!L1059&lt;&gt; "MI"),G1059,IF(M1059&gt;J1059,M1059,J1059))</f>
        <v/>
      </c>
    </row>
    <row r="1060" spans="2:14" x14ac:dyDescent="0.2">
      <c r="B1060" s="19" t="str">
        <f>IF('DDF Original'!B1060="","",'DDF Original'!B1060)</f>
        <v/>
      </c>
      <c r="C1060" s="19" t="e">
        <f t="shared" si="112"/>
        <v>#VALUE!</v>
      </c>
      <c r="D1060" s="20" t="str">
        <f>IF('DDF Original'!C1060="","",'DDF Original'!C1060)</f>
        <v/>
      </c>
      <c r="E1060" s="24" t="str">
        <f>IF('DDF Original'!B1060="","",IF(TRIM('DDF Original'!I1060)="",0,'DDF Original'!I1060))</f>
        <v/>
      </c>
      <c r="F1060" s="20" t="str">
        <f t="shared" si="113"/>
        <v/>
      </c>
      <c r="G1060" s="37" t="str">
        <f>IF('DDF Original'!B1060="","",IF(TRIM('DDF Original'!P1060)="",0,'DDF Original'!P1060))</f>
        <v/>
      </c>
      <c r="H1060" s="20" t="str">
        <f t="shared" si="114"/>
        <v/>
      </c>
      <c r="I1060" s="25" t="str">
        <f t="shared" si="115"/>
        <v/>
      </c>
      <c r="J1060" s="20" t="str">
        <f t="shared" si="116"/>
        <v/>
      </c>
      <c r="K1060" s="20" t="str">
        <f t="shared" si="117"/>
        <v/>
      </c>
      <c r="L1060" s="20" t="str">
        <f>IF(B1060="","",70*'DDF Original'!$Q$4)</f>
        <v/>
      </c>
      <c r="M1060" s="20" t="str">
        <f t="shared" si="118"/>
        <v/>
      </c>
      <c r="N1060" s="20" t="str">
        <f>IF(AND(OR(B1060="",J1060&gt;G1060,M1060&gt;G1060),'DDF Original'!L1060&lt;&gt; "MI"),G1060,IF(M1060&gt;J1060,M1060,J1060))</f>
        <v/>
      </c>
    </row>
    <row r="1061" spans="2:14" x14ac:dyDescent="0.2">
      <c r="B1061" s="19" t="str">
        <f>IF('DDF Original'!B1061="","",'DDF Original'!B1061)</f>
        <v/>
      </c>
      <c r="C1061" s="19" t="e">
        <f t="shared" si="112"/>
        <v>#VALUE!</v>
      </c>
      <c r="D1061" s="20" t="str">
        <f>IF('DDF Original'!C1061="","",'DDF Original'!C1061)</f>
        <v/>
      </c>
      <c r="E1061" s="24" t="str">
        <f>IF('DDF Original'!B1061="","",IF(TRIM('DDF Original'!I1061)="",0,'DDF Original'!I1061))</f>
        <v/>
      </c>
      <c r="F1061" s="20" t="str">
        <f t="shared" si="113"/>
        <v/>
      </c>
      <c r="G1061" s="37" t="str">
        <f>IF('DDF Original'!B1061="","",IF(TRIM('DDF Original'!P1061)="",0,'DDF Original'!P1061))</f>
        <v/>
      </c>
      <c r="H1061" s="20" t="str">
        <f t="shared" si="114"/>
        <v/>
      </c>
      <c r="I1061" s="25" t="str">
        <f t="shared" si="115"/>
        <v/>
      </c>
      <c r="J1061" s="20" t="str">
        <f t="shared" si="116"/>
        <v/>
      </c>
      <c r="K1061" s="20" t="str">
        <f t="shared" si="117"/>
        <v/>
      </c>
      <c r="L1061" s="20" t="str">
        <f>IF(B1061="","",70*'DDF Original'!$Q$4)</f>
        <v/>
      </c>
      <c r="M1061" s="20" t="str">
        <f t="shared" si="118"/>
        <v/>
      </c>
      <c r="N1061" s="20" t="str">
        <f>IF(AND(OR(B1061="",J1061&gt;G1061,M1061&gt;G1061),'DDF Original'!L1061&lt;&gt; "MI"),G1061,IF(M1061&gt;J1061,M1061,J1061))</f>
        <v/>
      </c>
    </row>
    <row r="1062" spans="2:14" x14ac:dyDescent="0.2">
      <c r="B1062" s="19" t="str">
        <f>IF('DDF Original'!B1062="","",'DDF Original'!B1062)</f>
        <v/>
      </c>
      <c r="C1062" s="19" t="e">
        <f t="shared" si="112"/>
        <v>#VALUE!</v>
      </c>
      <c r="D1062" s="20" t="str">
        <f>IF('DDF Original'!C1062="","",'DDF Original'!C1062)</f>
        <v/>
      </c>
      <c r="E1062" s="24" t="str">
        <f>IF('DDF Original'!B1062="","",IF(TRIM('DDF Original'!I1062)="",0,'DDF Original'!I1062))</f>
        <v/>
      </c>
      <c r="F1062" s="20" t="str">
        <f t="shared" si="113"/>
        <v/>
      </c>
      <c r="G1062" s="37" t="str">
        <f>IF('DDF Original'!B1062="","",IF(TRIM('DDF Original'!P1062)="",0,'DDF Original'!P1062))</f>
        <v/>
      </c>
      <c r="H1062" s="20" t="str">
        <f t="shared" si="114"/>
        <v/>
      </c>
      <c r="I1062" s="25" t="str">
        <f t="shared" si="115"/>
        <v/>
      </c>
      <c r="J1062" s="20" t="str">
        <f t="shared" si="116"/>
        <v/>
      </c>
      <c r="K1062" s="20" t="str">
        <f t="shared" si="117"/>
        <v/>
      </c>
      <c r="L1062" s="20" t="str">
        <f>IF(B1062="","",70*'DDF Original'!$Q$4)</f>
        <v/>
      </c>
      <c r="M1062" s="20" t="str">
        <f t="shared" si="118"/>
        <v/>
      </c>
      <c r="N1062" s="20" t="str">
        <f>IF(AND(OR(B1062="",J1062&gt;G1062,M1062&gt;G1062),'DDF Original'!L1062&lt;&gt; "MI"),G1062,IF(M1062&gt;J1062,M1062,J1062))</f>
        <v/>
      </c>
    </row>
    <row r="1063" spans="2:14" x14ac:dyDescent="0.2">
      <c r="B1063" s="19" t="str">
        <f>IF('DDF Original'!B1063="","",'DDF Original'!B1063)</f>
        <v/>
      </c>
      <c r="C1063" s="19" t="e">
        <f t="shared" si="112"/>
        <v>#VALUE!</v>
      </c>
      <c r="D1063" s="20" t="str">
        <f>IF('DDF Original'!C1063="","",'DDF Original'!C1063)</f>
        <v/>
      </c>
      <c r="E1063" s="24" t="str">
        <f>IF('DDF Original'!B1063="","",IF(TRIM('DDF Original'!I1063)="",0,'DDF Original'!I1063))</f>
        <v/>
      </c>
      <c r="F1063" s="20" t="str">
        <f t="shared" si="113"/>
        <v/>
      </c>
      <c r="G1063" s="37" t="str">
        <f>IF('DDF Original'!B1063="","",IF(TRIM('DDF Original'!P1063)="",0,'DDF Original'!P1063))</f>
        <v/>
      </c>
      <c r="H1063" s="20" t="str">
        <f t="shared" si="114"/>
        <v/>
      </c>
      <c r="I1063" s="25" t="str">
        <f t="shared" si="115"/>
        <v/>
      </c>
      <c r="J1063" s="20" t="str">
        <f t="shared" si="116"/>
        <v/>
      </c>
      <c r="K1063" s="20" t="str">
        <f t="shared" si="117"/>
        <v/>
      </c>
      <c r="L1063" s="20" t="str">
        <f>IF(B1063="","",70*'DDF Original'!$Q$4)</f>
        <v/>
      </c>
      <c r="M1063" s="20" t="str">
        <f t="shared" si="118"/>
        <v/>
      </c>
      <c r="N1063" s="20" t="str">
        <f>IF(AND(OR(B1063="",J1063&gt;G1063,M1063&gt;G1063),'DDF Original'!L1063&lt;&gt; "MI"),G1063,IF(M1063&gt;J1063,M1063,J1063))</f>
        <v/>
      </c>
    </row>
    <row r="1064" spans="2:14" x14ac:dyDescent="0.2">
      <c r="B1064" s="19" t="str">
        <f>IF('DDF Original'!B1064="","",'DDF Original'!B1064)</f>
        <v/>
      </c>
      <c r="C1064" s="19" t="e">
        <f t="shared" si="112"/>
        <v>#VALUE!</v>
      </c>
      <c r="D1064" s="20" t="str">
        <f>IF('DDF Original'!C1064="","",'DDF Original'!C1064)</f>
        <v/>
      </c>
      <c r="E1064" s="24" t="str">
        <f>IF('DDF Original'!B1064="","",IF(TRIM('DDF Original'!I1064)="",0,'DDF Original'!I1064))</f>
        <v/>
      </c>
      <c r="F1064" s="20" t="str">
        <f t="shared" si="113"/>
        <v/>
      </c>
      <c r="G1064" s="37" t="str">
        <f>IF('DDF Original'!B1064="","",IF(TRIM('DDF Original'!P1064)="",0,'DDF Original'!P1064))</f>
        <v/>
      </c>
      <c r="H1064" s="20" t="str">
        <f t="shared" si="114"/>
        <v/>
      </c>
      <c r="I1064" s="25" t="str">
        <f t="shared" si="115"/>
        <v/>
      </c>
      <c r="J1064" s="20" t="str">
        <f t="shared" si="116"/>
        <v/>
      </c>
      <c r="K1064" s="20" t="str">
        <f t="shared" si="117"/>
        <v/>
      </c>
      <c r="L1064" s="20" t="str">
        <f>IF(B1064="","",70*'DDF Original'!$Q$4)</f>
        <v/>
      </c>
      <c r="M1064" s="20" t="str">
        <f t="shared" si="118"/>
        <v/>
      </c>
      <c r="N1064" s="20" t="str">
        <f>IF(AND(OR(B1064="",J1064&gt;G1064,M1064&gt;G1064),'DDF Original'!L1064&lt;&gt; "MI"),G1064,IF(M1064&gt;J1064,M1064,J1064))</f>
        <v/>
      </c>
    </row>
    <row r="1065" spans="2:14" x14ac:dyDescent="0.2">
      <c r="B1065" s="19" t="str">
        <f>IF('DDF Original'!B1065="","",'DDF Original'!B1065)</f>
        <v/>
      </c>
      <c r="C1065" s="19" t="e">
        <f t="shared" si="112"/>
        <v>#VALUE!</v>
      </c>
      <c r="D1065" s="20" t="str">
        <f>IF('DDF Original'!C1065="","",'DDF Original'!C1065)</f>
        <v/>
      </c>
      <c r="E1065" s="24" t="str">
        <f>IF('DDF Original'!B1065="","",IF(TRIM('DDF Original'!I1065)="",0,'DDF Original'!I1065))</f>
        <v/>
      </c>
      <c r="F1065" s="20" t="str">
        <f t="shared" si="113"/>
        <v/>
      </c>
      <c r="G1065" s="37" t="str">
        <f>IF('DDF Original'!B1065="","",IF(TRIM('DDF Original'!P1065)="",0,'DDF Original'!P1065))</f>
        <v/>
      </c>
      <c r="H1065" s="20" t="str">
        <f t="shared" si="114"/>
        <v/>
      </c>
      <c r="I1065" s="25" t="str">
        <f t="shared" si="115"/>
        <v/>
      </c>
      <c r="J1065" s="20" t="str">
        <f t="shared" si="116"/>
        <v/>
      </c>
      <c r="K1065" s="20" t="str">
        <f t="shared" si="117"/>
        <v/>
      </c>
      <c r="L1065" s="20" t="str">
        <f>IF(B1065="","",70*'DDF Original'!$Q$4)</f>
        <v/>
      </c>
      <c r="M1065" s="20" t="str">
        <f t="shared" si="118"/>
        <v/>
      </c>
      <c r="N1065" s="20" t="str">
        <f>IF(AND(OR(B1065="",J1065&gt;G1065,M1065&gt;G1065),'DDF Original'!L1065&lt;&gt; "MI"),G1065,IF(M1065&gt;J1065,M1065,J1065))</f>
        <v/>
      </c>
    </row>
    <row r="1066" spans="2:14" x14ac:dyDescent="0.2">
      <c r="B1066" s="19" t="str">
        <f>IF('DDF Original'!B1066="","",'DDF Original'!B1066)</f>
        <v/>
      </c>
      <c r="C1066" s="19" t="e">
        <f t="shared" si="112"/>
        <v>#VALUE!</v>
      </c>
      <c r="D1066" s="20" t="str">
        <f>IF('DDF Original'!C1066="","",'DDF Original'!C1066)</f>
        <v/>
      </c>
      <c r="E1066" s="24" t="str">
        <f>IF('DDF Original'!B1066="","",IF(TRIM('DDF Original'!I1066)="",0,'DDF Original'!I1066))</f>
        <v/>
      </c>
      <c r="F1066" s="20" t="str">
        <f t="shared" si="113"/>
        <v/>
      </c>
      <c r="G1066" s="37" t="str">
        <f>IF('DDF Original'!B1066="","",IF(TRIM('DDF Original'!P1066)="",0,'DDF Original'!P1066))</f>
        <v/>
      </c>
      <c r="H1066" s="20" t="str">
        <f t="shared" si="114"/>
        <v/>
      </c>
      <c r="I1066" s="25" t="str">
        <f t="shared" si="115"/>
        <v/>
      </c>
      <c r="J1066" s="20" t="str">
        <f t="shared" si="116"/>
        <v/>
      </c>
      <c r="K1066" s="20" t="str">
        <f t="shared" si="117"/>
        <v/>
      </c>
      <c r="L1066" s="20" t="str">
        <f>IF(B1066="","",70*'DDF Original'!$Q$4)</f>
        <v/>
      </c>
      <c r="M1066" s="20" t="str">
        <f t="shared" si="118"/>
        <v/>
      </c>
      <c r="N1066" s="20" t="str">
        <f>IF(AND(OR(B1066="",J1066&gt;G1066,M1066&gt;G1066),'DDF Original'!L1066&lt;&gt; "MI"),G1066,IF(M1066&gt;J1066,M1066,J1066))</f>
        <v/>
      </c>
    </row>
    <row r="1067" spans="2:14" x14ac:dyDescent="0.2">
      <c r="B1067" s="19" t="str">
        <f>IF('DDF Original'!B1067="","",'DDF Original'!B1067)</f>
        <v/>
      </c>
      <c r="C1067" s="19" t="e">
        <f t="shared" si="112"/>
        <v>#VALUE!</v>
      </c>
      <c r="D1067" s="20" t="str">
        <f>IF('DDF Original'!C1067="","",'DDF Original'!C1067)</f>
        <v/>
      </c>
      <c r="E1067" s="24" t="str">
        <f>IF('DDF Original'!B1067="","",IF(TRIM('DDF Original'!I1067)="",0,'DDF Original'!I1067))</f>
        <v/>
      </c>
      <c r="F1067" s="20" t="str">
        <f t="shared" si="113"/>
        <v/>
      </c>
      <c r="G1067" s="37" t="str">
        <f>IF('DDF Original'!B1067="","",IF(TRIM('DDF Original'!P1067)="",0,'DDF Original'!P1067))</f>
        <v/>
      </c>
      <c r="H1067" s="20" t="str">
        <f t="shared" si="114"/>
        <v/>
      </c>
      <c r="I1067" s="25" t="str">
        <f t="shared" si="115"/>
        <v/>
      </c>
      <c r="J1067" s="20" t="str">
        <f t="shared" si="116"/>
        <v/>
      </c>
      <c r="K1067" s="20" t="str">
        <f t="shared" si="117"/>
        <v/>
      </c>
      <c r="L1067" s="20" t="str">
        <f>IF(B1067="","",70*'DDF Original'!$Q$4)</f>
        <v/>
      </c>
      <c r="M1067" s="20" t="str">
        <f t="shared" si="118"/>
        <v/>
      </c>
      <c r="N1067" s="20" t="str">
        <f>IF(AND(OR(B1067="",J1067&gt;G1067,M1067&gt;G1067),'DDF Original'!L1067&lt;&gt; "MI"),G1067,IF(M1067&gt;J1067,M1067,J1067))</f>
        <v/>
      </c>
    </row>
    <row r="1068" spans="2:14" x14ac:dyDescent="0.2">
      <c r="B1068" s="19" t="str">
        <f>IF('DDF Original'!B1068="","",'DDF Original'!B1068)</f>
        <v/>
      </c>
      <c r="C1068" s="19" t="e">
        <f t="shared" si="112"/>
        <v>#VALUE!</v>
      </c>
      <c r="D1068" s="20" t="str">
        <f>IF('DDF Original'!C1068="","",'DDF Original'!C1068)</f>
        <v/>
      </c>
      <c r="E1068" s="24" t="str">
        <f>IF('DDF Original'!B1068="","",IF(TRIM('DDF Original'!I1068)="",0,'DDF Original'!I1068))</f>
        <v/>
      </c>
      <c r="F1068" s="20" t="str">
        <f t="shared" si="113"/>
        <v/>
      </c>
      <c r="G1068" s="37" t="str">
        <f>IF('DDF Original'!B1068="","",IF(TRIM('DDF Original'!P1068)="",0,'DDF Original'!P1068))</f>
        <v/>
      </c>
      <c r="H1068" s="20" t="str">
        <f t="shared" si="114"/>
        <v/>
      </c>
      <c r="I1068" s="25" t="str">
        <f t="shared" si="115"/>
        <v/>
      </c>
      <c r="J1068" s="20" t="str">
        <f t="shared" si="116"/>
        <v/>
      </c>
      <c r="K1068" s="20" t="str">
        <f t="shared" si="117"/>
        <v/>
      </c>
      <c r="L1068" s="20" t="str">
        <f>IF(B1068="","",70*'DDF Original'!$Q$4)</f>
        <v/>
      </c>
      <c r="M1068" s="20" t="str">
        <f t="shared" si="118"/>
        <v/>
      </c>
      <c r="N1068" s="20" t="str">
        <f>IF(AND(OR(B1068="",J1068&gt;G1068,M1068&gt;G1068),'DDF Original'!L1068&lt;&gt; "MI"),G1068,IF(M1068&gt;J1068,M1068,J1068))</f>
        <v/>
      </c>
    </row>
    <row r="1069" spans="2:14" x14ac:dyDescent="0.2">
      <c r="B1069" s="19" t="str">
        <f>IF('DDF Original'!B1069="","",'DDF Original'!B1069)</f>
        <v/>
      </c>
      <c r="C1069" s="19" t="e">
        <f t="shared" si="112"/>
        <v>#VALUE!</v>
      </c>
      <c r="D1069" s="20" t="str">
        <f>IF('DDF Original'!C1069="","",'DDF Original'!C1069)</f>
        <v/>
      </c>
      <c r="E1069" s="24" t="str">
        <f>IF('DDF Original'!B1069="","",IF(TRIM('DDF Original'!I1069)="",0,'DDF Original'!I1069))</f>
        <v/>
      </c>
      <c r="F1069" s="20" t="str">
        <f t="shared" si="113"/>
        <v/>
      </c>
      <c r="G1069" s="37" t="str">
        <f>IF('DDF Original'!B1069="","",IF(TRIM('DDF Original'!P1069)="",0,'DDF Original'!P1069))</f>
        <v/>
      </c>
      <c r="H1069" s="20" t="str">
        <f t="shared" si="114"/>
        <v/>
      </c>
      <c r="I1069" s="25" t="str">
        <f t="shared" si="115"/>
        <v/>
      </c>
      <c r="J1069" s="20" t="str">
        <f t="shared" si="116"/>
        <v/>
      </c>
      <c r="K1069" s="20" t="str">
        <f t="shared" si="117"/>
        <v/>
      </c>
      <c r="L1069" s="20" t="str">
        <f>IF(B1069="","",70*'DDF Original'!$Q$4)</f>
        <v/>
      </c>
      <c r="M1069" s="20" t="str">
        <f t="shared" si="118"/>
        <v/>
      </c>
      <c r="N1069" s="20" t="str">
        <f>IF(AND(OR(B1069="",J1069&gt;G1069,M1069&gt;G1069),'DDF Original'!L1069&lt;&gt; "MI"),G1069,IF(M1069&gt;J1069,M1069,J1069))</f>
        <v/>
      </c>
    </row>
    <row r="1070" spans="2:14" x14ac:dyDescent="0.2">
      <c r="B1070" s="19" t="str">
        <f>IF('DDF Original'!B1070="","",'DDF Original'!B1070)</f>
        <v/>
      </c>
      <c r="C1070" s="19" t="e">
        <f t="shared" si="112"/>
        <v>#VALUE!</v>
      </c>
      <c r="D1070" s="20" t="str">
        <f>IF('DDF Original'!C1070="","",'DDF Original'!C1070)</f>
        <v/>
      </c>
      <c r="E1070" s="24" t="str">
        <f>IF('DDF Original'!B1070="","",IF(TRIM('DDF Original'!I1070)="",0,'DDF Original'!I1070))</f>
        <v/>
      </c>
      <c r="F1070" s="20" t="str">
        <f t="shared" si="113"/>
        <v/>
      </c>
      <c r="G1070" s="37" t="str">
        <f>IF('DDF Original'!B1070="","",IF(TRIM('DDF Original'!P1070)="",0,'DDF Original'!P1070))</f>
        <v/>
      </c>
      <c r="H1070" s="20" t="str">
        <f t="shared" si="114"/>
        <v/>
      </c>
      <c r="I1070" s="25" t="str">
        <f t="shared" si="115"/>
        <v/>
      </c>
      <c r="J1070" s="20" t="str">
        <f t="shared" si="116"/>
        <v/>
      </c>
      <c r="K1070" s="20" t="str">
        <f t="shared" si="117"/>
        <v/>
      </c>
      <c r="L1070" s="20" t="str">
        <f>IF(B1070="","",70*'DDF Original'!$Q$4)</f>
        <v/>
      </c>
      <c r="M1070" s="20" t="str">
        <f t="shared" si="118"/>
        <v/>
      </c>
      <c r="N1070" s="20" t="str">
        <f>IF(AND(OR(B1070="",J1070&gt;G1070,M1070&gt;G1070),'DDF Original'!L1070&lt;&gt; "MI"),G1070,IF(M1070&gt;J1070,M1070,J1070))</f>
        <v/>
      </c>
    </row>
    <row r="1071" spans="2:14" x14ac:dyDescent="0.2">
      <c r="B1071" s="19" t="str">
        <f>IF('DDF Original'!B1071="","",'DDF Original'!B1071)</f>
        <v/>
      </c>
      <c r="C1071" s="19" t="e">
        <f t="shared" si="112"/>
        <v>#VALUE!</v>
      </c>
      <c r="D1071" s="20" t="str">
        <f>IF('DDF Original'!C1071="","",'DDF Original'!C1071)</f>
        <v/>
      </c>
      <c r="E1071" s="24" t="str">
        <f>IF('DDF Original'!B1071="","",IF(TRIM('DDF Original'!I1071)="",0,'DDF Original'!I1071))</f>
        <v/>
      </c>
      <c r="F1071" s="20" t="str">
        <f t="shared" si="113"/>
        <v/>
      </c>
      <c r="G1071" s="37" t="str">
        <f>IF('DDF Original'!B1071="","",IF(TRIM('DDF Original'!P1071)="",0,'DDF Original'!P1071))</f>
        <v/>
      </c>
      <c r="H1071" s="20" t="str">
        <f t="shared" si="114"/>
        <v/>
      </c>
      <c r="I1071" s="25" t="str">
        <f t="shared" si="115"/>
        <v/>
      </c>
      <c r="J1071" s="20" t="str">
        <f t="shared" si="116"/>
        <v/>
      </c>
      <c r="K1071" s="20" t="str">
        <f t="shared" si="117"/>
        <v/>
      </c>
      <c r="L1071" s="20" t="str">
        <f>IF(B1071="","",70*'DDF Original'!$Q$4)</f>
        <v/>
      </c>
      <c r="M1071" s="20" t="str">
        <f t="shared" si="118"/>
        <v/>
      </c>
      <c r="N1071" s="20" t="str">
        <f>IF(AND(OR(B1071="",J1071&gt;G1071,M1071&gt;G1071),'DDF Original'!L1071&lt;&gt; "MI"),G1071,IF(M1071&gt;J1071,M1071,J1071))</f>
        <v/>
      </c>
    </row>
    <row r="1072" spans="2:14" x14ac:dyDescent="0.2">
      <c r="B1072" s="19" t="str">
        <f>IF('DDF Original'!B1072="","",'DDF Original'!B1072)</f>
        <v/>
      </c>
      <c r="C1072" s="19" t="e">
        <f t="shared" si="112"/>
        <v>#VALUE!</v>
      </c>
      <c r="D1072" s="20" t="str">
        <f>IF('DDF Original'!C1072="","",'DDF Original'!C1072)</f>
        <v/>
      </c>
      <c r="E1072" s="24" t="str">
        <f>IF('DDF Original'!B1072="","",IF(TRIM('DDF Original'!I1072)="",0,'DDF Original'!I1072))</f>
        <v/>
      </c>
      <c r="F1072" s="20" t="str">
        <f t="shared" si="113"/>
        <v/>
      </c>
      <c r="G1072" s="37" t="str">
        <f>IF('DDF Original'!B1072="","",IF(TRIM('DDF Original'!P1072)="",0,'DDF Original'!P1072))</f>
        <v/>
      </c>
      <c r="H1072" s="20" t="str">
        <f t="shared" si="114"/>
        <v/>
      </c>
      <c r="I1072" s="25" t="str">
        <f t="shared" si="115"/>
        <v/>
      </c>
      <c r="J1072" s="20" t="str">
        <f t="shared" si="116"/>
        <v/>
      </c>
      <c r="K1072" s="20" t="str">
        <f t="shared" si="117"/>
        <v/>
      </c>
      <c r="L1072" s="20" t="str">
        <f>IF(B1072="","",70*'DDF Original'!$Q$4)</f>
        <v/>
      </c>
      <c r="M1072" s="20" t="str">
        <f t="shared" si="118"/>
        <v/>
      </c>
      <c r="N1072" s="20" t="str">
        <f>IF(AND(OR(B1072="",J1072&gt;G1072,M1072&gt;G1072),'DDF Original'!L1072&lt;&gt; "MI"),G1072,IF(M1072&gt;J1072,M1072,J1072))</f>
        <v/>
      </c>
    </row>
    <row r="1073" spans="2:14" x14ac:dyDescent="0.2">
      <c r="B1073" s="19" t="str">
        <f>IF('DDF Original'!B1073="","",'DDF Original'!B1073)</f>
        <v/>
      </c>
      <c r="C1073" s="19" t="e">
        <f t="shared" si="112"/>
        <v>#VALUE!</v>
      </c>
      <c r="D1073" s="20" t="str">
        <f>IF('DDF Original'!C1073="","",'DDF Original'!C1073)</f>
        <v/>
      </c>
      <c r="E1073" s="24" t="str">
        <f>IF('DDF Original'!B1073="","",IF(TRIM('DDF Original'!I1073)="",0,'DDF Original'!I1073))</f>
        <v/>
      </c>
      <c r="F1073" s="20" t="str">
        <f t="shared" si="113"/>
        <v/>
      </c>
      <c r="G1073" s="37" t="str">
        <f>IF('DDF Original'!B1073="","",IF(TRIM('DDF Original'!P1073)="",0,'DDF Original'!P1073))</f>
        <v/>
      </c>
      <c r="H1073" s="20" t="str">
        <f t="shared" si="114"/>
        <v/>
      </c>
      <c r="I1073" s="25" t="str">
        <f t="shared" si="115"/>
        <v/>
      </c>
      <c r="J1073" s="20" t="str">
        <f t="shared" si="116"/>
        <v/>
      </c>
      <c r="K1073" s="20" t="str">
        <f t="shared" si="117"/>
        <v/>
      </c>
      <c r="L1073" s="20" t="str">
        <f>IF(B1073="","",70*'DDF Original'!$Q$4)</f>
        <v/>
      </c>
      <c r="M1073" s="20" t="str">
        <f t="shared" si="118"/>
        <v/>
      </c>
      <c r="N1073" s="20" t="str">
        <f>IF(AND(OR(B1073="",J1073&gt;G1073,M1073&gt;G1073),'DDF Original'!L1073&lt;&gt; "MI"),G1073,IF(M1073&gt;J1073,M1073,J1073))</f>
        <v/>
      </c>
    </row>
    <row r="1074" spans="2:14" x14ac:dyDescent="0.2">
      <c r="B1074" s="19" t="str">
        <f>IF('DDF Original'!B1074="","",'DDF Original'!B1074)</f>
        <v/>
      </c>
      <c r="C1074" s="19" t="e">
        <f t="shared" si="112"/>
        <v>#VALUE!</v>
      </c>
      <c r="D1074" s="20" t="str">
        <f>IF('DDF Original'!C1074="","",'DDF Original'!C1074)</f>
        <v/>
      </c>
      <c r="E1074" s="24" t="str">
        <f>IF('DDF Original'!B1074="","",IF(TRIM('DDF Original'!I1074)="",0,'DDF Original'!I1074))</f>
        <v/>
      </c>
      <c r="F1074" s="20" t="str">
        <f t="shared" si="113"/>
        <v/>
      </c>
      <c r="G1074" s="37" t="str">
        <f>IF('DDF Original'!B1074="","",IF(TRIM('DDF Original'!P1074)="",0,'DDF Original'!P1074))</f>
        <v/>
      </c>
      <c r="H1074" s="20" t="str">
        <f t="shared" si="114"/>
        <v/>
      </c>
      <c r="I1074" s="25" t="str">
        <f t="shared" si="115"/>
        <v/>
      </c>
      <c r="J1074" s="20" t="str">
        <f t="shared" si="116"/>
        <v/>
      </c>
      <c r="K1074" s="20" t="str">
        <f t="shared" si="117"/>
        <v/>
      </c>
      <c r="L1074" s="20" t="str">
        <f>IF(B1074="","",70*'DDF Original'!$Q$4)</f>
        <v/>
      </c>
      <c r="M1074" s="20" t="str">
        <f t="shared" si="118"/>
        <v/>
      </c>
      <c r="N1074" s="20" t="str">
        <f>IF(AND(OR(B1074="",J1074&gt;G1074,M1074&gt;G1074),'DDF Original'!L1074&lt;&gt; "MI"),G1074,IF(M1074&gt;J1074,M1074,J1074))</f>
        <v/>
      </c>
    </row>
    <row r="1075" spans="2:14" x14ac:dyDescent="0.2">
      <c r="B1075" s="19" t="str">
        <f>IF('DDF Original'!B1075="","",'DDF Original'!B1075)</f>
        <v/>
      </c>
      <c r="C1075" s="19" t="e">
        <f t="shared" si="112"/>
        <v>#VALUE!</v>
      </c>
      <c r="D1075" s="20" t="str">
        <f>IF('DDF Original'!C1075="","",'DDF Original'!C1075)</f>
        <v/>
      </c>
      <c r="E1075" s="24" t="str">
        <f>IF('DDF Original'!B1075="","",IF(TRIM('DDF Original'!I1075)="",0,'DDF Original'!I1075))</f>
        <v/>
      </c>
      <c r="F1075" s="20" t="str">
        <f t="shared" si="113"/>
        <v/>
      </c>
      <c r="G1075" s="37" t="str">
        <f>IF('DDF Original'!B1075="","",IF(TRIM('DDF Original'!P1075)="",0,'DDF Original'!P1075))</f>
        <v/>
      </c>
      <c r="H1075" s="20" t="str">
        <f t="shared" si="114"/>
        <v/>
      </c>
      <c r="I1075" s="25" t="str">
        <f t="shared" si="115"/>
        <v/>
      </c>
      <c r="J1075" s="20" t="str">
        <f t="shared" si="116"/>
        <v/>
      </c>
      <c r="K1075" s="20" t="str">
        <f t="shared" si="117"/>
        <v/>
      </c>
      <c r="L1075" s="20" t="str">
        <f>IF(B1075="","",70*'DDF Original'!$Q$4)</f>
        <v/>
      </c>
      <c r="M1075" s="20" t="str">
        <f t="shared" si="118"/>
        <v/>
      </c>
      <c r="N1075" s="20" t="str">
        <f>IF(AND(OR(B1075="",J1075&gt;G1075,M1075&gt;G1075),'DDF Original'!L1075&lt;&gt; "MI"),G1075,IF(M1075&gt;J1075,M1075,J1075))</f>
        <v/>
      </c>
    </row>
    <row r="1076" spans="2:14" x14ac:dyDescent="0.2">
      <c r="B1076" s="19" t="str">
        <f>IF('DDF Original'!B1076="","",'DDF Original'!B1076)</f>
        <v/>
      </c>
      <c r="C1076" s="19" t="e">
        <f t="shared" si="112"/>
        <v>#VALUE!</v>
      </c>
      <c r="D1076" s="20" t="str">
        <f>IF('DDF Original'!C1076="","",'DDF Original'!C1076)</f>
        <v/>
      </c>
      <c r="E1076" s="24" t="str">
        <f>IF('DDF Original'!B1076="","",IF(TRIM('DDF Original'!I1076)="",0,'DDF Original'!I1076))</f>
        <v/>
      </c>
      <c r="F1076" s="20" t="str">
        <f t="shared" si="113"/>
        <v/>
      </c>
      <c r="G1076" s="37" t="str">
        <f>IF('DDF Original'!B1076="","",IF(TRIM('DDF Original'!P1076)="",0,'DDF Original'!P1076))</f>
        <v/>
      </c>
      <c r="H1076" s="20" t="str">
        <f t="shared" si="114"/>
        <v/>
      </c>
      <c r="I1076" s="25" t="str">
        <f t="shared" si="115"/>
        <v/>
      </c>
      <c r="J1076" s="20" t="str">
        <f t="shared" si="116"/>
        <v/>
      </c>
      <c r="K1076" s="20" t="str">
        <f t="shared" si="117"/>
        <v/>
      </c>
      <c r="L1076" s="20" t="str">
        <f>IF(B1076="","",70*'DDF Original'!$Q$4)</f>
        <v/>
      </c>
      <c r="M1076" s="20" t="str">
        <f t="shared" si="118"/>
        <v/>
      </c>
      <c r="N1076" s="20" t="str">
        <f>IF(AND(OR(B1076="",J1076&gt;G1076,M1076&gt;G1076),'DDF Original'!L1076&lt;&gt; "MI"),G1076,IF(M1076&gt;J1076,M1076,J1076))</f>
        <v/>
      </c>
    </row>
    <row r="1077" spans="2:14" x14ac:dyDescent="0.2">
      <c r="B1077" s="19" t="str">
        <f>IF('DDF Original'!B1077="","",'DDF Original'!B1077)</f>
        <v/>
      </c>
      <c r="C1077" s="19" t="e">
        <f t="shared" si="112"/>
        <v>#VALUE!</v>
      </c>
      <c r="D1077" s="20" t="str">
        <f>IF('DDF Original'!C1077="","",'DDF Original'!C1077)</f>
        <v/>
      </c>
      <c r="E1077" s="24" t="str">
        <f>IF('DDF Original'!B1077="","",IF(TRIM('DDF Original'!I1077)="",0,'DDF Original'!I1077))</f>
        <v/>
      </c>
      <c r="F1077" s="20" t="str">
        <f t="shared" si="113"/>
        <v/>
      </c>
      <c r="G1077" s="37" t="str">
        <f>IF('DDF Original'!B1077="","",IF(TRIM('DDF Original'!P1077)="",0,'DDF Original'!P1077))</f>
        <v/>
      </c>
      <c r="H1077" s="20" t="str">
        <f t="shared" si="114"/>
        <v/>
      </c>
      <c r="I1077" s="25" t="str">
        <f t="shared" si="115"/>
        <v/>
      </c>
      <c r="J1077" s="20" t="str">
        <f t="shared" si="116"/>
        <v/>
      </c>
      <c r="K1077" s="20" t="str">
        <f t="shared" si="117"/>
        <v/>
      </c>
      <c r="L1077" s="20" t="str">
        <f>IF(B1077="","",70*'DDF Original'!$Q$4)</f>
        <v/>
      </c>
      <c r="M1077" s="20" t="str">
        <f t="shared" si="118"/>
        <v/>
      </c>
      <c r="N1077" s="20" t="str">
        <f>IF(AND(OR(B1077="",J1077&gt;G1077,M1077&gt;G1077),'DDF Original'!L1077&lt;&gt; "MI"),G1077,IF(M1077&gt;J1077,M1077,J1077))</f>
        <v/>
      </c>
    </row>
    <row r="1078" spans="2:14" x14ac:dyDescent="0.2">
      <c r="B1078" s="19" t="str">
        <f>IF('DDF Original'!B1078="","",'DDF Original'!B1078)</f>
        <v/>
      </c>
      <c r="C1078" s="19" t="e">
        <f t="shared" si="112"/>
        <v>#VALUE!</v>
      </c>
      <c r="D1078" s="20" t="str">
        <f>IF('DDF Original'!C1078="","",'DDF Original'!C1078)</f>
        <v/>
      </c>
      <c r="E1078" s="24" t="str">
        <f>IF('DDF Original'!B1078="","",IF(TRIM('DDF Original'!I1078)="",0,'DDF Original'!I1078))</f>
        <v/>
      </c>
      <c r="F1078" s="20" t="str">
        <f t="shared" si="113"/>
        <v/>
      </c>
      <c r="G1078" s="37" t="str">
        <f>IF('DDF Original'!B1078="","",IF(TRIM('DDF Original'!P1078)="",0,'DDF Original'!P1078))</f>
        <v/>
      </c>
      <c r="H1078" s="20" t="str">
        <f t="shared" si="114"/>
        <v/>
      </c>
      <c r="I1078" s="25" t="str">
        <f t="shared" si="115"/>
        <v/>
      </c>
      <c r="J1078" s="20" t="str">
        <f t="shared" si="116"/>
        <v/>
      </c>
      <c r="K1078" s="20" t="str">
        <f t="shared" si="117"/>
        <v/>
      </c>
      <c r="L1078" s="20" t="str">
        <f>IF(B1078="","",70*'DDF Original'!$Q$4)</f>
        <v/>
      </c>
      <c r="M1078" s="20" t="str">
        <f t="shared" si="118"/>
        <v/>
      </c>
      <c r="N1078" s="20" t="str">
        <f>IF(AND(OR(B1078="",J1078&gt;G1078,M1078&gt;G1078),'DDF Original'!L1078&lt;&gt; "MI"),G1078,IF(M1078&gt;J1078,M1078,J1078))</f>
        <v/>
      </c>
    </row>
    <row r="1079" spans="2:14" x14ac:dyDescent="0.2">
      <c r="B1079" s="19" t="str">
        <f>IF('DDF Original'!B1079="","",'DDF Original'!B1079)</f>
        <v/>
      </c>
      <c r="C1079" s="19" t="e">
        <f t="shared" si="112"/>
        <v>#VALUE!</v>
      </c>
      <c r="D1079" s="20" t="str">
        <f>IF('DDF Original'!C1079="","",'DDF Original'!C1079)</f>
        <v/>
      </c>
      <c r="E1079" s="24" t="str">
        <f>IF('DDF Original'!B1079="","",IF(TRIM('DDF Original'!I1079)="",0,'DDF Original'!I1079))</f>
        <v/>
      </c>
      <c r="F1079" s="20" t="str">
        <f t="shared" si="113"/>
        <v/>
      </c>
      <c r="G1079" s="37" t="str">
        <f>IF('DDF Original'!B1079="","",IF(TRIM('DDF Original'!P1079)="",0,'DDF Original'!P1079))</f>
        <v/>
      </c>
      <c r="H1079" s="20" t="str">
        <f t="shared" si="114"/>
        <v/>
      </c>
      <c r="I1079" s="25" t="str">
        <f t="shared" si="115"/>
        <v/>
      </c>
      <c r="J1079" s="20" t="str">
        <f t="shared" si="116"/>
        <v/>
      </c>
      <c r="K1079" s="20" t="str">
        <f t="shared" si="117"/>
        <v/>
      </c>
      <c r="L1079" s="20" t="str">
        <f>IF(B1079="","",70*'DDF Original'!$Q$4)</f>
        <v/>
      </c>
      <c r="M1079" s="20" t="str">
        <f t="shared" si="118"/>
        <v/>
      </c>
      <c r="N1079" s="20" t="str">
        <f>IF(AND(OR(B1079="",J1079&gt;G1079,M1079&gt;G1079),'DDF Original'!L1079&lt;&gt; "MI"),G1079,IF(M1079&gt;J1079,M1079,J1079))</f>
        <v/>
      </c>
    </row>
    <row r="1080" spans="2:14" x14ac:dyDescent="0.2">
      <c r="B1080" s="19" t="str">
        <f>IF('DDF Original'!B1080="","",'DDF Original'!B1080)</f>
        <v/>
      </c>
      <c r="C1080" s="19" t="e">
        <f t="shared" si="112"/>
        <v>#VALUE!</v>
      </c>
      <c r="D1080" s="20" t="str">
        <f>IF('DDF Original'!C1080="","",'DDF Original'!C1080)</f>
        <v/>
      </c>
      <c r="E1080" s="24" t="str">
        <f>IF('DDF Original'!B1080="","",IF(TRIM('DDF Original'!I1080)="",0,'DDF Original'!I1080))</f>
        <v/>
      </c>
      <c r="F1080" s="20" t="str">
        <f t="shared" si="113"/>
        <v/>
      </c>
      <c r="G1080" s="37" t="str">
        <f>IF('DDF Original'!B1080="","",IF(TRIM('DDF Original'!P1080)="",0,'DDF Original'!P1080))</f>
        <v/>
      </c>
      <c r="H1080" s="20" t="str">
        <f t="shared" si="114"/>
        <v/>
      </c>
      <c r="I1080" s="25" t="str">
        <f t="shared" si="115"/>
        <v/>
      </c>
      <c r="J1080" s="20" t="str">
        <f t="shared" si="116"/>
        <v/>
      </c>
      <c r="K1080" s="20" t="str">
        <f t="shared" si="117"/>
        <v/>
      </c>
      <c r="L1080" s="20" t="str">
        <f>IF(B1080="","",70*'DDF Original'!$Q$4)</f>
        <v/>
      </c>
      <c r="M1080" s="20" t="str">
        <f t="shared" si="118"/>
        <v/>
      </c>
      <c r="N1080" s="20" t="str">
        <f>IF(AND(OR(B1080="",J1080&gt;G1080,M1080&gt;G1080),'DDF Original'!L1080&lt;&gt; "MI"),G1080,IF(M1080&gt;J1080,M1080,J1080))</f>
        <v/>
      </c>
    </row>
    <row r="1081" spans="2:14" x14ac:dyDescent="0.2">
      <c r="B1081" s="19" t="str">
        <f>IF('DDF Original'!B1081="","",'DDF Original'!B1081)</f>
        <v/>
      </c>
      <c r="C1081" s="19" t="e">
        <f t="shared" si="112"/>
        <v>#VALUE!</v>
      </c>
      <c r="D1081" s="20" t="str">
        <f>IF('DDF Original'!C1081="","",'DDF Original'!C1081)</f>
        <v/>
      </c>
      <c r="E1081" s="24" t="str">
        <f>IF('DDF Original'!B1081="","",IF(TRIM('DDF Original'!I1081)="",0,'DDF Original'!I1081))</f>
        <v/>
      </c>
      <c r="F1081" s="20" t="str">
        <f t="shared" si="113"/>
        <v/>
      </c>
      <c r="G1081" s="37" t="str">
        <f>IF('DDF Original'!B1081="","",IF(TRIM('DDF Original'!P1081)="",0,'DDF Original'!P1081))</f>
        <v/>
      </c>
      <c r="H1081" s="20" t="str">
        <f t="shared" si="114"/>
        <v/>
      </c>
      <c r="I1081" s="25" t="str">
        <f t="shared" si="115"/>
        <v/>
      </c>
      <c r="J1081" s="20" t="str">
        <f t="shared" si="116"/>
        <v/>
      </c>
      <c r="K1081" s="20" t="str">
        <f t="shared" si="117"/>
        <v/>
      </c>
      <c r="L1081" s="20" t="str">
        <f>IF(B1081="","",70*'DDF Original'!$Q$4)</f>
        <v/>
      </c>
      <c r="M1081" s="20" t="str">
        <f t="shared" si="118"/>
        <v/>
      </c>
      <c r="N1081" s="20" t="str">
        <f>IF(AND(OR(B1081="",J1081&gt;G1081,M1081&gt;G1081),'DDF Original'!L1081&lt;&gt; "MI"),G1081,IF(M1081&gt;J1081,M1081,J1081))</f>
        <v/>
      </c>
    </row>
    <row r="1082" spans="2:14" x14ac:dyDescent="0.2">
      <c r="B1082" s="19" t="str">
        <f>IF('DDF Original'!B1082="","",'DDF Original'!B1082)</f>
        <v/>
      </c>
      <c r="C1082" s="19" t="e">
        <f t="shared" si="112"/>
        <v>#VALUE!</v>
      </c>
      <c r="D1082" s="20" t="str">
        <f>IF('DDF Original'!C1082="","",'DDF Original'!C1082)</f>
        <v/>
      </c>
      <c r="E1082" s="24" t="str">
        <f>IF('DDF Original'!B1082="","",IF(TRIM('DDF Original'!I1082)="",0,'DDF Original'!I1082))</f>
        <v/>
      </c>
      <c r="F1082" s="20" t="str">
        <f t="shared" si="113"/>
        <v/>
      </c>
      <c r="G1082" s="37" t="str">
        <f>IF('DDF Original'!B1082="","",IF(TRIM('DDF Original'!P1082)="",0,'DDF Original'!P1082))</f>
        <v/>
      </c>
      <c r="H1082" s="20" t="str">
        <f t="shared" si="114"/>
        <v/>
      </c>
      <c r="I1082" s="25" t="str">
        <f t="shared" si="115"/>
        <v/>
      </c>
      <c r="J1082" s="20" t="str">
        <f t="shared" si="116"/>
        <v/>
      </c>
      <c r="K1082" s="20" t="str">
        <f t="shared" si="117"/>
        <v/>
      </c>
      <c r="L1082" s="20" t="str">
        <f>IF(B1082="","",70*'DDF Original'!$Q$4)</f>
        <v/>
      </c>
      <c r="M1082" s="20" t="str">
        <f t="shared" si="118"/>
        <v/>
      </c>
      <c r="N1082" s="20" t="str">
        <f>IF(AND(OR(B1082="",J1082&gt;G1082,M1082&gt;G1082),'DDF Original'!L1082&lt;&gt; "MI"),G1082,IF(M1082&gt;J1082,M1082,J1082))</f>
        <v/>
      </c>
    </row>
    <row r="1083" spans="2:14" x14ac:dyDescent="0.2">
      <c r="B1083" s="19" t="str">
        <f>IF('DDF Original'!B1083="","",'DDF Original'!B1083)</f>
        <v/>
      </c>
      <c r="C1083" s="19" t="e">
        <f t="shared" si="112"/>
        <v>#VALUE!</v>
      </c>
      <c r="D1083" s="20" t="str">
        <f>IF('DDF Original'!C1083="","",'DDF Original'!C1083)</f>
        <v/>
      </c>
      <c r="E1083" s="24" t="str">
        <f>IF('DDF Original'!B1083="","",IF(TRIM('DDF Original'!I1083)="",0,'DDF Original'!I1083))</f>
        <v/>
      </c>
      <c r="F1083" s="20" t="str">
        <f t="shared" si="113"/>
        <v/>
      </c>
      <c r="G1083" s="37" t="str">
        <f>IF('DDF Original'!B1083="","",IF(TRIM('DDF Original'!P1083)="",0,'DDF Original'!P1083))</f>
        <v/>
      </c>
      <c r="H1083" s="20" t="str">
        <f t="shared" si="114"/>
        <v/>
      </c>
      <c r="I1083" s="25" t="str">
        <f t="shared" si="115"/>
        <v/>
      </c>
      <c r="J1083" s="20" t="str">
        <f t="shared" si="116"/>
        <v/>
      </c>
      <c r="K1083" s="20" t="str">
        <f t="shared" si="117"/>
        <v/>
      </c>
      <c r="L1083" s="20" t="str">
        <f>IF(B1083="","",70*'DDF Original'!$Q$4)</f>
        <v/>
      </c>
      <c r="M1083" s="20" t="str">
        <f t="shared" si="118"/>
        <v/>
      </c>
      <c r="N1083" s="20" t="str">
        <f>IF(AND(OR(B1083="",J1083&gt;G1083,M1083&gt;G1083),'DDF Original'!L1083&lt;&gt; "MI"),G1083,IF(M1083&gt;J1083,M1083,J1083))</f>
        <v/>
      </c>
    </row>
    <row r="1084" spans="2:14" x14ac:dyDescent="0.2">
      <c r="B1084" s="19" t="str">
        <f>IF('DDF Original'!B1084="","",'DDF Original'!B1084)</f>
        <v/>
      </c>
      <c r="C1084" s="19" t="e">
        <f t="shared" si="112"/>
        <v>#VALUE!</v>
      </c>
      <c r="D1084" s="20" t="str">
        <f>IF('DDF Original'!C1084="","",'DDF Original'!C1084)</f>
        <v/>
      </c>
      <c r="E1084" s="24" t="str">
        <f>IF('DDF Original'!B1084="","",IF(TRIM('DDF Original'!I1084)="",0,'DDF Original'!I1084))</f>
        <v/>
      </c>
      <c r="F1084" s="20" t="str">
        <f t="shared" si="113"/>
        <v/>
      </c>
      <c r="G1084" s="37" t="str">
        <f>IF('DDF Original'!B1084="","",IF(TRIM('DDF Original'!P1084)="",0,'DDF Original'!P1084))</f>
        <v/>
      </c>
      <c r="H1084" s="20" t="str">
        <f t="shared" si="114"/>
        <v/>
      </c>
      <c r="I1084" s="25" t="str">
        <f t="shared" si="115"/>
        <v/>
      </c>
      <c r="J1084" s="20" t="str">
        <f t="shared" si="116"/>
        <v/>
      </c>
      <c r="K1084" s="20" t="str">
        <f t="shared" si="117"/>
        <v/>
      </c>
      <c r="L1084" s="20" t="str">
        <f>IF(B1084="","",70*'DDF Original'!$Q$4)</f>
        <v/>
      </c>
      <c r="M1084" s="20" t="str">
        <f t="shared" si="118"/>
        <v/>
      </c>
      <c r="N1084" s="20" t="str">
        <f>IF(AND(OR(B1084="",J1084&gt;G1084,M1084&gt;G1084),'DDF Original'!L1084&lt;&gt; "MI"),G1084,IF(M1084&gt;J1084,M1084,J1084))</f>
        <v/>
      </c>
    </row>
    <row r="1085" spans="2:14" x14ac:dyDescent="0.2">
      <c r="B1085" s="19" t="str">
        <f>IF('DDF Original'!B1085="","",'DDF Original'!B1085)</f>
        <v/>
      </c>
      <c r="C1085" s="19" t="e">
        <f t="shared" ref="C1085:C1148" si="119">LEFT(B1085,FIND(".",B1085)-1)</f>
        <v>#VALUE!</v>
      </c>
      <c r="D1085" s="20" t="str">
        <f>IF('DDF Original'!C1085="","",'DDF Original'!C1085)</f>
        <v/>
      </c>
      <c r="E1085" s="24" t="str">
        <f>IF('DDF Original'!B1085="","",IF(TRIM('DDF Original'!I1085)="",0,'DDF Original'!I1085))</f>
        <v/>
      </c>
      <c r="F1085" s="20" t="str">
        <f t="shared" ref="F1085:F1148" si="120">IF(D1085="",D1085,ROUND(D1085*(1+E1085/100),2))</f>
        <v/>
      </c>
      <c r="G1085" s="37" t="str">
        <f>IF('DDF Original'!B1085="","",IF(TRIM('DDF Original'!P1085)="",0,'DDF Original'!P1085))</f>
        <v/>
      </c>
      <c r="H1085" s="20" t="str">
        <f t="shared" ref="H1085:H1148" si="121">IF(OR(D1085=0,D1085=""),G1085,F1085)</f>
        <v/>
      </c>
      <c r="I1085" s="25" t="str">
        <f t="shared" ref="I1085:I1148" si="122">IF(B1085="","",IF(OR(D1085=0,D1085=""),50,35))</f>
        <v/>
      </c>
      <c r="J1085" s="20" t="str">
        <f t="shared" ref="J1085:J1148" si="123">IF(B1085="","",ROUND(H1085*I1085/100,2))</f>
        <v/>
      </c>
      <c r="K1085" s="20" t="str">
        <f t="shared" ref="K1085:K1148" si="124">IF(B1085="","",SUMIFS($J$9:$J$508,$C$9:$C$508,"="&amp;C1085))</f>
        <v/>
      </c>
      <c r="L1085" s="20" t="str">
        <f>IF(B1085="","",70*'DDF Original'!$Q$4)</f>
        <v/>
      </c>
      <c r="M1085" s="20" t="str">
        <f t="shared" ref="M1085:M1148" si="125">IF(B1085="","",ROUND(J1085/K1085*L1085,2))</f>
        <v/>
      </c>
      <c r="N1085" s="20" t="str">
        <f>IF(AND(OR(B1085="",J1085&gt;G1085,M1085&gt;G1085),'DDF Original'!L1085&lt;&gt; "MI"),G1085,IF(M1085&gt;J1085,M1085,J1085))</f>
        <v/>
      </c>
    </row>
    <row r="1086" spans="2:14" x14ac:dyDescent="0.2">
      <c r="B1086" s="19" t="str">
        <f>IF('DDF Original'!B1086="","",'DDF Original'!B1086)</f>
        <v/>
      </c>
      <c r="C1086" s="19" t="e">
        <f t="shared" si="119"/>
        <v>#VALUE!</v>
      </c>
      <c r="D1086" s="20" t="str">
        <f>IF('DDF Original'!C1086="","",'DDF Original'!C1086)</f>
        <v/>
      </c>
      <c r="E1086" s="24" t="str">
        <f>IF('DDF Original'!B1086="","",IF(TRIM('DDF Original'!I1086)="",0,'DDF Original'!I1086))</f>
        <v/>
      </c>
      <c r="F1086" s="20" t="str">
        <f t="shared" si="120"/>
        <v/>
      </c>
      <c r="G1086" s="37" t="str">
        <f>IF('DDF Original'!B1086="","",IF(TRIM('DDF Original'!P1086)="",0,'DDF Original'!P1086))</f>
        <v/>
      </c>
      <c r="H1086" s="20" t="str">
        <f t="shared" si="121"/>
        <v/>
      </c>
      <c r="I1086" s="25" t="str">
        <f t="shared" si="122"/>
        <v/>
      </c>
      <c r="J1086" s="20" t="str">
        <f t="shared" si="123"/>
        <v/>
      </c>
      <c r="K1086" s="20" t="str">
        <f t="shared" si="124"/>
        <v/>
      </c>
      <c r="L1086" s="20" t="str">
        <f>IF(B1086="","",70*'DDF Original'!$Q$4)</f>
        <v/>
      </c>
      <c r="M1086" s="20" t="str">
        <f t="shared" si="125"/>
        <v/>
      </c>
      <c r="N1086" s="20" t="str">
        <f>IF(AND(OR(B1086="",J1086&gt;G1086,M1086&gt;G1086),'DDF Original'!L1086&lt;&gt; "MI"),G1086,IF(M1086&gt;J1086,M1086,J1086))</f>
        <v/>
      </c>
    </row>
    <row r="1087" spans="2:14" x14ac:dyDescent="0.2">
      <c r="B1087" s="19" t="str">
        <f>IF('DDF Original'!B1087="","",'DDF Original'!B1087)</f>
        <v/>
      </c>
      <c r="C1087" s="19" t="e">
        <f t="shared" si="119"/>
        <v>#VALUE!</v>
      </c>
      <c r="D1087" s="20" t="str">
        <f>IF('DDF Original'!C1087="","",'DDF Original'!C1087)</f>
        <v/>
      </c>
      <c r="E1087" s="24" t="str">
        <f>IF('DDF Original'!B1087="","",IF(TRIM('DDF Original'!I1087)="",0,'DDF Original'!I1087))</f>
        <v/>
      </c>
      <c r="F1087" s="20" t="str">
        <f t="shared" si="120"/>
        <v/>
      </c>
      <c r="G1087" s="37" t="str">
        <f>IF('DDF Original'!B1087="","",IF(TRIM('DDF Original'!P1087)="",0,'DDF Original'!P1087))</f>
        <v/>
      </c>
      <c r="H1087" s="20" t="str">
        <f t="shared" si="121"/>
        <v/>
      </c>
      <c r="I1087" s="25" t="str">
        <f t="shared" si="122"/>
        <v/>
      </c>
      <c r="J1087" s="20" t="str">
        <f t="shared" si="123"/>
        <v/>
      </c>
      <c r="K1087" s="20" t="str">
        <f t="shared" si="124"/>
        <v/>
      </c>
      <c r="L1087" s="20" t="str">
        <f>IF(B1087="","",70*'DDF Original'!$Q$4)</f>
        <v/>
      </c>
      <c r="M1087" s="20" t="str">
        <f t="shared" si="125"/>
        <v/>
      </c>
      <c r="N1087" s="20" t="str">
        <f>IF(AND(OR(B1087="",J1087&gt;G1087,M1087&gt;G1087),'DDF Original'!L1087&lt;&gt; "MI"),G1087,IF(M1087&gt;J1087,M1087,J1087))</f>
        <v/>
      </c>
    </row>
    <row r="1088" spans="2:14" x14ac:dyDescent="0.2">
      <c r="B1088" s="19" t="str">
        <f>IF('DDF Original'!B1088="","",'DDF Original'!B1088)</f>
        <v/>
      </c>
      <c r="C1088" s="19" t="e">
        <f t="shared" si="119"/>
        <v>#VALUE!</v>
      </c>
      <c r="D1088" s="20" t="str">
        <f>IF('DDF Original'!C1088="","",'DDF Original'!C1088)</f>
        <v/>
      </c>
      <c r="E1088" s="24" t="str">
        <f>IF('DDF Original'!B1088="","",IF(TRIM('DDF Original'!I1088)="",0,'DDF Original'!I1088))</f>
        <v/>
      </c>
      <c r="F1088" s="20" t="str">
        <f t="shared" si="120"/>
        <v/>
      </c>
      <c r="G1088" s="37" t="str">
        <f>IF('DDF Original'!B1088="","",IF(TRIM('DDF Original'!P1088)="",0,'DDF Original'!P1088))</f>
        <v/>
      </c>
      <c r="H1088" s="20" t="str">
        <f t="shared" si="121"/>
        <v/>
      </c>
      <c r="I1088" s="25" t="str">
        <f t="shared" si="122"/>
        <v/>
      </c>
      <c r="J1088" s="20" t="str">
        <f t="shared" si="123"/>
        <v/>
      </c>
      <c r="K1088" s="20" t="str">
        <f t="shared" si="124"/>
        <v/>
      </c>
      <c r="L1088" s="20" t="str">
        <f>IF(B1088="","",70*'DDF Original'!$Q$4)</f>
        <v/>
      </c>
      <c r="M1088" s="20" t="str">
        <f t="shared" si="125"/>
        <v/>
      </c>
      <c r="N1088" s="20" t="str">
        <f>IF(AND(OR(B1088="",J1088&gt;G1088,M1088&gt;G1088),'DDF Original'!L1088&lt;&gt; "MI"),G1088,IF(M1088&gt;J1088,M1088,J1088))</f>
        <v/>
      </c>
    </row>
    <row r="1089" spans="2:14" x14ac:dyDescent="0.2">
      <c r="B1089" s="19" t="str">
        <f>IF('DDF Original'!B1089="","",'DDF Original'!B1089)</f>
        <v/>
      </c>
      <c r="C1089" s="19" t="e">
        <f t="shared" si="119"/>
        <v>#VALUE!</v>
      </c>
      <c r="D1089" s="20" t="str">
        <f>IF('DDF Original'!C1089="","",'DDF Original'!C1089)</f>
        <v/>
      </c>
      <c r="E1089" s="24" t="str">
        <f>IF('DDF Original'!B1089="","",IF(TRIM('DDF Original'!I1089)="",0,'DDF Original'!I1089))</f>
        <v/>
      </c>
      <c r="F1089" s="20" t="str">
        <f t="shared" si="120"/>
        <v/>
      </c>
      <c r="G1089" s="37" t="str">
        <f>IF('DDF Original'!B1089="","",IF(TRIM('DDF Original'!P1089)="",0,'DDF Original'!P1089))</f>
        <v/>
      </c>
      <c r="H1089" s="20" t="str">
        <f t="shared" si="121"/>
        <v/>
      </c>
      <c r="I1089" s="25" t="str">
        <f t="shared" si="122"/>
        <v/>
      </c>
      <c r="J1089" s="20" t="str">
        <f t="shared" si="123"/>
        <v/>
      </c>
      <c r="K1089" s="20" t="str">
        <f t="shared" si="124"/>
        <v/>
      </c>
      <c r="L1089" s="20" t="str">
        <f>IF(B1089="","",70*'DDF Original'!$Q$4)</f>
        <v/>
      </c>
      <c r="M1089" s="20" t="str">
        <f t="shared" si="125"/>
        <v/>
      </c>
      <c r="N1089" s="20" t="str">
        <f>IF(AND(OR(B1089="",J1089&gt;G1089,M1089&gt;G1089),'DDF Original'!L1089&lt;&gt; "MI"),G1089,IF(M1089&gt;J1089,M1089,J1089))</f>
        <v/>
      </c>
    </row>
    <row r="1090" spans="2:14" x14ac:dyDescent="0.2">
      <c r="B1090" s="19" t="str">
        <f>IF('DDF Original'!B1090="","",'DDF Original'!B1090)</f>
        <v/>
      </c>
      <c r="C1090" s="19" t="e">
        <f t="shared" si="119"/>
        <v>#VALUE!</v>
      </c>
      <c r="D1090" s="20" t="str">
        <f>IF('DDF Original'!C1090="","",'DDF Original'!C1090)</f>
        <v/>
      </c>
      <c r="E1090" s="24" t="str">
        <f>IF('DDF Original'!B1090="","",IF(TRIM('DDF Original'!I1090)="",0,'DDF Original'!I1090))</f>
        <v/>
      </c>
      <c r="F1090" s="20" t="str">
        <f t="shared" si="120"/>
        <v/>
      </c>
      <c r="G1090" s="37" t="str">
        <f>IF('DDF Original'!B1090="","",IF(TRIM('DDF Original'!P1090)="",0,'DDF Original'!P1090))</f>
        <v/>
      </c>
      <c r="H1090" s="20" t="str">
        <f t="shared" si="121"/>
        <v/>
      </c>
      <c r="I1090" s="25" t="str">
        <f t="shared" si="122"/>
        <v/>
      </c>
      <c r="J1090" s="20" t="str">
        <f t="shared" si="123"/>
        <v/>
      </c>
      <c r="K1090" s="20" t="str">
        <f t="shared" si="124"/>
        <v/>
      </c>
      <c r="L1090" s="20" t="str">
        <f>IF(B1090="","",70*'DDF Original'!$Q$4)</f>
        <v/>
      </c>
      <c r="M1090" s="20" t="str">
        <f t="shared" si="125"/>
        <v/>
      </c>
      <c r="N1090" s="20" t="str">
        <f>IF(AND(OR(B1090="",J1090&gt;G1090,M1090&gt;G1090),'DDF Original'!L1090&lt;&gt; "MI"),G1090,IF(M1090&gt;J1090,M1090,J1090))</f>
        <v/>
      </c>
    </row>
    <row r="1091" spans="2:14" x14ac:dyDescent="0.2">
      <c r="B1091" s="19" t="str">
        <f>IF('DDF Original'!B1091="","",'DDF Original'!B1091)</f>
        <v/>
      </c>
      <c r="C1091" s="19" t="e">
        <f t="shared" si="119"/>
        <v>#VALUE!</v>
      </c>
      <c r="D1091" s="20" t="str">
        <f>IF('DDF Original'!C1091="","",'DDF Original'!C1091)</f>
        <v/>
      </c>
      <c r="E1091" s="24" t="str">
        <f>IF('DDF Original'!B1091="","",IF(TRIM('DDF Original'!I1091)="",0,'DDF Original'!I1091))</f>
        <v/>
      </c>
      <c r="F1091" s="20" t="str">
        <f t="shared" si="120"/>
        <v/>
      </c>
      <c r="G1091" s="37" t="str">
        <f>IF('DDF Original'!B1091="","",IF(TRIM('DDF Original'!P1091)="",0,'DDF Original'!P1091))</f>
        <v/>
      </c>
      <c r="H1091" s="20" t="str">
        <f t="shared" si="121"/>
        <v/>
      </c>
      <c r="I1091" s="25" t="str">
        <f t="shared" si="122"/>
        <v/>
      </c>
      <c r="J1091" s="20" t="str">
        <f t="shared" si="123"/>
        <v/>
      </c>
      <c r="K1091" s="20" t="str">
        <f t="shared" si="124"/>
        <v/>
      </c>
      <c r="L1091" s="20" t="str">
        <f>IF(B1091="","",70*'DDF Original'!$Q$4)</f>
        <v/>
      </c>
      <c r="M1091" s="20" t="str">
        <f t="shared" si="125"/>
        <v/>
      </c>
      <c r="N1091" s="20" t="str">
        <f>IF(AND(OR(B1091="",J1091&gt;G1091,M1091&gt;G1091),'DDF Original'!L1091&lt;&gt; "MI"),G1091,IF(M1091&gt;J1091,M1091,J1091))</f>
        <v/>
      </c>
    </row>
    <row r="1092" spans="2:14" x14ac:dyDescent="0.2">
      <c r="B1092" s="19" t="str">
        <f>IF('DDF Original'!B1092="","",'DDF Original'!B1092)</f>
        <v/>
      </c>
      <c r="C1092" s="19" t="e">
        <f t="shared" si="119"/>
        <v>#VALUE!</v>
      </c>
      <c r="D1092" s="20" t="str">
        <f>IF('DDF Original'!C1092="","",'DDF Original'!C1092)</f>
        <v/>
      </c>
      <c r="E1092" s="24" t="str">
        <f>IF('DDF Original'!B1092="","",IF(TRIM('DDF Original'!I1092)="",0,'DDF Original'!I1092))</f>
        <v/>
      </c>
      <c r="F1092" s="20" t="str">
        <f t="shared" si="120"/>
        <v/>
      </c>
      <c r="G1092" s="37" t="str">
        <f>IF('DDF Original'!B1092="","",IF(TRIM('DDF Original'!P1092)="",0,'DDF Original'!P1092))</f>
        <v/>
      </c>
      <c r="H1092" s="20" t="str">
        <f t="shared" si="121"/>
        <v/>
      </c>
      <c r="I1092" s="25" t="str">
        <f t="shared" si="122"/>
        <v/>
      </c>
      <c r="J1092" s="20" t="str">
        <f t="shared" si="123"/>
        <v/>
      </c>
      <c r="K1092" s="20" t="str">
        <f t="shared" si="124"/>
        <v/>
      </c>
      <c r="L1092" s="20" t="str">
        <f>IF(B1092="","",70*'DDF Original'!$Q$4)</f>
        <v/>
      </c>
      <c r="M1092" s="20" t="str">
        <f t="shared" si="125"/>
        <v/>
      </c>
      <c r="N1092" s="20" t="str">
        <f>IF(AND(OR(B1092="",J1092&gt;G1092,M1092&gt;G1092),'DDF Original'!L1092&lt;&gt; "MI"),G1092,IF(M1092&gt;J1092,M1092,J1092))</f>
        <v/>
      </c>
    </row>
    <row r="1093" spans="2:14" x14ac:dyDescent="0.2">
      <c r="B1093" s="19" t="str">
        <f>IF('DDF Original'!B1093="","",'DDF Original'!B1093)</f>
        <v/>
      </c>
      <c r="C1093" s="19" t="e">
        <f t="shared" si="119"/>
        <v>#VALUE!</v>
      </c>
      <c r="D1093" s="20" t="str">
        <f>IF('DDF Original'!C1093="","",'DDF Original'!C1093)</f>
        <v/>
      </c>
      <c r="E1093" s="24" t="str">
        <f>IF('DDF Original'!B1093="","",IF(TRIM('DDF Original'!I1093)="",0,'DDF Original'!I1093))</f>
        <v/>
      </c>
      <c r="F1093" s="20" t="str">
        <f t="shared" si="120"/>
        <v/>
      </c>
      <c r="G1093" s="37" t="str">
        <f>IF('DDF Original'!B1093="","",IF(TRIM('DDF Original'!P1093)="",0,'DDF Original'!P1093))</f>
        <v/>
      </c>
      <c r="H1093" s="20" t="str">
        <f t="shared" si="121"/>
        <v/>
      </c>
      <c r="I1093" s="25" t="str">
        <f t="shared" si="122"/>
        <v/>
      </c>
      <c r="J1093" s="20" t="str">
        <f t="shared" si="123"/>
        <v/>
      </c>
      <c r="K1093" s="20" t="str">
        <f t="shared" si="124"/>
        <v/>
      </c>
      <c r="L1093" s="20" t="str">
        <f>IF(B1093="","",70*'DDF Original'!$Q$4)</f>
        <v/>
      </c>
      <c r="M1093" s="20" t="str">
        <f t="shared" si="125"/>
        <v/>
      </c>
      <c r="N1093" s="20" t="str">
        <f>IF(AND(OR(B1093="",J1093&gt;G1093,M1093&gt;G1093),'DDF Original'!L1093&lt;&gt; "MI"),G1093,IF(M1093&gt;J1093,M1093,J1093))</f>
        <v/>
      </c>
    </row>
    <row r="1094" spans="2:14" x14ac:dyDescent="0.2">
      <c r="B1094" s="19" t="str">
        <f>IF('DDF Original'!B1094="","",'DDF Original'!B1094)</f>
        <v/>
      </c>
      <c r="C1094" s="19" t="e">
        <f t="shared" si="119"/>
        <v>#VALUE!</v>
      </c>
      <c r="D1094" s="20" t="str">
        <f>IF('DDF Original'!C1094="","",'DDF Original'!C1094)</f>
        <v/>
      </c>
      <c r="E1094" s="24" t="str">
        <f>IF('DDF Original'!B1094="","",IF(TRIM('DDF Original'!I1094)="",0,'DDF Original'!I1094))</f>
        <v/>
      </c>
      <c r="F1094" s="20" t="str">
        <f t="shared" si="120"/>
        <v/>
      </c>
      <c r="G1094" s="37" t="str">
        <f>IF('DDF Original'!B1094="","",IF(TRIM('DDF Original'!P1094)="",0,'DDF Original'!P1094))</f>
        <v/>
      </c>
      <c r="H1094" s="20" t="str">
        <f t="shared" si="121"/>
        <v/>
      </c>
      <c r="I1094" s="25" t="str">
        <f t="shared" si="122"/>
        <v/>
      </c>
      <c r="J1094" s="20" t="str">
        <f t="shared" si="123"/>
        <v/>
      </c>
      <c r="K1094" s="20" t="str">
        <f t="shared" si="124"/>
        <v/>
      </c>
      <c r="L1094" s="20" t="str">
        <f>IF(B1094="","",70*'DDF Original'!$Q$4)</f>
        <v/>
      </c>
      <c r="M1094" s="20" t="str">
        <f t="shared" si="125"/>
        <v/>
      </c>
      <c r="N1094" s="20" t="str">
        <f>IF(AND(OR(B1094="",J1094&gt;G1094,M1094&gt;G1094),'DDF Original'!L1094&lt;&gt; "MI"),G1094,IF(M1094&gt;J1094,M1094,J1094))</f>
        <v/>
      </c>
    </row>
    <row r="1095" spans="2:14" x14ac:dyDescent="0.2">
      <c r="B1095" s="19" t="str">
        <f>IF('DDF Original'!B1095="","",'DDF Original'!B1095)</f>
        <v/>
      </c>
      <c r="C1095" s="19" t="e">
        <f t="shared" si="119"/>
        <v>#VALUE!</v>
      </c>
      <c r="D1095" s="20" t="str">
        <f>IF('DDF Original'!C1095="","",'DDF Original'!C1095)</f>
        <v/>
      </c>
      <c r="E1095" s="24" t="str">
        <f>IF('DDF Original'!B1095="","",IF(TRIM('DDF Original'!I1095)="",0,'DDF Original'!I1095))</f>
        <v/>
      </c>
      <c r="F1095" s="20" t="str">
        <f t="shared" si="120"/>
        <v/>
      </c>
      <c r="G1095" s="37" t="str">
        <f>IF('DDF Original'!B1095="","",IF(TRIM('DDF Original'!P1095)="",0,'DDF Original'!P1095))</f>
        <v/>
      </c>
      <c r="H1095" s="20" t="str">
        <f t="shared" si="121"/>
        <v/>
      </c>
      <c r="I1095" s="25" t="str">
        <f t="shared" si="122"/>
        <v/>
      </c>
      <c r="J1095" s="20" t="str">
        <f t="shared" si="123"/>
        <v/>
      </c>
      <c r="K1095" s="20" t="str">
        <f t="shared" si="124"/>
        <v/>
      </c>
      <c r="L1095" s="20" t="str">
        <f>IF(B1095="","",70*'DDF Original'!$Q$4)</f>
        <v/>
      </c>
      <c r="M1095" s="20" t="str">
        <f t="shared" si="125"/>
        <v/>
      </c>
      <c r="N1095" s="20" t="str">
        <f>IF(AND(OR(B1095="",J1095&gt;G1095,M1095&gt;G1095),'DDF Original'!L1095&lt;&gt; "MI"),G1095,IF(M1095&gt;J1095,M1095,J1095))</f>
        <v/>
      </c>
    </row>
    <row r="1096" spans="2:14" x14ac:dyDescent="0.2">
      <c r="B1096" s="19" t="str">
        <f>IF('DDF Original'!B1096="","",'DDF Original'!B1096)</f>
        <v/>
      </c>
      <c r="C1096" s="19" t="e">
        <f t="shared" si="119"/>
        <v>#VALUE!</v>
      </c>
      <c r="D1096" s="20" t="str">
        <f>IF('DDF Original'!C1096="","",'DDF Original'!C1096)</f>
        <v/>
      </c>
      <c r="E1096" s="24" t="str">
        <f>IF('DDF Original'!B1096="","",IF(TRIM('DDF Original'!I1096)="",0,'DDF Original'!I1096))</f>
        <v/>
      </c>
      <c r="F1096" s="20" t="str">
        <f t="shared" si="120"/>
        <v/>
      </c>
      <c r="G1096" s="37" t="str">
        <f>IF('DDF Original'!B1096="","",IF(TRIM('DDF Original'!P1096)="",0,'DDF Original'!P1096))</f>
        <v/>
      </c>
      <c r="H1096" s="20" t="str">
        <f t="shared" si="121"/>
        <v/>
      </c>
      <c r="I1096" s="25" t="str">
        <f t="shared" si="122"/>
        <v/>
      </c>
      <c r="J1096" s="20" t="str">
        <f t="shared" si="123"/>
        <v/>
      </c>
      <c r="K1096" s="20" t="str">
        <f t="shared" si="124"/>
        <v/>
      </c>
      <c r="L1096" s="20" t="str">
        <f>IF(B1096="","",70*'DDF Original'!$Q$4)</f>
        <v/>
      </c>
      <c r="M1096" s="20" t="str">
        <f t="shared" si="125"/>
        <v/>
      </c>
      <c r="N1096" s="20" t="str">
        <f>IF(AND(OR(B1096="",J1096&gt;G1096,M1096&gt;G1096),'DDF Original'!L1096&lt;&gt; "MI"),G1096,IF(M1096&gt;J1096,M1096,J1096))</f>
        <v/>
      </c>
    </row>
    <row r="1097" spans="2:14" x14ac:dyDescent="0.2">
      <c r="B1097" s="19" t="str">
        <f>IF('DDF Original'!B1097="","",'DDF Original'!B1097)</f>
        <v/>
      </c>
      <c r="C1097" s="19" t="e">
        <f t="shared" si="119"/>
        <v>#VALUE!</v>
      </c>
      <c r="D1097" s="20" t="str">
        <f>IF('DDF Original'!C1097="","",'DDF Original'!C1097)</f>
        <v/>
      </c>
      <c r="E1097" s="24" t="str">
        <f>IF('DDF Original'!B1097="","",IF(TRIM('DDF Original'!I1097)="",0,'DDF Original'!I1097))</f>
        <v/>
      </c>
      <c r="F1097" s="20" t="str">
        <f t="shared" si="120"/>
        <v/>
      </c>
      <c r="G1097" s="37" t="str">
        <f>IF('DDF Original'!B1097="","",IF(TRIM('DDF Original'!P1097)="",0,'DDF Original'!P1097))</f>
        <v/>
      </c>
      <c r="H1097" s="20" t="str">
        <f t="shared" si="121"/>
        <v/>
      </c>
      <c r="I1097" s="25" t="str">
        <f t="shared" si="122"/>
        <v/>
      </c>
      <c r="J1097" s="20" t="str">
        <f t="shared" si="123"/>
        <v/>
      </c>
      <c r="K1097" s="20" t="str">
        <f t="shared" si="124"/>
        <v/>
      </c>
      <c r="L1097" s="20" t="str">
        <f>IF(B1097="","",70*'DDF Original'!$Q$4)</f>
        <v/>
      </c>
      <c r="M1097" s="20" t="str">
        <f t="shared" si="125"/>
        <v/>
      </c>
      <c r="N1097" s="20" t="str">
        <f>IF(AND(OR(B1097="",J1097&gt;G1097,M1097&gt;G1097),'DDF Original'!L1097&lt;&gt; "MI"),G1097,IF(M1097&gt;J1097,M1097,J1097))</f>
        <v/>
      </c>
    </row>
    <row r="1098" spans="2:14" x14ac:dyDescent="0.2">
      <c r="B1098" s="19" t="str">
        <f>IF('DDF Original'!B1098="","",'DDF Original'!B1098)</f>
        <v/>
      </c>
      <c r="C1098" s="19" t="e">
        <f t="shared" si="119"/>
        <v>#VALUE!</v>
      </c>
      <c r="D1098" s="20" t="str">
        <f>IF('DDF Original'!C1098="","",'DDF Original'!C1098)</f>
        <v/>
      </c>
      <c r="E1098" s="24" t="str">
        <f>IF('DDF Original'!B1098="","",IF(TRIM('DDF Original'!I1098)="",0,'DDF Original'!I1098))</f>
        <v/>
      </c>
      <c r="F1098" s="20" t="str">
        <f t="shared" si="120"/>
        <v/>
      </c>
      <c r="G1098" s="37" t="str">
        <f>IF('DDF Original'!B1098="","",IF(TRIM('DDF Original'!P1098)="",0,'DDF Original'!P1098))</f>
        <v/>
      </c>
      <c r="H1098" s="20" t="str">
        <f t="shared" si="121"/>
        <v/>
      </c>
      <c r="I1098" s="25" t="str">
        <f t="shared" si="122"/>
        <v/>
      </c>
      <c r="J1098" s="20" t="str">
        <f t="shared" si="123"/>
        <v/>
      </c>
      <c r="K1098" s="20" t="str">
        <f t="shared" si="124"/>
        <v/>
      </c>
      <c r="L1098" s="20" t="str">
        <f>IF(B1098="","",70*'DDF Original'!$Q$4)</f>
        <v/>
      </c>
      <c r="M1098" s="20" t="str">
        <f t="shared" si="125"/>
        <v/>
      </c>
      <c r="N1098" s="20" t="str">
        <f>IF(AND(OR(B1098="",J1098&gt;G1098,M1098&gt;G1098),'DDF Original'!L1098&lt;&gt; "MI"),G1098,IF(M1098&gt;J1098,M1098,J1098))</f>
        <v/>
      </c>
    </row>
    <row r="1099" spans="2:14" x14ac:dyDescent="0.2">
      <c r="B1099" s="19" t="str">
        <f>IF('DDF Original'!B1099="","",'DDF Original'!B1099)</f>
        <v/>
      </c>
      <c r="C1099" s="19" t="e">
        <f t="shared" si="119"/>
        <v>#VALUE!</v>
      </c>
      <c r="D1099" s="20" t="str">
        <f>IF('DDF Original'!C1099="","",'DDF Original'!C1099)</f>
        <v/>
      </c>
      <c r="E1099" s="24" t="str">
        <f>IF('DDF Original'!B1099="","",IF(TRIM('DDF Original'!I1099)="",0,'DDF Original'!I1099))</f>
        <v/>
      </c>
      <c r="F1099" s="20" t="str">
        <f t="shared" si="120"/>
        <v/>
      </c>
      <c r="G1099" s="37" t="str">
        <f>IF('DDF Original'!B1099="","",IF(TRIM('DDF Original'!P1099)="",0,'DDF Original'!P1099))</f>
        <v/>
      </c>
      <c r="H1099" s="20" t="str">
        <f t="shared" si="121"/>
        <v/>
      </c>
      <c r="I1099" s="25" t="str">
        <f t="shared" si="122"/>
        <v/>
      </c>
      <c r="J1099" s="20" t="str">
        <f t="shared" si="123"/>
        <v/>
      </c>
      <c r="K1099" s="20" t="str">
        <f t="shared" si="124"/>
        <v/>
      </c>
      <c r="L1099" s="20" t="str">
        <f>IF(B1099="","",70*'DDF Original'!$Q$4)</f>
        <v/>
      </c>
      <c r="M1099" s="20" t="str">
        <f t="shared" si="125"/>
        <v/>
      </c>
      <c r="N1099" s="20" t="str">
        <f>IF(AND(OR(B1099="",J1099&gt;G1099,M1099&gt;G1099),'DDF Original'!L1099&lt;&gt; "MI"),G1099,IF(M1099&gt;J1099,M1099,J1099))</f>
        <v/>
      </c>
    </row>
    <row r="1100" spans="2:14" x14ac:dyDescent="0.2">
      <c r="B1100" s="19" t="str">
        <f>IF('DDF Original'!B1100="","",'DDF Original'!B1100)</f>
        <v/>
      </c>
      <c r="C1100" s="19" t="e">
        <f t="shared" si="119"/>
        <v>#VALUE!</v>
      </c>
      <c r="D1100" s="20" t="str">
        <f>IF('DDF Original'!C1100="","",'DDF Original'!C1100)</f>
        <v/>
      </c>
      <c r="E1100" s="24" t="str">
        <f>IF('DDF Original'!B1100="","",IF(TRIM('DDF Original'!I1100)="",0,'DDF Original'!I1100))</f>
        <v/>
      </c>
      <c r="F1100" s="20" t="str">
        <f t="shared" si="120"/>
        <v/>
      </c>
      <c r="G1100" s="37" t="str">
        <f>IF('DDF Original'!B1100="","",IF(TRIM('DDF Original'!P1100)="",0,'DDF Original'!P1100))</f>
        <v/>
      </c>
      <c r="H1100" s="20" t="str">
        <f t="shared" si="121"/>
        <v/>
      </c>
      <c r="I1100" s="25" t="str">
        <f t="shared" si="122"/>
        <v/>
      </c>
      <c r="J1100" s="20" t="str">
        <f t="shared" si="123"/>
        <v/>
      </c>
      <c r="K1100" s="20" t="str">
        <f t="shared" si="124"/>
        <v/>
      </c>
      <c r="L1100" s="20" t="str">
        <f>IF(B1100="","",70*'DDF Original'!$Q$4)</f>
        <v/>
      </c>
      <c r="M1100" s="20" t="str">
        <f t="shared" si="125"/>
        <v/>
      </c>
      <c r="N1100" s="20" t="str">
        <f>IF(AND(OR(B1100="",J1100&gt;G1100,M1100&gt;G1100),'DDF Original'!L1100&lt;&gt; "MI"),G1100,IF(M1100&gt;J1100,M1100,J1100))</f>
        <v/>
      </c>
    </row>
    <row r="1101" spans="2:14" x14ac:dyDescent="0.2">
      <c r="B1101" s="19" t="str">
        <f>IF('DDF Original'!B1101="","",'DDF Original'!B1101)</f>
        <v/>
      </c>
      <c r="C1101" s="19" t="e">
        <f t="shared" si="119"/>
        <v>#VALUE!</v>
      </c>
      <c r="D1101" s="20" t="str">
        <f>IF('DDF Original'!C1101="","",'DDF Original'!C1101)</f>
        <v/>
      </c>
      <c r="E1101" s="24" t="str">
        <f>IF('DDF Original'!B1101="","",IF(TRIM('DDF Original'!I1101)="",0,'DDF Original'!I1101))</f>
        <v/>
      </c>
      <c r="F1101" s="20" t="str">
        <f t="shared" si="120"/>
        <v/>
      </c>
      <c r="G1101" s="37" t="str">
        <f>IF('DDF Original'!B1101="","",IF(TRIM('DDF Original'!P1101)="",0,'DDF Original'!P1101))</f>
        <v/>
      </c>
      <c r="H1101" s="20" t="str">
        <f t="shared" si="121"/>
        <v/>
      </c>
      <c r="I1101" s="25" t="str">
        <f t="shared" si="122"/>
        <v/>
      </c>
      <c r="J1101" s="20" t="str">
        <f t="shared" si="123"/>
        <v/>
      </c>
      <c r="K1101" s="20" t="str">
        <f t="shared" si="124"/>
        <v/>
      </c>
      <c r="L1101" s="20" t="str">
        <f>IF(B1101="","",70*'DDF Original'!$Q$4)</f>
        <v/>
      </c>
      <c r="M1101" s="20" t="str">
        <f t="shared" si="125"/>
        <v/>
      </c>
      <c r="N1101" s="20" t="str">
        <f>IF(AND(OR(B1101="",J1101&gt;G1101,M1101&gt;G1101),'DDF Original'!L1101&lt;&gt; "MI"),G1101,IF(M1101&gt;J1101,M1101,J1101))</f>
        <v/>
      </c>
    </row>
    <row r="1102" spans="2:14" x14ac:dyDescent="0.2">
      <c r="B1102" s="19" t="str">
        <f>IF('DDF Original'!B1102="","",'DDF Original'!B1102)</f>
        <v/>
      </c>
      <c r="C1102" s="19" t="e">
        <f t="shared" si="119"/>
        <v>#VALUE!</v>
      </c>
      <c r="D1102" s="20" t="str">
        <f>IF('DDF Original'!C1102="","",'DDF Original'!C1102)</f>
        <v/>
      </c>
      <c r="E1102" s="24" t="str">
        <f>IF('DDF Original'!B1102="","",IF(TRIM('DDF Original'!I1102)="",0,'DDF Original'!I1102))</f>
        <v/>
      </c>
      <c r="F1102" s="20" t="str">
        <f t="shared" si="120"/>
        <v/>
      </c>
      <c r="G1102" s="37" t="str">
        <f>IF('DDF Original'!B1102="","",IF(TRIM('DDF Original'!P1102)="",0,'DDF Original'!P1102))</f>
        <v/>
      </c>
      <c r="H1102" s="20" t="str">
        <f t="shared" si="121"/>
        <v/>
      </c>
      <c r="I1102" s="25" t="str">
        <f t="shared" si="122"/>
        <v/>
      </c>
      <c r="J1102" s="20" t="str">
        <f t="shared" si="123"/>
        <v/>
      </c>
      <c r="K1102" s="20" t="str">
        <f t="shared" si="124"/>
        <v/>
      </c>
      <c r="L1102" s="20" t="str">
        <f>IF(B1102="","",70*'DDF Original'!$Q$4)</f>
        <v/>
      </c>
      <c r="M1102" s="20" t="str">
        <f t="shared" si="125"/>
        <v/>
      </c>
      <c r="N1102" s="20" t="str">
        <f>IF(AND(OR(B1102="",J1102&gt;G1102,M1102&gt;G1102),'DDF Original'!L1102&lt;&gt; "MI"),G1102,IF(M1102&gt;J1102,M1102,J1102))</f>
        <v/>
      </c>
    </row>
    <row r="1103" spans="2:14" x14ac:dyDescent="0.2">
      <c r="B1103" s="19" t="str">
        <f>IF('DDF Original'!B1103="","",'DDF Original'!B1103)</f>
        <v/>
      </c>
      <c r="C1103" s="19" t="e">
        <f t="shared" si="119"/>
        <v>#VALUE!</v>
      </c>
      <c r="D1103" s="20" t="str">
        <f>IF('DDF Original'!C1103="","",'DDF Original'!C1103)</f>
        <v/>
      </c>
      <c r="E1103" s="24" t="str">
        <f>IF('DDF Original'!B1103="","",IF(TRIM('DDF Original'!I1103)="",0,'DDF Original'!I1103))</f>
        <v/>
      </c>
      <c r="F1103" s="20" t="str">
        <f t="shared" si="120"/>
        <v/>
      </c>
      <c r="G1103" s="37" t="str">
        <f>IF('DDF Original'!B1103="","",IF(TRIM('DDF Original'!P1103)="",0,'DDF Original'!P1103))</f>
        <v/>
      </c>
      <c r="H1103" s="20" t="str">
        <f t="shared" si="121"/>
        <v/>
      </c>
      <c r="I1103" s="25" t="str">
        <f t="shared" si="122"/>
        <v/>
      </c>
      <c r="J1103" s="20" t="str">
        <f t="shared" si="123"/>
        <v/>
      </c>
      <c r="K1103" s="20" t="str">
        <f t="shared" si="124"/>
        <v/>
      </c>
      <c r="L1103" s="20" t="str">
        <f>IF(B1103="","",70*'DDF Original'!$Q$4)</f>
        <v/>
      </c>
      <c r="M1103" s="20" t="str">
        <f t="shared" si="125"/>
        <v/>
      </c>
      <c r="N1103" s="20" t="str">
        <f>IF(AND(OR(B1103="",J1103&gt;G1103,M1103&gt;G1103),'DDF Original'!L1103&lt;&gt; "MI"),G1103,IF(M1103&gt;J1103,M1103,J1103))</f>
        <v/>
      </c>
    </row>
    <row r="1104" spans="2:14" x14ac:dyDescent="0.2">
      <c r="B1104" s="19" t="str">
        <f>IF('DDF Original'!B1104="","",'DDF Original'!B1104)</f>
        <v/>
      </c>
      <c r="C1104" s="19" t="e">
        <f t="shared" si="119"/>
        <v>#VALUE!</v>
      </c>
      <c r="D1104" s="20" t="str">
        <f>IF('DDF Original'!C1104="","",'DDF Original'!C1104)</f>
        <v/>
      </c>
      <c r="E1104" s="24" t="str">
        <f>IF('DDF Original'!B1104="","",IF(TRIM('DDF Original'!I1104)="",0,'DDF Original'!I1104))</f>
        <v/>
      </c>
      <c r="F1104" s="20" t="str">
        <f t="shared" si="120"/>
        <v/>
      </c>
      <c r="G1104" s="37" t="str">
        <f>IF('DDF Original'!B1104="","",IF(TRIM('DDF Original'!P1104)="",0,'DDF Original'!P1104))</f>
        <v/>
      </c>
      <c r="H1104" s="20" t="str">
        <f t="shared" si="121"/>
        <v/>
      </c>
      <c r="I1104" s="25" t="str">
        <f t="shared" si="122"/>
        <v/>
      </c>
      <c r="J1104" s="20" t="str">
        <f t="shared" si="123"/>
        <v/>
      </c>
      <c r="K1104" s="20" t="str">
        <f t="shared" si="124"/>
        <v/>
      </c>
      <c r="L1104" s="20" t="str">
        <f>IF(B1104="","",70*'DDF Original'!$Q$4)</f>
        <v/>
      </c>
      <c r="M1104" s="20" t="str">
        <f t="shared" si="125"/>
        <v/>
      </c>
      <c r="N1104" s="20" t="str">
        <f>IF(AND(OR(B1104="",J1104&gt;G1104,M1104&gt;G1104),'DDF Original'!L1104&lt;&gt; "MI"),G1104,IF(M1104&gt;J1104,M1104,J1104))</f>
        <v/>
      </c>
    </row>
    <row r="1105" spans="2:14" x14ac:dyDescent="0.2">
      <c r="B1105" s="19" t="str">
        <f>IF('DDF Original'!B1105="","",'DDF Original'!B1105)</f>
        <v/>
      </c>
      <c r="C1105" s="19" t="e">
        <f t="shared" si="119"/>
        <v>#VALUE!</v>
      </c>
      <c r="D1105" s="20" t="str">
        <f>IF('DDF Original'!C1105="","",'DDF Original'!C1105)</f>
        <v/>
      </c>
      <c r="E1105" s="24" t="str">
        <f>IF('DDF Original'!B1105="","",IF(TRIM('DDF Original'!I1105)="",0,'DDF Original'!I1105))</f>
        <v/>
      </c>
      <c r="F1105" s="20" t="str">
        <f t="shared" si="120"/>
        <v/>
      </c>
      <c r="G1105" s="37" t="str">
        <f>IF('DDF Original'!B1105="","",IF(TRIM('DDF Original'!P1105)="",0,'DDF Original'!P1105))</f>
        <v/>
      </c>
      <c r="H1105" s="20" t="str">
        <f t="shared" si="121"/>
        <v/>
      </c>
      <c r="I1105" s="25" t="str">
        <f t="shared" si="122"/>
        <v/>
      </c>
      <c r="J1105" s="20" t="str">
        <f t="shared" si="123"/>
        <v/>
      </c>
      <c r="K1105" s="20" t="str">
        <f t="shared" si="124"/>
        <v/>
      </c>
      <c r="L1105" s="20" t="str">
        <f>IF(B1105="","",70*'DDF Original'!$Q$4)</f>
        <v/>
      </c>
      <c r="M1105" s="20" t="str">
        <f t="shared" si="125"/>
        <v/>
      </c>
      <c r="N1105" s="20" t="str">
        <f>IF(AND(OR(B1105="",J1105&gt;G1105,M1105&gt;G1105),'DDF Original'!L1105&lt;&gt; "MI"),G1105,IF(M1105&gt;J1105,M1105,J1105))</f>
        <v/>
      </c>
    </row>
    <row r="1106" spans="2:14" x14ac:dyDescent="0.2">
      <c r="B1106" s="19" t="str">
        <f>IF('DDF Original'!B1106="","",'DDF Original'!B1106)</f>
        <v/>
      </c>
      <c r="C1106" s="19" t="e">
        <f t="shared" si="119"/>
        <v>#VALUE!</v>
      </c>
      <c r="D1106" s="20" t="str">
        <f>IF('DDF Original'!C1106="","",'DDF Original'!C1106)</f>
        <v/>
      </c>
      <c r="E1106" s="24" t="str">
        <f>IF('DDF Original'!B1106="","",IF(TRIM('DDF Original'!I1106)="",0,'DDF Original'!I1106))</f>
        <v/>
      </c>
      <c r="F1106" s="20" t="str">
        <f t="shared" si="120"/>
        <v/>
      </c>
      <c r="G1106" s="37" t="str">
        <f>IF('DDF Original'!B1106="","",IF(TRIM('DDF Original'!P1106)="",0,'DDF Original'!P1106))</f>
        <v/>
      </c>
      <c r="H1106" s="20" t="str">
        <f t="shared" si="121"/>
        <v/>
      </c>
      <c r="I1106" s="25" t="str">
        <f t="shared" si="122"/>
        <v/>
      </c>
      <c r="J1106" s="20" t="str">
        <f t="shared" si="123"/>
        <v/>
      </c>
      <c r="K1106" s="20" t="str">
        <f t="shared" si="124"/>
        <v/>
      </c>
      <c r="L1106" s="20" t="str">
        <f>IF(B1106="","",70*'DDF Original'!$Q$4)</f>
        <v/>
      </c>
      <c r="M1106" s="20" t="str">
        <f t="shared" si="125"/>
        <v/>
      </c>
      <c r="N1106" s="20" t="str">
        <f>IF(AND(OR(B1106="",J1106&gt;G1106,M1106&gt;G1106),'DDF Original'!L1106&lt;&gt; "MI"),G1106,IF(M1106&gt;J1106,M1106,J1106))</f>
        <v/>
      </c>
    </row>
    <row r="1107" spans="2:14" x14ac:dyDescent="0.2">
      <c r="B1107" s="19" t="str">
        <f>IF('DDF Original'!B1107="","",'DDF Original'!B1107)</f>
        <v/>
      </c>
      <c r="C1107" s="19" t="e">
        <f t="shared" si="119"/>
        <v>#VALUE!</v>
      </c>
      <c r="D1107" s="20" t="str">
        <f>IF('DDF Original'!C1107="","",'DDF Original'!C1107)</f>
        <v/>
      </c>
      <c r="E1107" s="24" t="str">
        <f>IF('DDF Original'!B1107="","",IF(TRIM('DDF Original'!I1107)="",0,'DDF Original'!I1107))</f>
        <v/>
      </c>
      <c r="F1107" s="20" t="str">
        <f t="shared" si="120"/>
        <v/>
      </c>
      <c r="G1107" s="37" t="str">
        <f>IF('DDF Original'!B1107="","",IF(TRIM('DDF Original'!P1107)="",0,'DDF Original'!P1107))</f>
        <v/>
      </c>
      <c r="H1107" s="20" t="str">
        <f t="shared" si="121"/>
        <v/>
      </c>
      <c r="I1107" s="25" t="str">
        <f t="shared" si="122"/>
        <v/>
      </c>
      <c r="J1107" s="20" t="str">
        <f t="shared" si="123"/>
        <v/>
      </c>
      <c r="K1107" s="20" t="str">
        <f t="shared" si="124"/>
        <v/>
      </c>
      <c r="L1107" s="20" t="str">
        <f>IF(B1107="","",70*'DDF Original'!$Q$4)</f>
        <v/>
      </c>
      <c r="M1107" s="20" t="str">
        <f t="shared" si="125"/>
        <v/>
      </c>
      <c r="N1107" s="20" t="str">
        <f>IF(AND(OR(B1107="",J1107&gt;G1107,M1107&gt;G1107),'DDF Original'!L1107&lt;&gt; "MI"),G1107,IF(M1107&gt;J1107,M1107,J1107))</f>
        <v/>
      </c>
    </row>
    <row r="1108" spans="2:14" x14ac:dyDescent="0.2">
      <c r="B1108" s="19" t="str">
        <f>IF('DDF Original'!B1108="","",'DDF Original'!B1108)</f>
        <v/>
      </c>
      <c r="C1108" s="19" t="e">
        <f t="shared" si="119"/>
        <v>#VALUE!</v>
      </c>
      <c r="D1108" s="20" t="str">
        <f>IF('DDF Original'!C1108="","",'DDF Original'!C1108)</f>
        <v/>
      </c>
      <c r="E1108" s="24" t="str">
        <f>IF('DDF Original'!B1108="","",IF(TRIM('DDF Original'!I1108)="",0,'DDF Original'!I1108))</f>
        <v/>
      </c>
      <c r="F1108" s="20" t="str">
        <f t="shared" si="120"/>
        <v/>
      </c>
      <c r="G1108" s="37" t="str">
        <f>IF('DDF Original'!B1108="","",IF(TRIM('DDF Original'!P1108)="",0,'DDF Original'!P1108))</f>
        <v/>
      </c>
      <c r="H1108" s="20" t="str">
        <f t="shared" si="121"/>
        <v/>
      </c>
      <c r="I1108" s="25" t="str">
        <f t="shared" si="122"/>
        <v/>
      </c>
      <c r="J1108" s="20" t="str">
        <f t="shared" si="123"/>
        <v/>
      </c>
      <c r="K1108" s="20" t="str">
        <f t="shared" si="124"/>
        <v/>
      </c>
      <c r="L1108" s="20" t="str">
        <f>IF(B1108="","",70*'DDF Original'!$Q$4)</f>
        <v/>
      </c>
      <c r="M1108" s="20" t="str">
        <f t="shared" si="125"/>
        <v/>
      </c>
      <c r="N1108" s="20" t="str">
        <f>IF(AND(OR(B1108="",J1108&gt;G1108,M1108&gt;G1108),'DDF Original'!L1108&lt;&gt; "MI"),G1108,IF(M1108&gt;J1108,M1108,J1108))</f>
        <v/>
      </c>
    </row>
    <row r="1109" spans="2:14" x14ac:dyDescent="0.2">
      <c r="B1109" s="19" t="str">
        <f>IF('DDF Original'!B1109="","",'DDF Original'!B1109)</f>
        <v/>
      </c>
      <c r="C1109" s="19" t="e">
        <f t="shared" si="119"/>
        <v>#VALUE!</v>
      </c>
      <c r="D1109" s="20" t="str">
        <f>IF('DDF Original'!C1109="","",'DDF Original'!C1109)</f>
        <v/>
      </c>
      <c r="E1109" s="24" t="str">
        <f>IF('DDF Original'!B1109="","",IF(TRIM('DDF Original'!I1109)="",0,'DDF Original'!I1109))</f>
        <v/>
      </c>
      <c r="F1109" s="20" t="str">
        <f t="shared" si="120"/>
        <v/>
      </c>
      <c r="G1109" s="37" t="str">
        <f>IF('DDF Original'!B1109="","",IF(TRIM('DDF Original'!P1109)="",0,'DDF Original'!P1109))</f>
        <v/>
      </c>
      <c r="H1109" s="20" t="str">
        <f t="shared" si="121"/>
        <v/>
      </c>
      <c r="I1109" s="25" t="str">
        <f t="shared" si="122"/>
        <v/>
      </c>
      <c r="J1109" s="20" t="str">
        <f t="shared" si="123"/>
        <v/>
      </c>
      <c r="K1109" s="20" t="str">
        <f t="shared" si="124"/>
        <v/>
      </c>
      <c r="L1109" s="20" t="str">
        <f>IF(B1109="","",70*'DDF Original'!$Q$4)</f>
        <v/>
      </c>
      <c r="M1109" s="20" t="str">
        <f t="shared" si="125"/>
        <v/>
      </c>
      <c r="N1109" s="20" t="str">
        <f>IF(AND(OR(B1109="",J1109&gt;G1109,M1109&gt;G1109),'DDF Original'!L1109&lt;&gt; "MI"),G1109,IF(M1109&gt;J1109,M1109,J1109))</f>
        <v/>
      </c>
    </row>
    <row r="1110" spans="2:14" x14ac:dyDescent="0.2">
      <c r="B1110" s="19" t="str">
        <f>IF('DDF Original'!B1110="","",'DDF Original'!B1110)</f>
        <v/>
      </c>
      <c r="C1110" s="19" t="e">
        <f t="shared" si="119"/>
        <v>#VALUE!</v>
      </c>
      <c r="D1110" s="20" t="str">
        <f>IF('DDF Original'!C1110="","",'DDF Original'!C1110)</f>
        <v/>
      </c>
      <c r="E1110" s="24" t="str">
        <f>IF('DDF Original'!B1110="","",IF(TRIM('DDF Original'!I1110)="",0,'DDF Original'!I1110))</f>
        <v/>
      </c>
      <c r="F1110" s="20" t="str">
        <f t="shared" si="120"/>
        <v/>
      </c>
      <c r="G1110" s="37" t="str">
        <f>IF('DDF Original'!B1110="","",IF(TRIM('DDF Original'!P1110)="",0,'DDF Original'!P1110))</f>
        <v/>
      </c>
      <c r="H1110" s="20" t="str">
        <f t="shared" si="121"/>
        <v/>
      </c>
      <c r="I1110" s="25" t="str">
        <f t="shared" si="122"/>
        <v/>
      </c>
      <c r="J1110" s="20" t="str">
        <f t="shared" si="123"/>
        <v/>
      </c>
      <c r="K1110" s="20" t="str">
        <f t="shared" si="124"/>
        <v/>
      </c>
      <c r="L1110" s="20" t="str">
        <f>IF(B1110="","",70*'DDF Original'!$Q$4)</f>
        <v/>
      </c>
      <c r="M1110" s="20" t="str">
        <f t="shared" si="125"/>
        <v/>
      </c>
      <c r="N1110" s="20" t="str">
        <f>IF(AND(OR(B1110="",J1110&gt;G1110,M1110&gt;G1110),'DDF Original'!L1110&lt;&gt; "MI"),G1110,IF(M1110&gt;J1110,M1110,J1110))</f>
        <v/>
      </c>
    </row>
    <row r="1111" spans="2:14" x14ac:dyDescent="0.2">
      <c r="B1111" s="19" t="str">
        <f>IF('DDF Original'!B1111="","",'DDF Original'!B1111)</f>
        <v/>
      </c>
      <c r="C1111" s="19" t="e">
        <f t="shared" si="119"/>
        <v>#VALUE!</v>
      </c>
      <c r="D1111" s="20" t="str">
        <f>IF('DDF Original'!C1111="","",'DDF Original'!C1111)</f>
        <v/>
      </c>
      <c r="E1111" s="24" t="str">
        <f>IF('DDF Original'!B1111="","",IF(TRIM('DDF Original'!I1111)="",0,'DDF Original'!I1111))</f>
        <v/>
      </c>
      <c r="F1111" s="20" t="str">
        <f t="shared" si="120"/>
        <v/>
      </c>
      <c r="G1111" s="37" t="str">
        <f>IF('DDF Original'!B1111="","",IF(TRIM('DDF Original'!P1111)="",0,'DDF Original'!P1111))</f>
        <v/>
      </c>
      <c r="H1111" s="20" t="str">
        <f t="shared" si="121"/>
        <v/>
      </c>
      <c r="I1111" s="25" t="str">
        <f t="shared" si="122"/>
        <v/>
      </c>
      <c r="J1111" s="20" t="str">
        <f t="shared" si="123"/>
        <v/>
      </c>
      <c r="K1111" s="20" t="str">
        <f t="shared" si="124"/>
        <v/>
      </c>
      <c r="L1111" s="20" t="str">
        <f>IF(B1111="","",70*'DDF Original'!$Q$4)</f>
        <v/>
      </c>
      <c r="M1111" s="20" t="str">
        <f t="shared" si="125"/>
        <v/>
      </c>
      <c r="N1111" s="20" t="str">
        <f>IF(AND(OR(B1111="",J1111&gt;G1111,M1111&gt;G1111),'DDF Original'!L1111&lt;&gt; "MI"),G1111,IF(M1111&gt;J1111,M1111,J1111))</f>
        <v/>
      </c>
    </row>
    <row r="1112" spans="2:14" x14ac:dyDescent="0.2">
      <c r="B1112" s="19" t="str">
        <f>IF('DDF Original'!B1112="","",'DDF Original'!B1112)</f>
        <v/>
      </c>
      <c r="C1112" s="19" t="e">
        <f t="shared" si="119"/>
        <v>#VALUE!</v>
      </c>
      <c r="D1112" s="20" t="str">
        <f>IF('DDF Original'!C1112="","",'DDF Original'!C1112)</f>
        <v/>
      </c>
      <c r="E1112" s="24" t="str">
        <f>IF('DDF Original'!B1112="","",IF(TRIM('DDF Original'!I1112)="",0,'DDF Original'!I1112))</f>
        <v/>
      </c>
      <c r="F1112" s="20" t="str">
        <f t="shared" si="120"/>
        <v/>
      </c>
      <c r="G1112" s="37" t="str">
        <f>IF('DDF Original'!B1112="","",IF(TRIM('DDF Original'!P1112)="",0,'DDF Original'!P1112))</f>
        <v/>
      </c>
      <c r="H1112" s="20" t="str">
        <f t="shared" si="121"/>
        <v/>
      </c>
      <c r="I1112" s="25" t="str">
        <f t="shared" si="122"/>
        <v/>
      </c>
      <c r="J1112" s="20" t="str">
        <f t="shared" si="123"/>
        <v/>
      </c>
      <c r="K1112" s="20" t="str">
        <f t="shared" si="124"/>
        <v/>
      </c>
      <c r="L1112" s="20" t="str">
        <f>IF(B1112="","",70*'DDF Original'!$Q$4)</f>
        <v/>
      </c>
      <c r="M1112" s="20" t="str">
        <f t="shared" si="125"/>
        <v/>
      </c>
      <c r="N1112" s="20" t="str">
        <f>IF(AND(OR(B1112="",J1112&gt;G1112,M1112&gt;G1112),'DDF Original'!L1112&lt;&gt; "MI"),G1112,IF(M1112&gt;J1112,M1112,J1112))</f>
        <v/>
      </c>
    </row>
    <row r="1113" spans="2:14" x14ac:dyDescent="0.2">
      <c r="B1113" s="19" t="str">
        <f>IF('DDF Original'!B1113="","",'DDF Original'!B1113)</f>
        <v/>
      </c>
      <c r="C1113" s="19" t="e">
        <f t="shared" si="119"/>
        <v>#VALUE!</v>
      </c>
      <c r="D1113" s="20" t="str">
        <f>IF('DDF Original'!C1113="","",'DDF Original'!C1113)</f>
        <v/>
      </c>
      <c r="E1113" s="24" t="str">
        <f>IF('DDF Original'!B1113="","",IF(TRIM('DDF Original'!I1113)="",0,'DDF Original'!I1113))</f>
        <v/>
      </c>
      <c r="F1113" s="20" t="str">
        <f t="shared" si="120"/>
        <v/>
      </c>
      <c r="G1113" s="37" t="str">
        <f>IF('DDF Original'!B1113="","",IF(TRIM('DDF Original'!P1113)="",0,'DDF Original'!P1113))</f>
        <v/>
      </c>
      <c r="H1113" s="20" t="str">
        <f t="shared" si="121"/>
        <v/>
      </c>
      <c r="I1113" s="25" t="str">
        <f t="shared" si="122"/>
        <v/>
      </c>
      <c r="J1113" s="20" t="str">
        <f t="shared" si="123"/>
        <v/>
      </c>
      <c r="K1113" s="20" t="str">
        <f t="shared" si="124"/>
        <v/>
      </c>
      <c r="L1113" s="20" t="str">
        <f>IF(B1113="","",70*'DDF Original'!$Q$4)</f>
        <v/>
      </c>
      <c r="M1113" s="20" t="str">
        <f t="shared" si="125"/>
        <v/>
      </c>
      <c r="N1113" s="20" t="str">
        <f>IF(AND(OR(B1113="",J1113&gt;G1113,M1113&gt;G1113),'DDF Original'!L1113&lt;&gt; "MI"),G1113,IF(M1113&gt;J1113,M1113,J1113))</f>
        <v/>
      </c>
    </row>
    <row r="1114" spans="2:14" x14ac:dyDescent="0.2">
      <c r="B1114" s="19" t="str">
        <f>IF('DDF Original'!B1114="","",'DDF Original'!B1114)</f>
        <v/>
      </c>
      <c r="C1114" s="19" t="e">
        <f t="shared" si="119"/>
        <v>#VALUE!</v>
      </c>
      <c r="D1114" s="20" t="str">
        <f>IF('DDF Original'!C1114="","",'DDF Original'!C1114)</f>
        <v/>
      </c>
      <c r="E1114" s="24" t="str">
        <f>IF('DDF Original'!B1114="","",IF(TRIM('DDF Original'!I1114)="",0,'DDF Original'!I1114))</f>
        <v/>
      </c>
      <c r="F1114" s="20" t="str">
        <f t="shared" si="120"/>
        <v/>
      </c>
      <c r="G1114" s="37" t="str">
        <f>IF('DDF Original'!B1114="","",IF(TRIM('DDF Original'!P1114)="",0,'DDF Original'!P1114))</f>
        <v/>
      </c>
      <c r="H1114" s="20" t="str">
        <f t="shared" si="121"/>
        <v/>
      </c>
      <c r="I1114" s="25" t="str">
        <f t="shared" si="122"/>
        <v/>
      </c>
      <c r="J1114" s="20" t="str">
        <f t="shared" si="123"/>
        <v/>
      </c>
      <c r="K1114" s="20" t="str">
        <f t="shared" si="124"/>
        <v/>
      </c>
      <c r="L1114" s="20" t="str">
        <f>IF(B1114="","",70*'DDF Original'!$Q$4)</f>
        <v/>
      </c>
      <c r="M1114" s="20" t="str">
        <f t="shared" si="125"/>
        <v/>
      </c>
      <c r="N1114" s="20" t="str">
        <f>IF(AND(OR(B1114="",J1114&gt;G1114,M1114&gt;G1114),'DDF Original'!L1114&lt;&gt; "MI"),G1114,IF(M1114&gt;J1114,M1114,J1114))</f>
        <v/>
      </c>
    </row>
    <row r="1115" spans="2:14" x14ac:dyDescent="0.2">
      <c r="B1115" s="19" t="str">
        <f>IF('DDF Original'!B1115="","",'DDF Original'!B1115)</f>
        <v/>
      </c>
      <c r="C1115" s="19" t="e">
        <f t="shared" si="119"/>
        <v>#VALUE!</v>
      </c>
      <c r="D1115" s="20" t="str">
        <f>IF('DDF Original'!C1115="","",'DDF Original'!C1115)</f>
        <v/>
      </c>
      <c r="E1115" s="24" t="str">
        <f>IF('DDF Original'!B1115="","",IF(TRIM('DDF Original'!I1115)="",0,'DDF Original'!I1115))</f>
        <v/>
      </c>
      <c r="F1115" s="20" t="str">
        <f t="shared" si="120"/>
        <v/>
      </c>
      <c r="G1115" s="37" t="str">
        <f>IF('DDF Original'!B1115="","",IF(TRIM('DDF Original'!P1115)="",0,'DDF Original'!P1115))</f>
        <v/>
      </c>
      <c r="H1115" s="20" t="str">
        <f t="shared" si="121"/>
        <v/>
      </c>
      <c r="I1115" s="25" t="str">
        <f t="shared" si="122"/>
        <v/>
      </c>
      <c r="J1115" s="20" t="str">
        <f t="shared" si="123"/>
        <v/>
      </c>
      <c r="K1115" s="20" t="str">
        <f t="shared" si="124"/>
        <v/>
      </c>
      <c r="L1115" s="20" t="str">
        <f>IF(B1115="","",70*'DDF Original'!$Q$4)</f>
        <v/>
      </c>
      <c r="M1115" s="20" t="str">
        <f t="shared" si="125"/>
        <v/>
      </c>
      <c r="N1115" s="20" t="str">
        <f>IF(AND(OR(B1115="",J1115&gt;G1115,M1115&gt;G1115),'DDF Original'!L1115&lt;&gt; "MI"),G1115,IF(M1115&gt;J1115,M1115,J1115))</f>
        <v/>
      </c>
    </row>
    <row r="1116" spans="2:14" x14ac:dyDescent="0.2">
      <c r="B1116" s="19" t="str">
        <f>IF('DDF Original'!B1116="","",'DDF Original'!B1116)</f>
        <v/>
      </c>
      <c r="C1116" s="19" t="e">
        <f t="shared" si="119"/>
        <v>#VALUE!</v>
      </c>
      <c r="D1116" s="20" t="str">
        <f>IF('DDF Original'!C1116="","",'DDF Original'!C1116)</f>
        <v/>
      </c>
      <c r="E1116" s="24" t="str">
        <f>IF('DDF Original'!B1116="","",IF(TRIM('DDF Original'!I1116)="",0,'DDF Original'!I1116))</f>
        <v/>
      </c>
      <c r="F1116" s="20" t="str">
        <f t="shared" si="120"/>
        <v/>
      </c>
      <c r="G1116" s="37" t="str">
        <f>IF('DDF Original'!B1116="","",IF(TRIM('DDF Original'!P1116)="",0,'DDF Original'!P1116))</f>
        <v/>
      </c>
      <c r="H1116" s="20" t="str">
        <f t="shared" si="121"/>
        <v/>
      </c>
      <c r="I1116" s="25" t="str">
        <f t="shared" si="122"/>
        <v/>
      </c>
      <c r="J1116" s="20" t="str">
        <f t="shared" si="123"/>
        <v/>
      </c>
      <c r="K1116" s="20" t="str">
        <f t="shared" si="124"/>
        <v/>
      </c>
      <c r="L1116" s="20" t="str">
        <f>IF(B1116="","",70*'DDF Original'!$Q$4)</f>
        <v/>
      </c>
      <c r="M1116" s="20" t="str">
        <f t="shared" si="125"/>
        <v/>
      </c>
      <c r="N1116" s="20" t="str">
        <f>IF(AND(OR(B1116="",J1116&gt;G1116,M1116&gt;G1116),'DDF Original'!L1116&lt;&gt; "MI"),G1116,IF(M1116&gt;J1116,M1116,J1116))</f>
        <v/>
      </c>
    </row>
    <row r="1117" spans="2:14" x14ac:dyDescent="0.2">
      <c r="B1117" s="19" t="str">
        <f>IF('DDF Original'!B1117="","",'DDF Original'!B1117)</f>
        <v/>
      </c>
      <c r="C1117" s="19" t="e">
        <f t="shared" si="119"/>
        <v>#VALUE!</v>
      </c>
      <c r="D1117" s="20" t="str">
        <f>IF('DDF Original'!C1117="","",'DDF Original'!C1117)</f>
        <v/>
      </c>
      <c r="E1117" s="24" t="str">
        <f>IF('DDF Original'!B1117="","",IF(TRIM('DDF Original'!I1117)="",0,'DDF Original'!I1117))</f>
        <v/>
      </c>
      <c r="F1117" s="20" t="str">
        <f t="shared" si="120"/>
        <v/>
      </c>
      <c r="G1117" s="37" t="str">
        <f>IF('DDF Original'!B1117="","",IF(TRIM('DDF Original'!P1117)="",0,'DDF Original'!P1117))</f>
        <v/>
      </c>
      <c r="H1117" s="20" t="str">
        <f t="shared" si="121"/>
        <v/>
      </c>
      <c r="I1117" s="25" t="str">
        <f t="shared" si="122"/>
        <v/>
      </c>
      <c r="J1117" s="20" t="str">
        <f t="shared" si="123"/>
        <v/>
      </c>
      <c r="K1117" s="20" t="str">
        <f t="shared" si="124"/>
        <v/>
      </c>
      <c r="L1117" s="20" t="str">
        <f>IF(B1117="","",70*'DDF Original'!$Q$4)</f>
        <v/>
      </c>
      <c r="M1117" s="20" t="str">
        <f t="shared" si="125"/>
        <v/>
      </c>
      <c r="N1117" s="20" t="str">
        <f>IF(AND(OR(B1117="",J1117&gt;G1117,M1117&gt;G1117),'DDF Original'!L1117&lt;&gt; "MI"),G1117,IF(M1117&gt;J1117,M1117,J1117))</f>
        <v/>
      </c>
    </row>
    <row r="1118" spans="2:14" x14ac:dyDescent="0.2">
      <c r="B1118" s="19" t="str">
        <f>IF('DDF Original'!B1118="","",'DDF Original'!B1118)</f>
        <v/>
      </c>
      <c r="C1118" s="19" t="e">
        <f t="shared" si="119"/>
        <v>#VALUE!</v>
      </c>
      <c r="D1118" s="20" t="str">
        <f>IF('DDF Original'!C1118="","",'DDF Original'!C1118)</f>
        <v/>
      </c>
      <c r="E1118" s="24" t="str">
        <f>IF('DDF Original'!B1118="","",IF(TRIM('DDF Original'!I1118)="",0,'DDF Original'!I1118))</f>
        <v/>
      </c>
      <c r="F1118" s="20" t="str">
        <f t="shared" si="120"/>
        <v/>
      </c>
      <c r="G1118" s="37" t="str">
        <f>IF('DDF Original'!B1118="","",IF(TRIM('DDF Original'!P1118)="",0,'DDF Original'!P1118))</f>
        <v/>
      </c>
      <c r="H1118" s="20" t="str">
        <f t="shared" si="121"/>
        <v/>
      </c>
      <c r="I1118" s="25" t="str">
        <f t="shared" si="122"/>
        <v/>
      </c>
      <c r="J1118" s="20" t="str">
        <f t="shared" si="123"/>
        <v/>
      </c>
      <c r="K1118" s="20" t="str">
        <f t="shared" si="124"/>
        <v/>
      </c>
      <c r="L1118" s="20" t="str">
        <f>IF(B1118="","",70*'DDF Original'!$Q$4)</f>
        <v/>
      </c>
      <c r="M1118" s="20" t="str">
        <f t="shared" si="125"/>
        <v/>
      </c>
      <c r="N1118" s="20" t="str">
        <f>IF(AND(OR(B1118="",J1118&gt;G1118,M1118&gt;G1118),'DDF Original'!L1118&lt;&gt; "MI"),G1118,IF(M1118&gt;J1118,M1118,J1118))</f>
        <v/>
      </c>
    </row>
    <row r="1119" spans="2:14" x14ac:dyDescent="0.2">
      <c r="B1119" s="19" t="str">
        <f>IF('DDF Original'!B1119="","",'DDF Original'!B1119)</f>
        <v/>
      </c>
      <c r="C1119" s="19" t="e">
        <f t="shared" si="119"/>
        <v>#VALUE!</v>
      </c>
      <c r="D1119" s="20" t="str">
        <f>IF('DDF Original'!C1119="","",'DDF Original'!C1119)</f>
        <v/>
      </c>
      <c r="E1119" s="24" t="str">
        <f>IF('DDF Original'!B1119="","",IF(TRIM('DDF Original'!I1119)="",0,'DDF Original'!I1119))</f>
        <v/>
      </c>
      <c r="F1119" s="20" t="str">
        <f t="shared" si="120"/>
        <v/>
      </c>
      <c r="G1119" s="37" t="str">
        <f>IF('DDF Original'!B1119="","",IF(TRIM('DDF Original'!P1119)="",0,'DDF Original'!P1119))</f>
        <v/>
      </c>
      <c r="H1119" s="20" t="str">
        <f t="shared" si="121"/>
        <v/>
      </c>
      <c r="I1119" s="25" t="str">
        <f t="shared" si="122"/>
        <v/>
      </c>
      <c r="J1119" s="20" t="str">
        <f t="shared" si="123"/>
        <v/>
      </c>
      <c r="K1119" s="20" t="str">
        <f t="shared" si="124"/>
        <v/>
      </c>
      <c r="L1119" s="20" t="str">
        <f>IF(B1119="","",70*'DDF Original'!$Q$4)</f>
        <v/>
      </c>
      <c r="M1119" s="20" t="str">
        <f t="shared" si="125"/>
        <v/>
      </c>
      <c r="N1119" s="20" t="str">
        <f>IF(AND(OR(B1119="",J1119&gt;G1119,M1119&gt;G1119),'DDF Original'!L1119&lt;&gt; "MI"),G1119,IF(M1119&gt;J1119,M1119,J1119))</f>
        <v/>
      </c>
    </row>
    <row r="1120" spans="2:14" x14ac:dyDescent="0.2">
      <c r="B1120" s="19" t="str">
        <f>IF('DDF Original'!B1120="","",'DDF Original'!B1120)</f>
        <v/>
      </c>
      <c r="C1120" s="19" t="e">
        <f t="shared" si="119"/>
        <v>#VALUE!</v>
      </c>
      <c r="D1120" s="20" t="str">
        <f>IF('DDF Original'!C1120="","",'DDF Original'!C1120)</f>
        <v/>
      </c>
      <c r="E1120" s="24" t="str">
        <f>IF('DDF Original'!B1120="","",IF(TRIM('DDF Original'!I1120)="",0,'DDF Original'!I1120))</f>
        <v/>
      </c>
      <c r="F1120" s="20" t="str">
        <f t="shared" si="120"/>
        <v/>
      </c>
      <c r="G1120" s="37" t="str">
        <f>IF('DDF Original'!B1120="","",IF(TRIM('DDF Original'!P1120)="",0,'DDF Original'!P1120))</f>
        <v/>
      </c>
      <c r="H1120" s="20" t="str">
        <f t="shared" si="121"/>
        <v/>
      </c>
      <c r="I1120" s="25" t="str">
        <f t="shared" si="122"/>
        <v/>
      </c>
      <c r="J1120" s="20" t="str">
        <f t="shared" si="123"/>
        <v/>
      </c>
      <c r="K1120" s="20" t="str">
        <f t="shared" si="124"/>
        <v/>
      </c>
      <c r="L1120" s="20" t="str">
        <f>IF(B1120="","",70*'DDF Original'!$Q$4)</f>
        <v/>
      </c>
      <c r="M1120" s="20" t="str">
        <f t="shared" si="125"/>
        <v/>
      </c>
      <c r="N1120" s="20" t="str">
        <f>IF(AND(OR(B1120="",J1120&gt;G1120,M1120&gt;G1120),'DDF Original'!L1120&lt;&gt; "MI"),G1120,IF(M1120&gt;J1120,M1120,J1120))</f>
        <v/>
      </c>
    </row>
    <row r="1121" spans="2:14" x14ac:dyDescent="0.2">
      <c r="B1121" s="19" t="str">
        <f>IF('DDF Original'!B1121="","",'DDF Original'!B1121)</f>
        <v/>
      </c>
      <c r="C1121" s="19" t="e">
        <f t="shared" si="119"/>
        <v>#VALUE!</v>
      </c>
      <c r="D1121" s="20" t="str">
        <f>IF('DDF Original'!C1121="","",'DDF Original'!C1121)</f>
        <v/>
      </c>
      <c r="E1121" s="24" t="str">
        <f>IF('DDF Original'!B1121="","",IF(TRIM('DDF Original'!I1121)="",0,'DDF Original'!I1121))</f>
        <v/>
      </c>
      <c r="F1121" s="20" t="str">
        <f t="shared" si="120"/>
        <v/>
      </c>
      <c r="G1121" s="37" t="str">
        <f>IF('DDF Original'!B1121="","",IF(TRIM('DDF Original'!P1121)="",0,'DDF Original'!P1121))</f>
        <v/>
      </c>
      <c r="H1121" s="20" t="str">
        <f t="shared" si="121"/>
        <v/>
      </c>
      <c r="I1121" s="25" t="str">
        <f t="shared" si="122"/>
        <v/>
      </c>
      <c r="J1121" s="20" t="str">
        <f t="shared" si="123"/>
        <v/>
      </c>
      <c r="K1121" s="20" t="str">
        <f t="shared" si="124"/>
        <v/>
      </c>
      <c r="L1121" s="20" t="str">
        <f>IF(B1121="","",70*'DDF Original'!$Q$4)</f>
        <v/>
      </c>
      <c r="M1121" s="20" t="str">
        <f t="shared" si="125"/>
        <v/>
      </c>
      <c r="N1121" s="20" t="str">
        <f>IF(AND(OR(B1121="",J1121&gt;G1121,M1121&gt;G1121),'DDF Original'!L1121&lt;&gt; "MI"),G1121,IF(M1121&gt;J1121,M1121,J1121))</f>
        <v/>
      </c>
    </row>
    <row r="1122" spans="2:14" x14ac:dyDescent="0.2">
      <c r="B1122" s="19" t="str">
        <f>IF('DDF Original'!B1122="","",'DDF Original'!B1122)</f>
        <v/>
      </c>
      <c r="C1122" s="19" t="e">
        <f t="shared" si="119"/>
        <v>#VALUE!</v>
      </c>
      <c r="D1122" s="20" t="str">
        <f>IF('DDF Original'!C1122="","",'DDF Original'!C1122)</f>
        <v/>
      </c>
      <c r="E1122" s="24" t="str">
        <f>IF('DDF Original'!B1122="","",IF(TRIM('DDF Original'!I1122)="",0,'DDF Original'!I1122))</f>
        <v/>
      </c>
      <c r="F1122" s="20" t="str">
        <f t="shared" si="120"/>
        <v/>
      </c>
      <c r="G1122" s="37" t="str">
        <f>IF('DDF Original'!B1122="","",IF(TRIM('DDF Original'!P1122)="",0,'DDF Original'!P1122))</f>
        <v/>
      </c>
      <c r="H1122" s="20" t="str">
        <f t="shared" si="121"/>
        <v/>
      </c>
      <c r="I1122" s="25" t="str">
        <f t="shared" si="122"/>
        <v/>
      </c>
      <c r="J1122" s="20" t="str">
        <f t="shared" si="123"/>
        <v/>
      </c>
      <c r="K1122" s="20" t="str">
        <f t="shared" si="124"/>
        <v/>
      </c>
      <c r="L1122" s="20" t="str">
        <f>IF(B1122="","",70*'DDF Original'!$Q$4)</f>
        <v/>
      </c>
      <c r="M1122" s="20" t="str">
        <f t="shared" si="125"/>
        <v/>
      </c>
      <c r="N1122" s="20" t="str">
        <f>IF(AND(OR(B1122="",J1122&gt;G1122,M1122&gt;G1122),'DDF Original'!L1122&lt;&gt; "MI"),G1122,IF(M1122&gt;J1122,M1122,J1122))</f>
        <v/>
      </c>
    </row>
    <row r="1123" spans="2:14" x14ac:dyDescent="0.2">
      <c r="B1123" s="19" t="str">
        <f>IF('DDF Original'!B1123="","",'DDF Original'!B1123)</f>
        <v/>
      </c>
      <c r="C1123" s="19" t="e">
        <f t="shared" si="119"/>
        <v>#VALUE!</v>
      </c>
      <c r="D1123" s="20" t="str">
        <f>IF('DDF Original'!C1123="","",'DDF Original'!C1123)</f>
        <v/>
      </c>
      <c r="E1123" s="24" t="str">
        <f>IF('DDF Original'!B1123="","",IF(TRIM('DDF Original'!I1123)="",0,'DDF Original'!I1123))</f>
        <v/>
      </c>
      <c r="F1123" s="20" t="str">
        <f t="shared" si="120"/>
        <v/>
      </c>
      <c r="G1123" s="37" t="str">
        <f>IF('DDF Original'!B1123="","",IF(TRIM('DDF Original'!P1123)="",0,'DDF Original'!P1123))</f>
        <v/>
      </c>
      <c r="H1123" s="20" t="str">
        <f t="shared" si="121"/>
        <v/>
      </c>
      <c r="I1123" s="25" t="str">
        <f t="shared" si="122"/>
        <v/>
      </c>
      <c r="J1123" s="20" t="str">
        <f t="shared" si="123"/>
        <v/>
      </c>
      <c r="K1123" s="20" t="str">
        <f t="shared" si="124"/>
        <v/>
      </c>
      <c r="L1123" s="20" t="str">
        <f>IF(B1123="","",70*'DDF Original'!$Q$4)</f>
        <v/>
      </c>
      <c r="M1123" s="20" t="str">
        <f t="shared" si="125"/>
        <v/>
      </c>
      <c r="N1123" s="20" t="str">
        <f>IF(AND(OR(B1123="",J1123&gt;G1123,M1123&gt;G1123),'DDF Original'!L1123&lt;&gt; "MI"),G1123,IF(M1123&gt;J1123,M1123,J1123))</f>
        <v/>
      </c>
    </row>
    <row r="1124" spans="2:14" x14ac:dyDescent="0.2">
      <c r="B1124" s="19" t="str">
        <f>IF('DDF Original'!B1124="","",'DDF Original'!B1124)</f>
        <v/>
      </c>
      <c r="C1124" s="19" t="e">
        <f t="shared" si="119"/>
        <v>#VALUE!</v>
      </c>
      <c r="D1124" s="20" t="str">
        <f>IF('DDF Original'!C1124="","",'DDF Original'!C1124)</f>
        <v/>
      </c>
      <c r="E1124" s="24" t="str">
        <f>IF('DDF Original'!B1124="","",IF(TRIM('DDF Original'!I1124)="",0,'DDF Original'!I1124))</f>
        <v/>
      </c>
      <c r="F1124" s="20" t="str">
        <f t="shared" si="120"/>
        <v/>
      </c>
      <c r="G1124" s="37" t="str">
        <f>IF('DDF Original'!B1124="","",IF(TRIM('DDF Original'!P1124)="",0,'DDF Original'!P1124))</f>
        <v/>
      </c>
      <c r="H1124" s="20" t="str">
        <f t="shared" si="121"/>
        <v/>
      </c>
      <c r="I1124" s="25" t="str">
        <f t="shared" si="122"/>
        <v/>
      </c>
      <c r="J1124" s="20" t="str">
        <f t="shared" si="123"/>
        <v/>
      </c>
      <c r="K1124" s="20" t="str">
        <f t="shared" si="124"/>
        <v/>
      </c>
      <c r="L1124" s="20" t="str">
        <f>IF(B1124="","",70*'DDF Original'!$Q$4)</f>
        <v/>
      </c>
      <c r="M1124" s="20" t="str">
        <f t="shared" si="125"/>
        <v/>
      </c>
      <c r="N1124" s="20" t="str">
        <f>IF(AND(OR(B1124="",J1124&gt;G1124,M1124&gt;G1124),'DDF Original'!L1124&lt;&gt; "MI"),G1124,IF(M1124&gt;J1124,M1124,J1124))</f>
        <v/>
      </c>
    </row>
    <row r="1125" spans="2:14" x14ac:dyDescent="0.2">
      <c r="B1125" s="19" t="str">
        <f>IF('DDF Original'!B1125="","",'DDF Original'!B1125)</f>
        <v/>
      </c>
      <c r="C1125" s="19" t="e">
        <f t="shared" si="119"/>
        <v>#VALUE!</v>
      </c>
      <c r="D1125" s="20" t="str">
        <f>IF('DDF Original'!C1125="","",'DDF Original'!C1125)</f>
        <v/>
      </c>
      <c r="E1125" s="24" t="str">
        <f>IF('DDF Original'!B1125="","",IF(TRIM('DDF Original'!I1125)="",0,'DDF Original'!I1125))</f>
        <v/>
      </c>
      <c r="F1125" s="20" t="str">
        <f t="shared" si="120"/>
        <v/>
      </c>
      <c r="G1125" s="37" t="str">
        <f>IF('DDF Original'!B1125="","",IF(TRIM('DDF Original'!P1125)="",0,'DDF Original'!P1125))</f>
        <v/>
      </c>
      <c r="H1125" s="20" t="str">
        <f t="shared" si="121"/>
        <v/>
      </c>
      <c r="I1125" s="25" t="str">
        <f t="shared" si="122"/>
        <v/>
      </c>
      <c r="J1125" s="20" t="str">
        <f t="shared" si="123"/>
        <v/>
      </c>
      <c r="K1125" s="20" t="str">
        <f t="shared" si="124"/>
        <v/>
      </c>
      <c r="L1125" s="20" t="str">
        <f>IF(B1125="","",70*'DDF Original'!$Q$4)</f>
        <v/>
      </c>
      <c r="M1125" s="20" t="str">
        <f t="shared" si="125"/>
        <v/>
      </c>
      <c r="N1125" s="20" t="str">
        <f>IF(AND(OR(B1125="",J1125&gt;G1125,M1125&gt;G1125),'DDF Original'!L1125&lt;&gt; "MI"),G1125,IF(M1125&gt;J1125,M1125,J1125))</f>
        <v/>
      </c>
    </row>
    <row r="1126" spans="2:14" x14ac:dyDescent="0.2">
      <c r="B1126" s="19" t="str">
        <f>IF('DDF Original'!B1126="","",'DDF Original'!B1126)</f>
        <v/>
      </c>
      <c r="C1126" s="19" t="e">
        <f t="shared" si="119"/>
        <v>#VALUE!</v>
      </c>
      <c r="D1126" s="20" t="str">
        <f>IF('DDF Original'!C1126="","",'DDF Original'!C1126)</f>
        <v/>
      </c>
      <c r="E1126" s="24" t="str">
        <f>IF('DDF Original'!B1126="","",IF(TRIM('DDF Original'!I1126)="",0,'DDF Original'!I1126))</f>
        <v/>
      </c>
      <c r="F1126" s="20" t="str">
        <f t="shared" si="120"/>
        <v/>
      </c>
      <c r="G1126" s="37" t="str">
        <f>IF('DDF Original'!B1126="","",IF(TRIM('DDF Original'!P1126)="",0,'DDF Original'!P1126))</f>
        <v/>
      </c>
      <c r="H1126" s="20" t="str">
        <f t="shared" si="121"/>
        <v/>
      </c>
      <c r="I1126" s="25" t="str">
        <f t="shared" si="122"/>
        <v/>
      </c>
      <c r="J1126" s="20" t="str">
        <f t="shared" si="123"/>
        <v/>
      </c>
      <c r="K1126" s="20" t="str">
        <f t="shared" si="124"/>
        <v/>
      </c>
      <c r="L1126" s="20" t="str">
        <f>IF(B1126="","",70*'DDF Original'!$Q$4)</f>
        <v/>
      </c>
      <c r="M1126" s="20" t="str">
        <f t="shared" si="125"/>
        <v/>
      </c>
      <c r="N1126" s="20" t="str">
        <f>IF(AND(OR(B1126="",J1126&gt;G1126,M1126&gt;G1126),'DDF Original'!L1126&lt;&gt; "MI"),G1126,IF(M1126&gt;J1126,M1126,J1126))</f>
        <v/>
      </c>
    </row>
    <row r="1127" spans="2:14" x14ac:dyDescent="0.2">
      <c r="B1127" s="19" t="str">
        <f>IF('DDF Original'!B1127="","",'DDF Original'!B1127)</f>
        <v/>
      </c>
      <c r="C1127" s="19" t="e">
        <f t="shared" si="119"/>
        <v>#VALUE!</v>
      </c>
      <c r="D1127" s="20" t="str">
        <f>IF('DDF Original'!C1127="","",'DDF Original'!C1127)</f>
        <v/>
      </c>
      <c r="E1127" s="24" t="str">
        <f>IF('DDF Original'!B1127="","",IF(TRIM('DDF Original'!I1127)="",0,'DDF Original'!I1127))</f>
        <v/>
      </c>
      <c r="F1127" s="20" t="str">
        <f t="shared" si="120"/>
        <v/>
      </c>
      <c r="G1127" s="37" t="str">
        <f>IF('DDF Original'!B1127="","",IF(TRIM('DDF Original'!P1127)="",0,'DDF Original'!P1127))</f>
        <v/>
      </c>
      <c r="H1127" s="20" t="str">
        <f t="shared" si="121"/>
        <v/>
      </c>
      <c r="I1127" s="25" t="str">
        <f t="shared" si="122"/>
        <v/>
      </c>
      <c r="J1127" s="20" t="str">
        <f t="shared" si="123"/>
        <v/>
      </c>
      <c r="K1127" s="20" t="str">
        <f t="shared" si="124"/>
        <v/>
      </c>
      <c r="L1127" s="20" t="str">
        <f>IF(B1127="","",70*'DDF Original'!$Q$4)</f>
        <v/>
      </c>
      <c r="M1127" s="20" t="str">
        <f t="shared" si="125"/>
        <v/>
      </c>
      <c r="N1127" s="20" t="str">
        <f>IF(AND(OR(B1127="",J1127&gt;G1127,M1127&gt;G1127),'DDF Original'!L1127&lt;&gt; "MI"),G1127,IF(M1127&gt;J1127,M1127,J1127))</f>
        <v/>
      </c>
    </row>
    <row r="1128" spans="2:14" x14ac:dyDescent="0.2">
      <c r="B1128" s="19" t="str">
        <f>IF('DDF Original'!B1128="","",'DDF Original'!B1128)</f>
        <v/>
      </c>
      <c r="C1128" s="19" t="e">
        <f t="shared" si="119"/>
        <v>#VALUE!</v>
      </c>
      <c r="D1128" s="20" t="str">
        <f>IF('DDF Original'!C1128="","",'DDF Original'!C1128)</f>
        <v/>
      </c>
      <c r="E1128" s="24" t="str">
        <f>IF('DDF Original'!B1128="","",IF(TRIM('DDF Original'!I1128)="",0,'DDF Original'!I1128))</f>
        <v/>
      </c>
      <c r="F1128" s="20" t="str">
        <f t="shared" si="120"/>
        <v/>
      </c>
      <c r="G1128" s="37" t="str">
        <f>IF('DDF Original'!B1128="","",IF(TRIM('DDF Original'!P1128)="",0,'DDF Original'!P1128))</f>
        <v/>
      </c>
      <c r="H1128" s="20" t="str">
        <f t="shared" si="121"/>
        <v/>
      </c>
      <c r="I1128" s="25" t="str">
        <f t="shared" si="122"/>
        <v/>
      </c>
      <c r="J1128" s="20" t="str">
        <f t="shared" si="123"/>
        <v/>
      </c>
      <c r="K1128" s="20" t="str">
        <f t="shared" si="124"/>
        <v/>
      </c>
      <c r="L1128" s="20" t="str">
        <f>IF(B1128="","",70*'DDF Original'!$Q$4)</f>
        <v/>
      </c>
      <c r="M1128" s="20" t="str">
        <f t="shared" si="125"/>
        <v/>
      </c>
      <c r="N1128" s="20" t="str">
        <f>IF(AND(OR(B1128="",J1128&gt;G1128,M1128&gt;G1128),'DDF Original'!L1128&lt;&gt; "MI"),G1128,IF(M1128&gt;J1128,M1128,J1128))</f>
        <v/>
      </c>
    </row>
    <row r="1129" spans="2:14" x14ac:dyDescent="0.2">
      <c r="B1129" s="19" t="str">
        <f>IF('DDF Original'!B1129="","",'DDF Original'!B1129)</f>
        <v/>
      </c>
      <c r="C1129" s="19" t="e">
        <f t="shared" si="119"/>
        <v>#VALUE!</v>
      </c>
      <c r="D1129" s="20" t="str">
        <f>IF('DDF Original'!C1129="","",'DDF Original'!C1129)</f>
        <v/>
      </c>
      <c r="E1129" s="24" t="str">
        <f>IF('DDF Original'!B1129="","",IF(TRIM('DDF Original'!I1129)="",0,'DDF Original'!I1129))</f>
        <v/>
      </c>
      <c r="F1129" s="20" t="str">
        <f t="shared" si="120"/>
        <v/>
      </c>
      <c r="G1129" s="37" t="str">
        <f>IF('DDF Original'!B1129="","",IF(TRIM('DDF Original'!P1129)="",0,'DDF Original'!P1129))</f>
        <v/>
      </c>
      <c r="H1129" s="20" t="str">
        <f t="shared" si="121"/>
        <v/>
      </c>
      <c r="I1129" s="25" t="str">
        <f t="shared" si="122"/>
        <v/>
      </c>
      <c r="J1129" s="20" t="str">
        <f t="shared" si="123"/>
        <v/>
      </c>
      <c r="K1129" s="20" t="str">
        <f t="shared" si="124"/>
        <v/>
      </c>
      <c r="L1129" s="20" t="str">
        <f>IF(B1129="","",70*'DDF Original'!$Q$4)</f>
        <v/>
      </c>
      <c r="M1129" s="20" t="str">
        <f t="shared" si="125"/>
        <v/>
      </c>
      <c r="N1129" s="20" t="str">
        <f>IF(AND(OR(B1129="",J1129&gt;G1129,M1129&gt;G1129),'DDF Original'!L1129&lt;&gt; "MI"),G1129,IF(M1129&gt;J1129,M1129,J1129))</f>
        <v/>
      </c>
    </row>
    <row r="1130" spans="2:14" x14ac:dyDescent="0.2">
      <c r="B1130" s="19" t="str">
        <f>IF('DDF Original'!B1130="","",'DDF Original'!B1130)</f>
        <v/>
      </c>
      <c r="C1130" s="19" t="e">
        <f t="shared" si="119"/>
        <v>#VALUE!</v>
      </c>
      <c r="D1130" s="20" t="str">
        <f>IF('DDF Original'!C1130="","",'DDF Original'!C1130)</f>
        <v/>
      </c>
      <c r="E1130" s="24" t="str">
        <f>IF('DDF Original'!B1130="","",IF(TRIM('DDF Original'!I1130)="",0,'DDF Original'!I1130))</f>
        <v/>
      </c>
      <c r="F1130" s="20" t="str">
        <f t="shared" si="120"/>
        <v/>
      </c>
      <c r="G1130" s="37" t="str">
        <f>IF('DDF Original'!B1130="","",IF(TRIM('DDF Original'!P1130)="",0,'DDF Original'!P1130))</f>
        <v/>
      </c>
      <c r="H1130" s="20" t="str">
        <f t="shared" si="121"/>
        <v/>
      </c>
      <c r="I1130" s="25" t="str">
        <f t="shared" si="122"/>
        <v/>
      </c>
      <c r="J1130" s="20" t="str">
        <f t="shared" si="123"/>
        <v/>
      </c>
      <c r="K1130" s="20" t="str">
        <f t="shared" si="124"/>
        <v/>
      </c>
      <c r="L1130" s="20" t="str">
        <f>IF(B1130="","",70*'DDF Original'!$Q$4)</f>
        <v/>
      </c>
      <c r="M1130" s="20" t="str">
        <f t="shared" si="125"/>
        <v/>
      </c>
      <c r="N1130" s="20" t="str">
        <f>IF(AND(OR(B1130="",J1130&gt;G1130,M1130&gt;G1130),'DDF Original'!L1130&lt;&gt; "MI"),G1130,IF(M1130&gt;J1130,M1130,J1130))</f>
        <v/>
      </c>
    </row>
    <row r="1131" spans="2:14" x14ac:dyDescent="0.2">
      <c r="B1131" s="19" t="str">
        <f>IF('DDF Original'!B1131="","",'DDF Original'!B1131)</f>
        <v/>
      </c>
      <c r="C1131" s="19" t="e">
        <f t="shared" si="119"/>
        <v>#VALUE!</v>
      </c>
      <c r="D1131" s="20" t="str">
        <f>IF('DDF Original'!C1131="","",'DDF Original'!C1131)</f>
        <v/>
      </c>
      <c r="E1131" s="24" t="str">
        <f>IF('DDF Original'!B1131="","",IF(TRIM('DDF Original'!I1131)="",0,'DDF Original'!I1131))</f>
        <v/>
      </c>
      <c r="F1131" s="20" t="str">
        <f t="shared" si="120"/>
        <v/>
      </c>
      <c r="G1131" s="37" t="str">
        <f>IF('DDF Original'!B1131="","",IF(TRIM('DDF Original'!P1131)="",0,'DDF Original'!P1131))</f>
        <v/>
      </c>
      <c r="H1131" s="20" t="str">
        <f t="shared" si="121"/>
        <v/>
      </c>
      <c r="I1131" s="25" t="str">
        <f t="shared" si="122"/>
        <v/>
      </c>
      <c r="J1131" s="20" t="str">
        <f t="shared" si="123"/>
        <v/>
      </c>
      <c r="K1131" s="20" t="str">
        <f t="shared" si="124"/>
        <v/>
      </c>
      <c r="L1131" s="20" t="str">
        <f>IF(B1131="","",70*'DDF Original'!$Q$4)</f>
        <v/>
      </c>
      <c r="M1131" s="20" t="str">
        <f t="shared" si="125"/>
        <v/>
      </c>
      <c r="N1131" s="20" t="str">
        <f>IF(AND(OR(B1131="",J1131&gt;G1131,M1131&gt;G1131),'DDF Original'!L1131&lt;&gt; "MI"),G1131,IF(M1131&gt;J1131,M1131,J1131))</f>
        <v/>
      </c>
    </row>
    <row r="1132" spans="2:14" x14ac:dyDescent="0.2">
      <c r="B1132" s="19" t="str">
        <f>IF('DDF Original'!B1132="","",'DDF Original'!B1132)</f>
        <v/>
      </c>
      <c r="C1132" s="19" t="e">
        <f t="shared" si="119"/>
        <v>#VALUE!</v>
      </c>
      <c r="D1132" s="20" t="str">
        <f>IF('DDF Original'!C1132="","",'DDF Original'!C1132)</f>
        <v/>
      </c>
      <c r="E1132" s="24" t="str">
        <f>IF('DDF Original'!B1132="","",IF(TRIM('DDF Original'!I1132)="",0,'DDF Original'!I1132))</f>
        <v/>
      </c>
      <c r="F1132" s="20" t="str">
        <f t="shared" si="120"/>
        <v/>
      </c>
      <c r="G1132" s="37" t="str">
        <f>IF('DDF Original'!B1132="","",IF(TRIM('DDF Original'!P1132)="",0,'DDF Original'!P1132))</f>
        <v/>
      </c>
      <c r="H1132" s="20" t="str">
        <f t="shared" si="121"/>
        <v/>
      </c>
      <c r="I1132" s="25" t="str">
        <f t="shared" si="122"/>
        <v/>
      </c>
      <c r="J1132" s="20" t="str">
        <f t="shared" si="123"/>
        <v/>
      </c>
      <c r="K1132" s="20" t="str">
        <f t="shared" si="124"/>
        <v/>
      </c>
      <c r="L1132" s="20" t="str">
        <f>IF(B1132="","",70*'DDF Original'!$Q$4)</f>
        <v/>
      </c>
      <c r="M1132" s="20" t="str">
        <f t="shared" si="125"/>
        <v/>
      </c>
      <c r="N1132" s="20" t="str">
        <f>IF(AND(OR(B1132="",J1132&gt;G1132,M1132&gt;G1132),'DDF Original'!L1132&lt;&gt; "MI"),G1132,IF(M1132&gt;J1132,M1132,J1132))</f>
        <v/>
      </c>
    </row>
    <row r="1133" spans="2:14" x14ac:dyDescent="0.2">
      <c r="B1133" s="19" t="str">
        <f>IF('DDF Original'!B1133="","",'DDF Original'!B1133)</f>
        <v/>
      </c>
      <c r="C1133" s="19" t="e">
        <f t="shared" si="119"/>
        <v>#VALUE!</v>
      </c>
      <c r="D1133" s="20" t="str">
        <f>IF('DDF Original'!C1133="","",'DDF Original'!C1133)</f>
        <v/>
      </c>
      <c r="E1133" s="24" t="str">
        <f>IF('DDF Original'!B1133="","",IF(TRIM('DDF Original'!I1133)="",0,'DDF Original'!I1133))</f>
        <v/>
      </c>
      <c r="F1133" s="20" t="str">
        <f t="shared" si="120"/>
        <v/>
      </c>
      <c r="G1133" s="37" t="str">
        <f>IF('DDF Original'!B1133="","",IF(TRIM('DDF Original'!P1133)="",0,'DDF Original'!P1133))</f>
        <v/>
      </c>
      <c r="H1133" s="20" t="str">
        <f t="shared" si="121"/>
        <v/>
      </c>
      <c r="I1133" s="25" t="str">
        <f t="shared" si="122"/>
        <v/>
      </c>
      <c r="J1133" s="20" t="str">
        <f t="shared" si="123"/>
        <v/>
      </c>
      <c r="K1133" s="20" t="str">
        <f t="shared" si="124"/>
        <v/>
      </c>
      <c r="L1133" s="20" t="str">
        <f>IF(B1133="","",70*'DDF Original'!$Q$4)</f>
        <v/>
      </c>
      <c r="M1133" s="20" t="str">
        <f t="shared" si="125"/>
        <v/>
      </c>
      <c r="N1133" s="20" t="str">
        <f>IF(AND(OR(B1133="",J1133&gt;G1133,M1133&gt;G1133),'DDF Original'!L1133&lt;&gt; "MI"),G1133,IF(M1133&gt;J1133,M1133,J1133))</f>
        <v/>
      </c>
    </row>
    <row r="1134" spans="2:14" x14ac:dyDescent="0.2">
      <c r="B1134" s="19" t="str">
        <f>IF('DDF Original'!B1134="","",'DDF Original'!B1134)</f>
        <v/>
      </c>
      <c r="C1134" s="19" t="e">
        <f t="shared" si="119"/>
        <v>#VALUE!</v>
      </c>
      <c r="D1134" s="20" t="str">
        <f>IF('DDF Original'!C1134="","",'DDF Original'!C1134)</f>
        <v/>
      </c>
      <c r="E1134" s="24" t="str">
        <f>IF('DDF Original'!B1134="","",IF(TRIM('DDF Original'!I1134)="",0,'DDF Original'!I1134))</f>
        <v/>
      </c>
      <c r="F1134" s="20" t="str">
        <f t="shared" si="120"/>
        <v/>
      </c>
      <c r="G1134" s="37" t="str">
        <f>IF('DDF Original'!B1134="","",IF(TRIM('DDF Original'!P1134)="",0,'DDF Original'!P1134))</f>
        <v/>
      </c>
      <c r="H1134" s="20" t="str">
        <f t="shared" si="121"/>
        <v/>
      </c>
      <c r="I1134" s="25" t="str">
        <f t="shared" si="122"/>
        <v/>
      </c>
      <c r="J1134" s="20" t="str">
        <f t="shared" si="123"/>
        <v/>
      </c>
      <c r="K1134" s="20" t="str">
        <f t="shared" si="124"/>
        <v/>
      </c>
      <c r="L1134" s="20" t="str">
        <f>IF(B1134="","",70*'DDF Original'!$Q$4)</f>
        <v/>
      </c>
      <c r="M1134" s="20" t="str">
        <f t="shared" si="125"/>
        <v/>
      </c>
      <c r="N1134" s="20" t="str">
        <f>IF(AND(OR(B1134="",J1134&gt;G1134,M1134&gt;G1134),'DDF Original'!L1134&lt;&gt; "MI"),G1134,IF(M1134&gt;J1134,M1134,J1134))</f>
        <v/>
      </c>
    </row>
    <row r="1135" spans="2:14" x14ac:dyDescent="0.2">
      <c r="B1135" s="19" t="str">
        <f>IF('DDF Original'!B1135="","",'DDF Original'!B1135)</f>
        <v/>
      </c>
      <c r="C1135" s="19" t="e">
        <f t="shared" si="119"/>
        <v>#VALUE!</v>
      </c>
      <c r="D1135" s="20" t="str">
        <f>IF('DDF Original'!C1135="","",'DDF Original'!C1135)</f>
        <v/>
      </c>
      <c r="E1135" s="24" t="str">
        <f>IF('DDF Original'!B1135="","",IF(TRIM('DDF Original'!I1135)="",0,'DDF Original'!I1135))</f>
        <v/>
      </c>
      <c r="F1135" s="20" t="str">
        <f t="shared" si="120"/>
        <v/>
      </c>
      <c r="G1135" s="37" t="str">
        <f>IF('DDF Original'!B1135="","",IF(TRIM('DDF Original'!P1135)="",0,'DDF Original'!P1135))</f>
        <v/>
      </c>
      <c r="H1135" s="20" t="str">
        <f t="shared" si="121"/>
        <v/>
      </c>
      <c r="I1135" s="25" t="str">
        <f t="shared" si="122"/>
        <v/>
      </c>
      <c r="J1135" s="20" t="str">
        <f t="shared" si="123"/>
        <v/>
      </c>
      <c r="K1135" s="20" t="str">
        <f t="shared" si="124"/>
        <v/>
      </c>
      <c r="L1135" s="20" t="str">
        <f>IF(B1135="","",70*'DDF Original'!$Q$4)</f>
        <v/>
      </c>
      <c r="M1135" s="20" t="str">
        <f t="shared" si="125"/>
        <v/>
      </c>
      <c r="N1135" s="20" t="str">
        <f>IF(AND(OR(B1135="",J1135&gt;G1135,M1135&gt;G1135),'DDF Original'!L1135&lt;&gt; "MI"),G1135,IF(M1135&gt;J1135,M1135,J1135))</f>
        <v/>
      </c>
    </row>
    <row r="1136" spans="2:14" x14ac:dyDescent="0.2">
      <c r="B1136" s="19" t="str">
        <f>IF('DDF Original'!B1136="","",'DDF Original'!B1136)</f>
        <v/>
      </c>
      <c r="C1136" s="19" t="e">
        <f t="shared" si="119"/>
        <v>#VALUE!</v>
      </c>
      <c r="D1136" s="20" t="str">
        <f>IF('DDF Original'!C1136="","",'DDF Original'!C1136)</f>
        <v/>
      </c>
      <c r="E1136" s="24" t="str">
        <f>IF('DDF Original'!B1136="","",IF(TRIM('DDF Original'!I1136)="",0,'DDF Original'!I1136))</f>
        <v/>
      </c>
      <c r="F1136" s="20" t="str">
        <f t="shared" si="120"/>
        <v/>
      </c>
      <c r="G1136" s="37" t="str">
        <f>IF('DDF Original'!B1136="","",IF(TRIM('DDF Original'!P1136)="",0,'DDF Original'!P1136))</f>
        <v/>
      </c>
      <c r="H1136" s="20" t="str">
        <f t="shared" si="121"/>
        <v/>
      </c>
      <c r="I1136" s="25" t="str">
        <f t="shared" si="122"/>
        <v/>
      </c>
      <c r="J1136" s="20" t="str">
        <f t="shared" si="123"/>
        <v/>
      </c>
      <c r="K1136" s="20" t="str">
        <f t="shared" si="124"/>
        <v/>
      </c>
      <c r="L1136" s="20" t="str">
        <f>IF(B1136="","",70*'DDF Original'!$Q$4)</f>
        <v/>
      </c>
      <c r="M1136" s="20" t="str">
        <f t="shared" si="125"/>
        <v/>
      </c>
      <c r="N1136" s="20" t="str">
        <f>IF(AND(OR(B1136="",J1136&gt;G1136,M1136&gt;G1136),'DDF Original'!L1136&lt;&gt; "MI"),G1136,IF(M1136&gt;J1136,M1136,J1136))</f>
        <v/>
      </c>
    </row>
    <row r="1137" spans="2:14" x14ac:dyDescent="0.2">
      <c r="B1137" s="19" t="str">
        <f>IF('DDF Original'!B1137="","",'DDF Original'!B1137)</f>
        <v/>
      </c>
      <c r="C1137" s="19" t="e">
        <f t="shared" si="119"/>
        <v>#VALUE!</v>
      </c>
      <c r="D1137" s="20" t="str">
        <f>IF('DDF Original'!C1137="","",'DDF Original'!C1137)</f>
        <v/>
      </c>
      <c r="E1137" s="24" t="str">
        <f>IF('DDF Original'!B1137="","",IF(TRIM('DDF Original'!I1137)="",0,'DDF Original'!I1137))</f>
        <v/>
      </c>
      <c r="F1137" s="20" t="str">
        <f t="shared" si="120"/>
        <v/>
      </c>
      <c r="G1137" s="37" t="str">
        <f>IF('DDF Original'!B1137="","",IF(TRIM('DDF Original'!P1137)="",0,'DDF Original'!P1137))</f>
        <v/>
      </c>
      <c r="H1137" s="20" t="str">
        <f t="shared" si="121"/>
        <v/>
      </c>
      <c r="I1137" s="25" t="str">
        <f t="shared" si="122"/>
        <v/>
      </c>
      <c r="J1137" s="20" t="str">
        <f t="shared" si="123"/>
        <v/>
      </c>
      <c r="K1137" s="20" t="str">
        <f t="shared" si="124"/>
        <v/>
      </c>
      <c r="L1137" s="20" t="str">
        <f>IF(B1137="","",70*'DDF Original'!$Q$4)</f>
        <v/>
      </c>
      <c r="M1137" s="20" t="str">
        <f t="shared" si="125"/>
        <v/>
      </c>
      <c r="N1137" s="20" t="str">
        <f>IF(AND(OR(B1137="",J1137&gt;G1137,M1137&gt;G1137),'DDF Original'!L1137&lt;&gt; "MI"),G1137,IF(M1137&gt;J1137,M1137,J1137))</f>
        <v/>
      </c>
    </row>
    <row r="1138" spans="2:14" x14ac:dyDescent="0.2">
      <c r="B1138" s="19" t="str">
        <f>IF('DDF Original'!B1138="","",'DDF Original'!B1138)</f>
        <v/>
      </c>
      <c r="C1138" s="19" t="e">
        <f t="shared" si="119"/>
        <v>#VALUE!</v>
      </c>
      <c r="D1138" s="20" t="str">
        <f>IF('DDF Original'!C1138="","",'DDF Original'!C1138)</f>
        <v/>
      </c>
      <c r="E1138" s="24" t="str">
        <f>IF('DDF Original'!B1138="","",IF(TRIM('DDF Original'!I1138)="",0,'DDF Original'!I1138))</f>
        <v/>
      </c>
      <c r="F1138" s="20" t="str">
        <f t="shared" si="120"/>
        <v/>
      </c>
      <c r="G1138" s="37" t="str">
        <f>IF('DDF Original'!B1138="","",IF(TRIM('DDF Original'!P1138)="",0,'DDF Original'!P1138))</f>
        <v/>
      </c>
      <c r="H1138" s="20" t="str">
        <f t="shared" si="121"/>
        <v/>
      </c>
      <c r="I1138" s="25" t="str">
        <f t="shared" si="122"/>
        <v/>
      </c>
      <c r="J1138" s="20" t="str">
        <f t="shared" si="123"/>
        <v/>
      </c>
      <c r="K1138" s="20" t="str">
        <f t="shared" si="124"/>
        <v/>
      </c>
      <c r="L1138" s="20" t="str">
        <f>IF(B1138="","",70*'DDF Original'!$Q$4)</f>
        <v/>
      </c>
      <c r="M1138" s="20" t="str">
        <f t="shared" si="125"/>
        <v/>
      </c>
      <c r="N1138" s="20" t="str">
        <f>IF(AND(OR(B1138="",J1138&gt;G1138,M1138&gt;G1138),'DDF Original'!L1138&lt;&gt; "MI"),G1138,IF(M1138&gt;J1138,M1138,J1138))</f>
        <v/>
      </c>
    </row>
    <row r="1139" spans="2:14" x14ac:dyDescent="0.2">
      <c r="B1139" s="19" t="str">
        <f>IF('DDF Original'!B1139="","",'DDF Original'!B1139)</f>
        <v/>
      </c>
      <c r="C1139" s="19" t="e">
        <f t="shared" si="119"/>
        <v>#VALUE!</v>
      </c>
      <c r="D1139" s="20" t="str">
        <f>IF('DDF Original'!C1139="","",'DDF Original'!C1139)</f>
        <v/>
      </c>
      <c r="E1139" s="24" t="str">
        <f>IF('DDF Original'!B1139="","",IF(TRIM('DDF Original'!I1139)="",0,'DDF Original'!I1139))</f>
        <v/>
      </c>
      <c r="F1139" s="20" t="str">
        <f t="shared" si="120"/>
        <v/>
      </c>
      <c r="G1139" s="37" t="str">
        <f>IF('DDF Original'!B1139="","",IF(TRIM('DDF Original'!P1139)="",0,'DDF Original'!P1139))</f>
        <v/>
      </c>
      <c r="H1139" s="20" t="str">
        <f t="shared" si="121"/>
        <v/>
      </c>
      <c r="I1139" s="25" t="str">
        <f t="shared" si="122"/>
        <v/>
      </c>
      <c r="J1139" s="20" t="str">
        <f t="shared" si="123"/>
        <v/>
      </c>
      <c r="K1139" s="20" t="str">
        <f t="shared" si="124"/>
        <v/>
      </c>
      <c r="L1139" s="20" t="str">
        <f>IF(B1139="","",70*'DDF Original'!$Q$4)</f>
        <v/>
      </c>
      <c r="M1139" s="20" t="str">
        <f t="shared" si="125"/>
        <v/>
      </c>
      <c r="N1139" s="20" t="str">
        <f>IF(AND(OR(B1139="",J1139&gt;G1139,M1139&gt;G1139),'DDF Original'!L1139&lt;&gt; "MI"),G1139,IF(M1139&gt;J1139,M1139,J1139))</f>
        <v/>
      </c>
    </row>
    <row r="1140" spans="2:14" x14ac:dyDescent="0.2">
      <c r="B1140" s="19" t="str">
        <f>IF('DDF Original'!B1140="","",'DDF Original'!B1140)</f>
        <v/>
      </c>
      <c r="C1140" s="19" t="e">
        <f t="shared" si="119"/>
        <v>#VALUE!</v>
      </c>
      <c r="D1140" s="20" t="str">
        <f>IF('DDF Original'!C1140="","",'DDF Original'!C1140)</f>
        <v/>
      </c>
      <c r="E1140" s="24" t="str">
        <f>IF('DDF Original'!B1140="","",IF(TRIM('DDF Original'!I1140)="",0,'DDF Original'!I1140))</f>
        <v/>
      </c>
      <c r="F1140" s="20" t="str">
        <f t="shared" si="120"/>
        <v/>
      </c>
      <c r="G1140" s="37" t="str">
        <f>IF('DDF Original'!B1140="","",IF(TRIM('DDF Original'!P1140)="",0,'DDF Original'!P1140))</f>
        <v/>
      </c>
      <c r="H1140" s="20" t="str">
        <f t="shared" si="121"/>
        <v/>
      </c>
      <c r="I1140" s="25" t="str">
        <f t="shared" si="122"/>
        <v/>
      </c>
      <c r="J1140" s="20" t="str">
        <f t="shared" si="123"/>
        <v/>
      </c>
      <c r="K1140" s="20" t="str">
        <f t="shared" si="124"/>
        <v/>
      </c>
      <c r="L1140" s="20" t="str">
        <f>IF(B1140="","",70*'DDF Original'!$Q$4)</f>
        <v/>
      </c>
      <c r="M1140" s="20" t="str">
        <f t="shared" si="125"/>
        <v/>
      </c>
      <c r="N1140" s="20" t="str">
        <f>IF(AND(OR(B1140="",J1140&gt;G1140,M1140&gt;G1140),'DDF Original'!L1140&lt;&gt; "MI"),G1140,IF(M1140&gt;J1140,M1140,J1140))</f>
        <v/>
      </c>
    </row>
    <row r="1141" spans="2:14" x14ac:dyDescent="0.2">
      <c r="B1141" s="19" t="str">
        <f>IF('DDF Original'!B1141="","",'DDF Original'!B1141)</f>
        <v/>
      </c>
      <c r="C1141" s="19" t="e">
        <f t="shared" si="119"/>
        <v>#VALUE!</v>
      </c>
      <c r="D1141" s="20" t="str">
        <f>IF('DDF Original'!C1141="","",'DDF Original'!C1141)</f>
        <v/>
      </c>
      <c r="E1141" s="24" t="str">
        <f>IF('DDF Original'!B1141="","",IF(TRIM('DDF Original'!I1141)="",0,'DDF Original'!I1141))</f>
        <v/>
      </c>
      <c r="F1141" s="20" t="str">
        <f t="shared" si="120"/>
        <v/>
      </c>
      <c r="G1141" s="37" t="str">
        <f>IF('DDF Original'!B1141="","",IF(TRIM('DDF Original'!P1141)="",0,'DDF Original'!P1141))</f>
        <v/>
      </c>
      <c r="H1141" s="20" t="str">
        <f t="shared" si="121"/>
        <v/>
      </c>
      <c r="I1141" s="25" t="str">
        <f t="shared" si="122"/>
        <v/>
      </c>
      <c r="J1141" s="20" t="str">
        <f t="shared" si="123"/>
        <v/>
      </c>
      <c r="K1141" s="20" t="str">
        <f t="shared" si="124"/>
        <v/>
      </c>
      <c r="L1141" s="20" t="str">
        <f>IF(B1141="","",70*'DDF Original'!$Q$4)</f>
        <v/>
      </c>
      <c r="M1141" s="20" t="str">
        <f t="shared" si="125"/>
        <v/>
      </c>
      <c r="N1141" s="20" t="str">
        <f>IF(AND(OR(B1141="",J1141&gt;G1141,M1141&gt;G1141),'DDF Original'!L1141&lt;&gt; "MI"),G1141,IF(M1141&gt;J1141,M1141,J1141))</f>
        <v/>
      </c>
    </row>
    <row r="1142" spans="2:14" x14ac:dyDescent="0.2">
      <c r="B1142" s="19" t="str">
        <f>IF('DDF Original'!B1142="","",'DDF Original'!B1142)</f>
        <v/>
      </c>
      <c r="C1142" s="19" t="e">
        <f t="shared" si="119"/>
        <v>#VALUE!</v>
      </c>
      <c r="D1142" s="20" t="str">
        <f>IF('DDF Original'!C1142="","",'DDF Original'!C1142)</f>
        <v/>
      </c>
      <c r="E1142" s="24" t="str">
        <f>IF('DDF Original'!B1142="","",IF(TRIM('DDF Original'!I1142)="",0,'DDF Original'!I1142))</f>
        <v/>
      </c>
      <c r="F1142" s="20" t="str">
        <f t="shared" si="120"/>
        <v/>
      </c>
      <c r="G1142" s="37" t="str">
        <f>IF('DDF Original'!B1142="","",IF(TRIM('DDF Original'!P1142)="",0,'DDF Original'!P1142))</f>
        <v/>
      </c>
      <c r="H1142" s="20" t="str">
        <f t="shared" si="121"/>
        <v/>
      </c>
      <c r="I1142" s="25" t="str">
        <f t="shared" si="122"/>
        <v/>
      </c>
      <c r="J1142" s="20" t="str">
        <f t="shared" si="123"/>
        <v/>
      </c>
      <c r="K1142" s="20" t="str">
        <f t="shared" si="124"/>
        <v/>
      </c>
      <c r="L1142" s="20" t="str">
        <f>IF(B1142="","",70*'DDF Original'!$Q$4)</f>
        <v/>
      </c>
      <c r="M1142" s="20" t="str">
        <f t="shared" si="125"/>
        <v/>
      </c>
      <c r="N1142" s="20" t="str">
        <f>IF(AND(OR(B1142="",J1142&gt;G1142,M1142&gt;G1142),'DDF Original'!L1142&lt;&gt; "MI"),G1142,IF(M1142&gt;J1142,M1142,J1142))</f>
        <v/>
      </c>
    </row>
    <row r="1143" spans="2:14" x14ac:dyDescent="0.2">
      <c r="B1143" s="19" t="str">
        <f>IF('DDF Original'!B1143="","",'DDF Original'!B1143)</f>
        <v/>
      </c>
      <c r="C1143" s="19" t="e">
        <f t="shared" si="119"/>
        <v>#VALUE!</v>
      </c>
      <c r="D1143" s="20" t="str">
        <f>IF('DDF Original'!C1143="","",'DDF Original'!C1143)</f>
        <v/>
      </c>
      <c r="E1143" s="24" t="str">
        <f>IF('DDF Original'!B1143="","",IF(TRIM('DDF Original'!I1143)="",0,'DDF Original'!I1143))</f>
        <v/>
      </c>
      <c r="F1143" s="20" t="str">
        <f t="shared" si="120"/>
        <v/>
      </c>
      <c r="G1143" s="37" t="str">
        <f>IF('DDF Original'!B1143="","",IF(TRIM('DDF Original'!P1143)="",0,'DDF Original'!P1143))</f>
        <v/>
      </c>
      <c r="H1143" s="20" t="str">
        <f t="shared" si="121"/>
        <v/>
      </c>
      <c r="I1143" s="25" t="str">
        <f t="shared" si="122"/>
        <v/>
      </c>
      <c r="J1143" s="20" t="str">
        <f t="shared" si="123"/>
        <v/>
      </c>
      <c r="K1143" s="20" t="str">
        <f t="shared" si="124"/>
        <v/>
      </c>
      <c r="L1143" s="20" t="str">
        <f>IF(B1143="","",70*'DDF Original'!$Q$4)</f>
        <v/>
      </c>
      <c r="M1143" s="20" t="str">
        <f t="shared" si="125"/>
        <v/>
      </c>
      <c r="N1143" s="20" t="str">
        <f>IF(AND(OR(B1143="",J1143&gt;G1143,M1143&gt;G1143),'DDF Original'!L1143&lt;&gt; "MI"),G1143,IF(M1143&gt;J1143,M1143,J1143))</f>
        <v/>
      </c>
    </row>
    <row r="1144" spans="2:14" x14ac:dyDescent="0.2">
      <c r="B1144" s="19" t="str">
        <f>IF('DDF Original'!B1144="","",'DDF Original'!B1144)</f>
        <v/>
      </c>
      <c r="C1144" s="19" t="e">
        <f t="shared" si="119"/>
        <v>#VALUE!</v>
      </c>
      <c r="D1144" s="20" t="str">
        <f>IF('DDF Original'!C1144="","",'DDF Original'!C1144)</f>
        <v/>
      </c>
      <c r="E1144" s="24" t="str">
        <f>IF('DDF Original'!B1144="","",IF(TRIM('DDF Original'!I1144)="",0,'DDF Original'!I1144))</f>
        <v/>
      </c>
      <c r="F1144" s="20" t="str">
        <f t="shared" si="120"/>
        <v/>
      </c>
      <c r="G1144" s="37" t="str">
        <f>IF('DDF Original'!B1144="","",IF(TRIM('DDF Original'!P1144)="",0,'DDF Original'!P1144))</f>
        <v/>
      </c>
      <c r="H1144" s="20" t="str">
        <f t="shared" si="121"/>
        <v/>
      </c>
      <c r="I1144" s="25" t="str">
        <f t="shared" si="122"/>
        <v/>
      </c>
      <c r="J1144" s="20" t="str">
        <f t="shared" si="123"/>
        <v/>
      </c>
      <c r="K1144" s="20" t="str">
        <f t="shared" si="124"/>
        <v/>
      </c>
      <c r="L1144" s="20" t="str">
        <f>IF(B1144="","",70*'DDF Original'!$Q$4)</f>
        <v/>
      </c>
      <c r="M1144" s="20" t="str">
        <f t="shared" si="125"/>
        <v/>
      </c>
      <c r="N1144" s="20" t="str">
        <f>IF(AND(OR(B1144="",J1144&gt;G1144,M1144&gt;G1144),'DDF Original'!L1144&lt;&gt; "MI"),G1144,IF(M1144&gt;J1144,M1144,J1144))</f>
        <v/>
      </c>
    </row>
    <row r="1145" spans="2:14" x14ac:dyDescent="0.2">
      <c r="B1145" s="19" t="str">
        <f>IF('DDF Original'!B1145="","",'DDF Original'!B1145)</f>
        <v/>
      </c>
      <c r="C1145" s="19" t="e">
        <f t="shared" si="119"/>
        <v>#VALUE!</v>
      </c>
      <c r="D1145" s="20" t="str">
        <f>IF('DDF Original'!C1145="","",'DDF Original'!C1145)</f>
        <v/>
      </c>
      <c r="E1145" s="24" t="str">
        <f>IF('DDF Original'!B1145="","",IF(TRIM('DDF Original'!I1145)="",0,'DDF Original'!I1145))</f>
        <v/>
      </c>
      <c r="F1145" s="20" t="str">
        <f t="shared" si="120"/>
        <v/>
      </c>
      <c r="G1145" s="37" t="str">
        <f>IF('DDF Original'!B1145="","",IF(TRIM('DDF Original'!P1145)="",0,'DDF Original'!P1145))</f>
        <v/>
      </c>
      <c r="H1145" s="20" t="str">
        <f t="shared" si="121"/>
        <v/>
      </c>
      <c r="I1145" s="25" t="str">
        <f t="shared" si="122"/>
        <v/>
      </c>
      <c r="J1145" s="20" t="str">
        <f t="shared" si="123"/>
        <v/>
      </c>
      <c r="K1145" s="20" t="str">
        <f t="shared" si="124"/>
        <v/>
      </c>
      <c r="L1145" s="20" t="str">
        <f>IF(B1145="","",70*'DDF Original'!$Q$4)</f>
        <v/>
      </c>
      <c r="M1145" s="20" t="str">
        <f t="shared" si="125"/>
        <v/>
      </c>
      <c r="N1145" s="20" t="str">
        <f>IF(AND(OR(B1145="",J1145&gt;G1145,M1145&gt;G1145),'DDF Original'!L1145&lt;&gt; "MI"),G1145,IF(M1145&gt;J1145,M1145,J1145))</f>
        <v/>
      </c>
    </row>
    <row r="1146" spans="2:14" x14ac:dyDescent="0.2">
      <c r="B1146" s="19" t="str">
        <f>IF('DDF Original'!B1146="","",'DDF Original'!B1146)</f>
        <v/>
      </c>
      <c r="C1146" s="19" t="e">
        <f t="shared" si="119"/>
        <v>#VALUE!</v>
      </c>
      <c r="D1146" s="20" t="str">
        <f>IF('DDF Original'!C1146="","",'DDF Original'!C1146)</f>
        <v/>
      </c>
      <c r="E1146" s="24" t="str">
        <f>IF('DDF Original'!B1146="","",IF(TRIM('DDF Original'!I1146)="",0,'DDF Original'!I1146))</f>
        <v/>
      </c>
      <c r="F1146" s="20" t="str">
        <f t="shared" si="120"/>
        <v/>
      </c>
      <c r="G1146" s="37" t="str">
        <f>IF('DDF Original'!B1146="","",IF(TRIM('DDF Original'!P1146)="",0,'DDF Original'!P1146))</f>
        <v/>
      </c>
      <c r="H1146" s="20" t="str">
        <f t="shared" si="121"/>
        <v/>
      </c>
      <c r="I1146" s="25" t="str">
        <f t="shared" si="122"/>
        <v/>
      </c>
      <c r="J1146" s="20" t="str">
        <f t="shared" si="123"/>
        <v/>
      </c>
      <c r="K1146" s="20" t="str">
        <f t="shared" si="124"/>
        <v/>
      </c>
      <c r="L1146" s="20" t="str">
        <f>IF(B1146="","",70*'DDF Original'!$Q$4)</f>
        <v/>
      </c>
      <c r="M1146" s="20" t="str">
        <f t="shared" si="125"/>
        <v/>
      </c>
      <c r="N1146" s="20" t="str">
        <f>IF(AND(OR(B1146="",J1146&gt;G1146,M1146&gt;G1146),'DDF Original'!L1146&lt;&gt; "MI"),G1146,IF(M1146&gt;J1146,M1146,J1146))</f>
        <v/>
      </c>
    </row>
    <row r="1147" spans="2:14" x14ac:dyDescent="0.2">
      <c r="B1147" s="19" t="str">
        <f>IF('DDF Original'!B1147="","",'DDF Original'!B1147)</f>
        <v/>
      </c>
      <c r="C1147" s="19" t="e">
        <f t="shared" si="119"/>
        <v>#VALUE!</v>
      </c>
      <c r="D1147" s="20" t="str">
        <f>IF('DDF Original'!C1147="","",'DDF Original'!C1147)</f>
        <v/>
      </c>
      <c r="E1147" s="24" t="str">
        <f>IF('DDF Original'!B1147="","",IF(TRIM('DDF Original'!I1147)="",0,'DDF Original'!I1147))</f>
        <v/>
      </c>
      <c r="F1147" s="20" t="str">
        <f t="shared" si="120"/>
        <v/>
      </c>
      <c r="G1147" s="37" t="str">
        <f>IF('DDF Original'!B1147="","",IF(TRIM('DDF Original'!P1147)="",0,'DDF Original'!P1147))</f>
        <v/>
      </c>
      <c r="H1147" s="20" t="str">
        <f t="shared" si="121"/>
        <v/>
      </c>
      <c r="I1147" s="25" t="str">
        <f t="shared" si="122"/>
        <v/>
      </c>
      <c r="J1147" s="20" t="str">
        <f t="shared" si="123"/>
        <v/>
      </c>
      <c r="K1147" s="20" t="str">
        <f t="shared" si="124"/>
        <v/>
      </c>
      <c r="L1147" s="20" t="str">
        <f>IF(B1147="","",70*'DDF Original'!$Q$4)</f>
        <v/>
      </c>
      <c r="M1147" s="20" t="str">
        <f t="shared" si="125"/>
        <v/>
      </c>
      <c r="N1147" s="20" t="str">
        <f>IF(AND(OR(B1147="",J1147&gt;G1147,M1147&gt;G1147),'DDF Original'!L1147&lt;&gt; "MI"),G1147,IF(M1147&gt;J1147,M1147,J1147))</f>
        <v/>
      </c>
    </row>
    <row r="1148" spans="2:14" x14ac:dyDescent="0.2">
      <c r="B1148" s="19" t="str">
        <f>IF('DDF Original'!B1148="","",'DDF Original'!B1148)</f>
        <v/>
      </c>
      <c r="C1148" s="19" t="e">
        <f t="shared" si="119"/>
        <v>#VALUE!</v>
      </c>
      <c r="D1148" s="20" t="str">
        <f>IF('DDF Original'!C1148="","",'DDF Original'!C1148)</f>
        <v/>
      </c>
      <c r="E1148" s="24" t="str">
        <f>IF('DDF Original'!B1148="","",IF(TRIM('DDF Original'!I1148)="",0,'DDF Original'!I1148))</f>
        <v/>
      </c>
      <c r="F1148" s="20" t="str">
        <f t="shared" si="120"/>
        <v/>
      </c>
      <c r="G1148" s="37" t="str">
        <f>IF('DDF Original'!B1148="","",IF(TRIM('DDF Original'!P1148)="",0,'DDF Original'!P1148))</f>
        <v/>
      </c>
      <c r="H1148" s="20" t="str">
        <f t="shared" si="121"/>
        <v/>
      </c>
      <c r="I1148" s="25" t="str">
        <f t="shared" si="122"/>
        <v/>
      </c>
      <c r="J1148" s="20" t="str">
        <f t="shared" si="123"/>
        <v/>
      </c>
      <c r="K1148" s="20" t="str">
        <f t="shared" si="124"/>
        <v/>
      </c>
      <c r="L1148" s="20" t="str">
        <f>IF(B1148="","",70*'DDF Original'!$Q$4)</f>
        <v/>
      </c>
      <c r="M1148" s="20" t="str">
        <f t="shared" si="125"/>
        <v/>
      </c>
      <c r="N1148" s="20" t="str">
        <f>IF(AND(OR(B1148="",J1148&gt;G1148,M1148&gt;G1148),'DDF Original'!L1148&lt;&gt; "MI"),G1148,IF(M1148&gt;J1148,M1148,J1148))</f>
        <v/>
      </c>
    </row>
    <row r="1149" spans="2:14" x14ac:dyDescent="0.2">
      <c r="B1149" s="19" t="str">
        <f>IF('DDF Original'!B1149="","",'DDF Original'!B1149)</f>
        <v/>
      </c>
      <c r="C1149" s="19" t="e">
        <f t="shared" ref="C1149:C1212" si="126">LEFT(B1149,FIND(".",B1149)-1)</f>
        <v>#VALUE!</v>
      </c>
      <c r="D1149" s="20" t="str">
        <f>IF('DDF Original'!C1149="","",'DDF Original'!C1149)</f>
        <v/>
      </c>
      <c r="E1149" s="24" t="str">
        <f>IF('DDF Original'!B1149="","",IF(TRIM('DDF Original'!I1149)="",0,'DDF Original'!I1149))</f>
        <v/>
      </c>
      <c r="F1149" s="20" t="str">
        <f t="shared" ref="F1149:F1212" si="127">IF(D1149="",D1149,ROUND(D1149*(1+E1149/100),2))</f>
        <v/>
      </c>
      <c r="G1149" s="37" t="str">
        <f>IF('DDF Original'!B1149="","",IF(TRIM('DDF Original'!P1149)="",0,'DDF Original'!P1149))</f>
        <v/>
      </c>
      <c r="H1149" s="20" t="str">
        <f t="shared" ref="H1149:H1212" si="128">IF(OR(D1149=0,D1149=""),G1149,F1149)</f>
        <v/>
      </c>
      <c r="I1149" s="25" t="str">
        <f t="shared" ref="I1149:I1212" si="129">IF(B1149="","",IF(OR(D1149=0,D1149=""),50,35))</f>
        <v/>
      </c>
      <c r="J1149" s="20" t="str">
        <f t="shared" ref="J1149:J1212" si="130">IF(B1149="","",ROUND(H1149*I1149/100,2))</f>
        <v/>
      </c>
      <c r="K1149" s="20" t="str">
        <f t="shared" ref="K1149:K1212" si="131">IF(B1149="","",SUMIFS($J$9:$J$508,$C$9:$C$508,"="&amp;C1149))</f>
        <v/>
      </c>
      <c r="L1149" s="20" t="str">
        <f>IF(B1149="","",70*'DDF Original'!$Q$4)</f>
        <v/>
      </c>
      <c r="M1149" s="20" t="str">
        <f t="shared" ref="M1149:M1212" si="132">IF(B1149="","",ROUND(J1149/K1149*L1149,2))</f>
        <v/>
      </c>
      <c r="N1149" s="20" t="str">
        <f>IF(AND(OR(B1149="",J1149&gt;G1149,M1149&gt;G1149),'DDF Original'!L1149&lt;&gt; "MI"),G1149,IF(M1149&gt;J1149,M1149,J1149))</f>
        <v/>
      </c>
    </row>
    <row r="1150" spans="2:14" x14ac:dyDescent="0.2">
      <c r="B1150" s="19" t="str">
        <f>IF('DDF Original'!B1150="","",'DDF Original'!B1150)</f>
        <v/>
      </c>
      <c r="C1150" s="19" t="e">
        <f t="shared" si="126"/>
        <v>#VALUE!</v>
      </c>
      <c r="D1150" s="20" t="str">
        <f>IF('DDF Original'!C1150="","",'DDF Original'!C1150)</f>
        <v/>
      </c>
      <c r="E1150" s="24" t="str">
        <f>IF('DDF Original'!B1150="","",IF(TRIM('DDF Original'!I1150)="",0,'DDF Original'!I1150))</f>
        <v/>
      </c>
      <c r="F1150" s="20" t="str">
        <f t="shared" si="127"/>
        <v/>
      </c>
      <c r="G1150" s="37" t="str">
        <f>IF('DDF Original'!B1150="","",IF(TRIM('DDF Original'!P1150)="",0,'DDF Original'!P1150))</f>
        <v/>
      </c>
      <c r="H1150" s="20" t="str">
        <f t="shared" si="128"/>
        <v/>
      </c>
      <c r="I1150" s="25" t="str">
        <f t="shared" si="129"/>
        <v/>
      </c>
      <c r="J1150" s="20" t="str">
        <f t="shared" si="130"/>
        <v/>
      </c>
      <c r="K1150" s="20" t="str">
        <f t="shared" si="131"/>
        <v/>
      </c>
      <c r="L1150" s="20" t="str">
        <f>IF(B1150="","",70*'DDF Original'!$Q$4)</f>
        <v/>
      </c>
      <c r="M1150" s="20" t="str">
        <f t="shared" si="132"/>
        <v/>
      </c>
      <c r="N1150" s="20" t="str">
        <f>IF(AND(OR(B1150="",J1150&gt;G1150,M1150&gt;G1150),'DDF Original'!L1150&lt;&gt; "MI"),G1150,IF(M1150&gt;J1150,M1150,J1150))</f>
        <v/>
      </c>
    </row>
    <row r="1151" spans="2:14" x14ac:dyDescent="0.2">
      <c r="B1151" s="19" t="str">
        <f>IF('DDF Original'!B1151="","",'DDF Original'!B1151)</f>
        <v/>
      </c>
      <c r="C1151" s="19" t="e">
        <f t="shared" si="126"/>
        <v>#VALUE!</v>
      </c>
      <c r="D1151" s="20" t="str">
        <f>IF('DDF Original'!C1151="","",'DDF Original'!C1151)</f>
        <v/>
      </c>
      <c r="E1151" s="24" t="str">
        <f>IF('DDF Original'!B1151="","",IF(TRIM('DDF Original'!I1151)="",0,'DDF Original'!I1151))</f>
        <v/>
      </c>
      <c r="F1151" s="20" t="str">
        <f t="shared" si="127"/>
        <v/>
      </c>
      <c r="G1151" s="37" t="str">
        <f>IF('DDF Original'!B1151="","",IF(TRIM('DDF Original'!P1151)="",0,'DDF Original'!P1151))</f>
        <v/>
      </c>
      <c r="H1151" s="20" t="str">
        <f t="shared" si="128"/>
        <v/>
      </c>
      <c r="I1151" s="25" t="str">
        <f t="shared" si="129"/>
        <v/>
      </c>
      <c r="J1151" s="20" t="str">
        <f t="shared" si="130"/>
        <v/>
      </c>
      <c r="K1151" s="20" t="str">
        <f t="shared" si="131"/>
        <v/>
      </c>
      <c r="L1151" s="20" t="str">
        <f>IF(B1151="","",70*'DDF Original'!$Q$4)</f>
        <v/>
      </c>
      <c r="M1151" s="20" t="str">
        <f t="shared" si="132"/>
        <v/>
      </c>
      <c r="N1151" s="20" t="str">
        <f>IF(AND(OR(B1151="",J1151&gt;G1151,M1151&gt;G1151),'DDF Original'!L1151&lt;&gt; "MI"),G1151,IF(M1151&gt;J1151,M1151,J1151))</f>
        <v/>
      </c>
    </row>
    <row r="1152" spans="2:14" x14ac:dyDescent="0.2">
      <c r="B1152" s="19" t="str">
        <f>IF('DDF Original'!B1152="","",'DDF Original'!B1152)</f>
        <v/>
      </c>
      <c r="C1152" s="19" t="e">
        <f t="shared" si="126"/>
        <v>#VALUE!</v>
      </c>
      <c r="D1152" s="20" t="str">
        <f>IF('DDF Original'!C1152="","",'DDF Original'!C1152)</f>
        <v/>
      </c>
      <c r="E1152" s="24" t="str">
        <f>IF('DDF Original'!B1152="","",IF(TRIM('DDF Original'!I1152)="",0,'DDF Original'!I1152))</f>
        <v/>
      </c>
      <c r="F1152" s="20" t="str">
        <f t="shared" si="127"/>
        <v/>
      </c>
      <c r="G1152" s="37" t="str">
        <f>IF('DDF Original'!B1152="","",IF(TRIM('DDF Original'!P1152)="",0,'DDF Original'!P1152))</f>
        <v/>
      </c>
      <c r="H1152" s="20" t="str">
        <f t="shared" si="128"/>
        <v/>
      </c>
      <c r="I1152" s="25" t="str">
        <f t="shared" si="129"/>
        <v/>
      </c>
      <c r="J1152" s="20" t="str">
        <f t="shared" si="130"/>
        <v/>
      </c>
      <c r="K1152" s="20" t="str">
        <f t="shared" si="131"/>
        <v/>
      </c>
      <c r="L1152" s="20" t="str">
        <f>IF(B1152="","",70*'DDF Original'!$Q$4)</f>
        <v/>
      </c>
      <c r="M1152" s="20" t="str">
        <f t="shared" si="132"/>
        <v/>
      </c>
      <c r="N1152" s="20" t="str">
        <f>IF(AND(OR(B1152="",J1152&gt;G1152,M1152&gt;G1152),'DDF Original'!L1152&lt;&gt; "MI"),G1152,IF(M1152&gt;J1152,M1152,J1152))</f>
        <v/>
      </c>
    </row>
    <row r="1153" spans="2:14" x14ac:dyDescent="0.2">
      <c r="B1153" s="19" t="str">
        <f>IF('DDF Original'!B1153="","",'DDF Original'!B1153)</f>
        <v/>
      </c>
      <c r="C1153" s="19" t="e">
        <f t="shared" si="126"/>
        <v>#VALUE!</v>
      </c>
      <c r="D1153" s="20" t="str">
        <f>IF('DDF Original'!C1153="","",'DDF Original'!C1153)</f>
        <v/>
      </c>
      <c r="E1153" s="24" t="str">
        <f>IF('DDF Original'!B1153="","",IF(TRIM('DDF Original'!I1153)="",0,'DDF Original'!I1153))</f>
        <v/>
      </c>
      <c r="F1153" s="20" t="str">
        <f t="shared" si="127"/>
        <v/>
      </c>
      <c r="G1153" s="37" t="str">
        <f>IF('DDF Original'!B1153="","",IF(TRIM('DDF Original'!P1153)="",0,'DDF Original'!P1153))</f>
        <v/>
      </c>
      <c r="H1153" s="20" t="str">
        <f t="shared" si="128"/>
        <v/>
      </c>
      <c r="I1153" s="25" t="str">
        <f t="shared" si="129"/>
        <v/>
      </c>
      <c r="J1153" s="20" t="str">
        <f t="shared" si="130"/>
        <v/>
      </c>
      <c r="K1153" s="20" t="str">
        <f t="shared" si="131"/>
        <v/>
      </c>
      <c r="L1153" s="20" t="str">
        <f>IF(B1153="","",70*'DDF Original'!$Q$4)</f>
        <v/>
      </c>
      <c r="M1153" s="20" t="str">
        <f t="shared" si="132"/>
        <v/>
      </c>
      <c r="N1153" s="20" t="str">
        <f>IF(AND(OR(B1153="",J1153&gt;G1153,M1153&gt;G1153),'DDF Original'!L1153&lt;&gt; "MI"),G1153,IF(M1153&gt;J1153,M1153,J1153))</f>
        <v/>
      </c>
    </row>
    <row r="1154" spans="2:14" x14ac:dyDescent="0.2">
      <c r="B1154" s="19" t="str">
        <f>IF('DDF Original'!B1154="","",'DDF Original'!B1154)</f>
        <v/>
      </c>
      <c r="C1154" s="19" t="e">
        <f t="shared" si="126"/>
        <v>#VALUE!</v>
      </c>
      <c r="D1154" s="20" t="str">
        <f>IF('DDF Original'!C1154="","",'DDF Original'!C1154)</f>
        <v/>
      </c>
      <c r="E1154" s="24" t="str">
        <f>IF('DDF Original'!B1154="","",IF(TRIM('DDF Original'!I1154)="",0,'DDF Original'!I1154))</f>
        <v/>
      </c>
      <c r="F1154" s="20" t="str">
        <f t="shared" si="127"/>
        <v/>
      </c>
      <c r="G1154" s="37" t="str">
        <f>IF('DDF Original'!B1154="","",IF(TRIM('DDF Original'!P1154)="",0,'DDF Original'!P1154))</f>
        <v/>
      </c>
      <c r="H1154" s="20" t="str">
        <f t="shared" si="128"/>
        <v/>
      </c>
      <c r="I1154" s="25" t="str">
        <f t="shared" si="129"/>
        <v/>
      </c>
      <c r="J1154" s="20" t="str">
        <f t="shared" si="130"/>
        <v/>
      </c>
      <c r="K1154" s="20" t="str">
        <f t="shared" si="131"/>
        <v/>
      </c>
      <c r="L1154" s="20" t="str">
        <f>IF(B1154="","",70*'DDF Original'!$Q$4)</f>
        <v/>
      </c>
      <c r="M1154" s="20" t="str">
        <f t="shared" si="132"/>
        <v/>
      </c>
      <c r="N1154" s="20" t="str">
        <f>IF(AND(OR(B1154="",J1154&gt;G1154,M1154&gt;G1154),'DDF Original'!L1154&lt;&gt; "MI"),G1154,IF(M1154&gt;J1154,M1154,J1154))</f>
        <v/>
      </c>
    </row>
    <row r="1155" spans="2:14" x14ac:dyDescent="0.2">
      <c r="B1155" s="19" t="str">
        <f>IF('DDF Original'!B1155="","",'DDF Original'!B1155)</f>
        <v/>
      </c>
      <c r="C1155" s="19" t="e">
        <f t="shared" si="126"/>
        <v>#VALUE!</v>
      </c>
      <c r="D1155" s="20" t="str">
        <f>IF('DDF Original'!C1155="","",'DDF Original'!C1155)</f>
        <v/>
      </c>
      <c r="E1155" s="24" t="str">
        <f>IF('DDF Original'!B1155="","",IF(TRIM('DDF Original'!I1155)="",0,'DDF Original'!I1155))</f>
        <v/>
      </c>
      <c r="F1155" s="20" t="str">
        <f t="shared" si="127"/>
        <v/>
      </c>
      <c r="G1155" s="37" t="str">
        <f>IF('DDF Original'!B1155="","",IF(TRIM('DDF Original'!P1155)="",0,'DDF Original'!P1155))</f>
        <v/>
      </c>
      <c r="H1155" s="20" t="str">
        <f t="shared" si="128"/>
        <v/>
      </c>
      <c r="I1155" s="25" t="str">
        <f t="shared" si="129"/>
        <v/>
      </c>
      <c r="J1155" s="20" t="str">
        <f t="shared" si="130"/>
        <v/>
      </c>
      <c r="K1155" s="20" t="str">
        <f t="shared" si="131"/>
        <v/>
      </c>
      <c r="L1155" s="20" t="str">
        <f>IF(B1155="","",70*'DDF Original'!$Q$4)</f>
        <v/>
      </c>
      <c r="M1155" s="20" t="str">
        <f t="shared" si="132"/>
        <v/>
      </c>
      <c r="N1155" s="20" t="str">
        <f>IF(AND(OR(B1155="",J1155&gt;G1155,M1155&gt;G1155),'DDF Original'!L1155&lt;&gt; "MI"),G1155,IF(M1155&gt;J1155,M1155,J1155))</f>
        <v/>
      </c>
    </row>
    <row r="1156" spans="2:14" x14ac:dyDescent="0.2">
      <c r="B1156" s="19" t="str">
        <f>IF('DDF Original'!B1156="","",'DDF Original'!B1156)</f>
        <v/>
      </c>
      <c r="C1156" s="19" t="e">
        <f t="shared" si="126"/>
        <v>#VALUE!</v>
      </c>
      <c r="D1156" s="20" t="str">
        <f>IF('DDF Original'!C1156="","",'DDF Original'!C1156)</f>
        <v/>
      </c>
      <c r="E1156" s="24" t="str">
        <f>IF('DDF Original'!B1156="","",IF(TRIM('DDF Original'!I1156)="",0,'DDF Original'!I1156))</f>
        <v/>
      </c>
      <c r="F1156" s="20" t="str">
        <f t="shared" si="127"/>
        <v/>
      </c>
      <c r="G1156" s="37" t="str">
        <f>IF('DDF Original'!B1156="","",IF(TRIM('DDF Original'!P1156)="",0,'DDF Original'!P1156))</f>
        <v/>
      </c>
      <c r="H1156" s="20" t="str">
        <f t="shared" si="128"/>
        <v/>
      </c>
      <c r="I1156" s="25" t="str">
        <f t="shared" si="129"/>
        <v/>
      </c>
      <c r="J1156" s="20" t="str">
        <f t="shared" si="130"/>
        <v/>
      </c>
      <c r="K1156" s="20" t="str">
        <f t="shared" si="131"/>
        <v/>
      </c>
      <c r="L1156" s="20" t="str">
        <f>IF(B1156="","",70*'DDF Original'!$Q$4)</f>
        <v/>
      </c>
      <c r="M1156" s="20" t="str">
        <f t="shared" si="132"/>
        <v/>
      </c>
      <c r="N1156" s="20" t="str">
        <f>IF(AND(OR(B1156="",J1156&gt;G1156,M1156&gt;G1156),'DDF Original'!L1156&lt;&gt; "MI"),G1156,IF(M1156&gt;J1156,M1156,J1156))</f>
        <v/>
      </c>
    </row>
    <row r="1157" spans="2:14" x14ac:dyDescent="0.2">
      <c r="B1157" s="19" t="str">
        <f>IF('DDF Original'!B1157="","",'DDF Original'!B1157)</f>
        <v/>
      </c>
      <c r="C1157" s="19" t="e">
        <f t="shared" si="126"/>
        <v>#VALUE!</v>
      </c>
      <c r="D1157" s="20" t="str">
        <f>IF('DDF Original'!C1157="","",'DDF Original'!C1157)</f>
        <v/>
      </c>
      <c r="E1157" s="24" t="str">
        <f>IF('DDF Original'!B1157="","",IF(TRIM('DDF Original'!I1157)="",0,'DDF Original'!I1157))</f>
        <v/>
      </c>
      <c r="F1157" s="20" t="str">
        <f t="shared" si="127"/>
        <v/>
      </c>
      <c r="G1157" s="37" t="str">
        <f>IF('DDF Original'!B1157="","",IF(TRIM('DDF Original'!P1157)="",0,'DDF Original'!P1157))</f>
        <v/>
      </c>
      <c r="H1157" s="20" t="str">
        <f t="shared" si="128"/>
        <v/>
      </c>
      <c r="I1157" s="25" t="str">
        <f t="shared" si="129"/>
        <v/>
      </c>
      <c r="J1157" s="20" t="str">
        <f t="shared" si="130"/>
        <v/>
      </c>
      <c r="K1157" s="20" t="str">
        <f t="shared" si="131"/>
        <v/>
      </c>
      <c r="L1157" s="20" t="str">
        <f>IF(B1157="","",70*'DDF Original'!$Q$4)</f>
        <v/>
      </c>
      <c r="M1157" s="20" t="str">
        <f t="shared" si="132"/>
        <v/>
      </c>
      <c r="N1157" s="20" t="str">
        <f>IF(AND(OR(B1157="",J1157&gt;G1157,M1157&gt;G1157),'DDF Original'!L1157&lt;&gt; "MI"),G1157,IF(M1157&gt;J1157,M1157,J1157))</f>
        <v/>
      </c>
    </row>
    <row r="1158" spans="2:14" x14ac:dyDescent="0.2">
      <c r="B1158" s="19" t="str">
        <f>IF('DDF Original'!B1158="","",'DDF Original'!B1158)</f>
        <v/>
      </c>
      <c r="C1158" s="19" t="e">
        <f t="shared" si="126"/>
        <v>#VALUE!</v>
      </c>
      <c r="D1158" s="20" t="str">
        <f>IF('DDF Original'!C1158="","",'DDF Original'!C1158)</f>
        <v/>
      </c>
      <c r="E1158" s="24" t="str">
        <f>IF('DDF Original'!B1158="","",IF(TRIM('DDF Original'!I1158)="",0,'DDF Original'!I1158))</f>
        <v/>
      </c>
      <c r="F1158" s="20" t="str">
        <f t="shared" si="127"/>
        <v/>
      </c>
      <c r="G1158" s="37" t="str">
        <f>IF('DDF Original'!B1158="","",IF(TRIM('DDF Original'!P1158)="",0,'DDF Original'!P1158))</f>
        <v/>
      </c>
      <c r="H1158" s="20" t="str">
        <f t="shared" si="128"/>
        <v/>
      </c>
      <c r="I1158" s="25" t="str">
        <f t="shared" si="129"/>
        <v/>
      </c>
      <c r="J1158" s="20" t="str">
        <f t="shared" si="130"/>
        <v/>
      </c>
      <c r="K1158" s="20" t="str">
        <f t="shared" si="131"/>
        <v/>
      </c>
      <c r="L1158" s="20" t="str">
        <f>IF(B1158="","",70*'DDF Original'!$Q$4)</f>
        <v/>
      </c>
      <c r="M1158" s="20" t="str">
        <f t="shared" si="132"/>
        <v/>
      </c>
      <c r="N1158" s="20" t="str">
        <f>IF(AND(OR(B1158="",J1158&gt;G1158,M1158&gt;G1158),'DDF Original'!L1158&lt;&gt; "MI"),G1158,IF(M1158&gt;J1158,M1158,J1158))</f>
        <v/>
      </c>
    </row>
    <row r="1159" spans="2:14" x14ac:dyDescent="0.2">
      <c r="B1159" s="19" t="str">
        <f>IF('DDF Original'!B1159="","",'DDF Original'!B1159)</f>
        <v/>
      </c>
      <c r="C1159" s="19" t="e">
        <f t="shared" si="126"/>
        <v>#VALUE!</v>
      </c>
      <c r="D1159" s="20" t="str">
        <f>IF('DDF Original'!C1159="","",'DDF Original'!C1159)</f>
        <v/>
      </c>
      <c r="E1159" s="24" t="str">
        <f>IF('DDF Original'!B1159="","",IF(TRIM('DDF Original'!I1159)="",0,'DDF Original'!I1159))</f>
        <v/>
      </c>
      <c r="F1159" s="20" t="str">
        <f t="shared" si="127"/>
        <v/>
      </c>
      <c r="G1159" s="37" t="str">
        <f>IF('DDF Original'!B1159="","",IF(TRIM('DDF Original'!P1159)="",0,'DDF Original'!P1159))</f>
        <v/>
      </c>
      <c r="H1159" s="20" t="str">
        <f t="shared" si="128"/>
        <v/>
      </c>
      <c r="I1159" s="25" t="str">
        <f t="shared" si="129"/>
        <v/>
      </c>
      <c r="J1159" s="20" t="str">
        <f t="shared" si="130"/>
        <v/>
      </c>
      <c r="K1159" s="20" t="str">
        <f t="shared" si="131"/>
        <v/>
      </c>
      <c r="L1159" s="20" t="str">
        <f>IF(B1159="","",70*'DDF Original'!$Q$4)</f>
        <v/>
      </c>
      <c r="M1159" s="20" t="str">
        <f t="shared" si="132"/>
        <v/>
      </c>
      <c r="N1159" s="20" t="str">
        <f>IF(AND(OR(B1159="",J1159&gt;G1159,M1159&gt;G1159),'DDF Original'!L1159&lt;&gt; "MI"),G1159,IF(M1159&gt;J1159,M1159,J1159))</f>
        <v/>
      </c>
    </row>
    <row r="1160" spans="2:14" x14ac:dyDescent="0.2">
      <c r="B1160" s="19" t="str">
        <f>IF('DDF Original'!B1160="","",'DDF Original'!B1160)</f>
        <v/>
      </c>
      <c r="C1160" s="19" t="e">
        <f t="shared" si="126"/>
        <v>#VALUE!</v>
      </c>
      <c r="D1160" s="20" t="str">
        <f>IF('DDF Original'!C1160="","",'DDF Original'!C1160)</f>
        <v/>
      </c>
      <c r="E1160" s="24" t="str">
        <f>IF('DDF Original'!B1160="","",IF(TRIM('DDF Original'!I1160)="",0,'DDF Original'!I1160))</f>
        <v/>
      </c>
      <c r="F1160" s="20" t="str">
        <f t="shared" si="127"/>
        <v/>
      </c>
      <c r="G1160" s="37" t="str">
        <f>IF('DDF Original'!B1160="","",IF(TRIM('DDF Original'!P1160)="",0,'DDF Original'!P1160))</f>
        <v/>
      </c>
      <c r="H1160" s="20" t="str">
        <f t="shared" si="128"/>
        <v/>
      </c>
      <c r="I1160" s="25" t="str">
        <f t="shared" si="129"/>
        <v/>
      </c>
      <c r="J1160" s="20" t="str">
        <f t="shared" si="130"/>
        <v/>
      </c>
      <c r="K1160" s="20" t="str">
        <f t="shared" si="131"/>
        <v/>
      </c>
      <c r="L1160" s="20" t="str">
        <f>IF(B1160="","",70*'DDF Original'!$Q$4)</f>
        <v/>
      </c>
      <c r="M1160" s="20" t="str">
        <f t="shared" si="132"/>
        <v/>
      </c>
      <c r="N1160" s="20" t="str">
        <f>IF(AND(OR(B1160="",J1160&gt;G1160,M1160&gt;G1160),'DDF Original'!L1160&lt;&gt; "MI"),G1160,IF(M1160&gt;J1160,M1160,J1160))</f>
        <v/>
      </c>
    </row>
    <row r="1161" spans="2:14" x14ac:dyDescent="0.2">
      <c r="B1161" s="19" t="str">
        <f>IF('DDF Original'!B1161="","",'DDF Original'!B1161)</f>
        <v/>
      </c>
      <c r="C1161" s="19" t="e">
        <f t="shared" si="126"/>
        <v>#VALUE!</v>
      </c>
      <c r="D1161" s="20" t="str">
        <f>IF('DDF Original'!C1161="","",'DDF Original'!C1161)</f>
        <v/>
      </c>
      <c r="E1161" s="24" t="str">
        <f>IF('DDF Original'!B1161="","",IF(TRIM('DDF Original'!I1161)="",0,'DDF Original'!I1161))</f>
        <v/>
      </c>
      <c r="F1161" s="20" t="str">
        <f t="shared" si="127"/>
        <v/>
      </c>
      <c r="G1161" s="37" t="str">
        <f>IF('DDF Original'!B1161="","",IF(TRIM('DDF Original'!P1161)="",0,'DDF Original'!P1161))</f>
        <v/>
      </c>
      <c r="H1161" s="20" t="str">
        <f t="shared" si="128"/>
        <v/>
      </c>
      <c r="I1161" s="25" t="str">
        <f t="shared" si="129"/>
        <v/>
      </c>
      <c r="J1161" s="20" t="str">
        <f t="shared" si="130"/>
        <v/>
      </c>
      <c r="K1161" s="20" t="str">
        <f t="shared" si="131"/>
        <v/>
      </c>
      <c r="L1161" s="20" t="str">
        <f>IF(B1161="","",70*'DDF Original'!$Q$4)</f>
        <v/>
      </c>
      <c r="M1161" s="20" t="str">
        <f t="shared" si="132"/>
        <v/>
      </c>
      <c r="N1161" s="20" t="str">
        <f>IF(AND(OR(B1161="",J1161&gt;G1161,M1161&gt;G1161),'DDF Original'!L1161&lt;&gt; "MI"),G1161,IF(M1161&gt;J1161,M1161,J1161))</f>
        <v/>
      </c>
    </row>
    <row r="1162" spans="2:14" x14ac:dyDescent="0.2">
      <c r="B1162" s="19" t="str">
        <f>IF('DDF Original'!B1162="","",'DDF Original'!B1162)</f>
        <v/>
      </c>
      <c r="C1162" s="19" t="e">
        <f t="shared" si="126"/>
        <v>#VALUE!</v>
      </c>
      <c r="D1162" s="20" t="str">
        <f>IF('DDF Original'!C1162="","",'DDF Original'!C1162)</f>
        <v/>
      </c>
      <c r="E1162" s="24" t="str">
        <f>IF('DDF Original'!B1162="","",IF(TRIM('DDF Original'!I1162)="",0,'DDF Original'!I1162))</f>
        <v/>
      </c>
      <c r="F1162" s="20" t="str">
        <f t="shared" si="127"/>
        <v/>
      </c>
      <c r="G1162" s="37" t="str">
        <f>IF('DDF Original'!B1162="","",IF(TRIM('DDF Original'!P1162)="",0,'DDF Original'!P1162))</f>
        <v/>
      </c>
      <c r="H1162" s="20" t="str">
        <f t="shared" si="128"/>
        <v/>
      </c>
      <c r="I1162" s="25" t="str">
        <f t="shared" si="129"/>
        <v/>
      </c>
      <c r="J1162" s="20" t="str">
        <f t="shared" si="130"/>
        <v/>
      </c>
      <c r="K1162" s="20" t="str">
        <f t="shared" si="131"/>
        <v/>
      </c>
      <c r="L1162" s="20" t="str">
        <f>IF(B1162="","",70*'DDF Original'!$Q$4)</f>
        <v/>
      </c>
      <c r="M1162" s="20" t="str">
        <f t="shared" si="132"/>
        <v/>
      </c>
      <c r="N1162" s="20" t="str">
        <f>IF(AND(OR(B1162="",J1162&gt;G1162,M1162&gt;G1162),'DDF Original'!L1162&lt;&gt; "MI"),G1162,IF(M1162&gt;J1162,M1162,J1162))</f>
        <v/>
      </c>
    </row>
    <row r="1163" spans="2:14" x14ac:dyDescent="0.2">
      <c r="B1163" s="19" t="str">
        <f>IF('DDF Original'!B1163="","",'DDF Original'!B1163)</f>
        <v/>
      </c>
      <c r="C1163" s="19" t="e">
        <f t="shared" si="126"/>
        <v>#VALUE!</v>
      </c>
      <c r="D1163" s="20" t="str">
        <f>IF('DDF Original'!C1163="","",'DDF Original'!C1163)</f>
        <v/>
      </c>
      <c r="E1163" s="24" t="str">
        <f>IF('DDF Original'!B1163="","",IF(TRIM('DDF Original'!I1163)="",0,'DDF Original'!I1163))</f>
        <v/>
      </c>
      <c r="F1163" s="20" t="str">
        <f t="shared" si="127"/>
        <v/>
      </c>
      <c r="G1163" s="37" t="str">
        <f>IF('DDF Original'!B1163="","",IF(TRIM('DDF Original'!P1163)="",0,'DDF Original'!P1163))</f>
        <v/>
      </c>
      <c r="H1163" s="20" t="str">
        <f t="shared" si="128"/>
        <v/>
      </c>
      <c r="I1163" s="25" t="str">
        <f t="shared" si="129"/>
        <v/>
      </c>
      <c r="J1163" s="20" t="str">
        <f t="shared" si="130"/>
        <v/>
      </c>
      <c r="K1163" s="20" t="str">
        <f t="shared" si="131"/>
        <v/>
      </c>
      <c r="L1163" s="20" t="str">
        <f>IF(B1163="","",70*'DDF Original'!$Q$4)</f>
        <v/>
      </c>
      <c r="M1163" s="20" t="str">
        <f t="shared" si="132"/>
        <v/>
      </c>
      <c r="N1163" s="20" t="str">
        <f>IF(AND(OR(B1163="",J1163&gt;G1163,M1163&gt;G1163),'DDF Original'!L1163&lt;&gt; "MI"),G1163,IF(M1163&gt;J1163,M1163,J1163))</f>
        <v/>
      </c>
    </row>
    <row r="1164" spans="2:14" x14ac:dyDescent="0.2">
      <c r="B1164" s="19" t="str">
        <f>IF('DDF Original'!B1164="","",'DDF Original'!B1164)</f>
        <v/>
      </c>
      <c r="C1164" s="19" t="e">
        <f t="shared" si="126"/>
        <v>#VALUE!</v>
      </c>
      <c r="D1164" s="20" t="str">
        <f>IF('DDF Original'!C1164="","",'DDF Original'!C1164)</f>
        <v/>
      </c>
      <c r="E1164" s="24" t="str">
        <f>IF('DDF Original'!B1164="","",IF(TRIM('DDF Original'!I1164)="",0,'DDF Original'!I1164))</f>
        <v/>
      </c>
      <c r="F1164" s="20" t="str">
        <f t="shared" si="127"/>
        <v/>
      </c>
      <c r="G1164" s="37" t="str">
        <f>IF('DDF Original'!B1164="","",IF(TRIM('DDF Original'!P1164)="",0,'DDF Original'!P1164))</f>
        <v/>
      </c>
      <c r="H1164" s="20" t="str">
        <f t="shared" si="128"/>
        <v/>
      </c>
      <c r="I1164" s="25" t="str">
        <f t="shared" si="129"/>
        <v/>
      </c>
      <c r="J1164" s="20" t="str">
        <f t="shared" si="130"/>
        <v/>
      </c>
      <c r="K1164" s="20" t="str">
        <f t="shared" si="131"/>
        <v/>
      </c>
      <c r="L1164" s="20" t="str">
        <f>IF(B1164="","",70*'DDF Original'!$Q$4)</f>
        <v/>
      </c>
      <c r="M1164" s="20" t="str">
        <f t="shared" si="132"/>
        <v/>
      </c>
      <c r="N1164" s="20" t="str">
        <f>IF(AND(OR(B1164="",J1164&gt;G1164,M1164&gt;G1164),'DDF Original'!L1164&lt;&gt; "MI"),G1164,IF(M1164&gt;J1164,M1164,J1164))</f>
        <v/>
      </c>
    </row>
    <row r="1165" spans="2:14" x14ac:dyDescent="0.2">
      <c r="B1165" s="19" t="str">
        <f>IF('DDF Original'!B1165="","",'DDF Original'!B1165)</f>
        <v/>
      </c>
      <c r="C1165" s="19" t="e">
        <f t="shared" si="126"/>
        <v>#VALUE!</v>
      </c>
      <c r="D1165" s="20" t="str">
        <f>IF('DDF Original'!C1165="","",'DDF Original'!C1165)</f>
        <v/>
      </c>
      <c r="E1165" s="24" t="str">
        <f>IF('DDF Original'!B1165="","",IF(TRIM('DDF Original'!I1165)="",0,'DDF Original'!I1165))</f>
        <v/>
      </c>
      <c r="F1165" s="20" t="str">
        <f t="shared" si="127"/>
        <v/>
      </c>
      <c r="G1165" s="37" t="str">
        <f>IF('DDF Original'!B1165="","",IF(TRIM('DDF Original'!P1165)="",0,'DDF Original'!P1165))</f>
        <v/>
      </c>
      <c r="H1165" s="20" t="str">
        <f t="shared" si="128"/>
        <v/>
      </c>
      <c r="I1165" s="25" t="str">
        <f t="shared" si="129"/>
        <v/>
      </c>
      <c r="J1165" s="20" t="str">
        <f t="shared" si="130"/>
        <v/>
      </c>
      <c r="K1165" s="20" t="str">
        <f t="shared" si="131"/>
        <v/>
      </c>
      <c r="L1165" s="20" t="str">
        <f>IF(B1165="","",70*'DDF Original'!$Q$4)</f>
        <v/>
      </c>
      <c r="M1165" s="20" t="str">
        <f t="shared" si="132"/>
        <v/>
      </c>
      <c r="N1165" s="20" t="str">
        <f>IF(AND(OR(B1165="",J1165&gt;G1165,M1165&gt;G1165),'DDF Original'!L1165&lt;&gt; "MI"),G1165,IF(M1165&gt;J1165,M1165,J1165))</f>
        <v/>
      </c>
    </row>
    <row r="1166" spans="2:14" x14ac:dyDescent="0.2">
      <c r="B1166" s="19" t="str">
        <f>IF('DDF Original'!B1166="","",'DDF Original'!B1166)</f>
        <v/>
      </c>
      <c r="C1166" s="19" t="e">
        <f t="shared" si="126"/>
        <v>#VALUE!</v>
      </c>
      <c r="D1166" s="20" t="str">
        <f>IF('DDF Original'!C1166="","",'DDF Original'!C1166)</f>
        <v/>
      </c>
      <c r="E1166" s="24" t="str">
        <f>IF('DDF Original'!B1166="","",IF(TRIM('DDF Original'!I1166)="",0,'DDF Original'!I1166))</f>
        <v/>
      </c>
      <c r="F1166" s="20" t="str">
        <f t="shared" si="127"/>
        <v/>
      </c>
      <c r="G1166" s="37" t="str">
        <f>IF('DDF Original'!B1166="","",IF(TRIM('DDF Original'!P1166)="",0,'DDF Original'!P1166))</f>
        <v/>
      </c>
      <c r="H1166" s="20" t="str">
        <f t="shared" si="128"/>
        <v/>
      </c>
      <c r="I1166" s="25" t="str">
        <f t="shared" si="129"/>
        <v/>
      </c>
      <c r="J1166" s="20" t="str">
        <f t="shared" si="130"/>
        <v/>
      </c>
      <c r="K1166" s="20" t="str">
        <f t="shared" si="131"/>
        <v/>
      </c>
      <c r="L1166" s="20" t="str">
        <f>IF(B1166="","",70*'DDF Original'!$Q$4)</f>
        <v/>
      </c>
      <c r="M1166" s="20" t="str">
        <f t="shared" si="132"/>
        <v/>
      </c>
      <c r="N1166" s="20" t="str">
        <f>IF(AND(OR(B1166="",J1166&gt;G1166,M1166&gt;G1166),'DDF Original'!L1166&lt;&gt; "MI"),G1166,IF(M1166&gt;J1166,M1166,J1166))</f>
        <v/>
      </c>
    </row>
    <row r="1167" spans="2:14" x14ac:dyDescent="0.2">
      <c r="B1167" s="19" t="str">
        <f>IF('DDF Original'!B1167="","",'DDF Original'!B1167)</f>
        <v/>
      </c>
      <c r="C1167" s="19" t="e">
        <f t="shared" si="126"/>
        <v>#VALUE!</v>
      </c>
      <c r="D1167" s="20" t="str">
        <f>IF('DDF Original'!C1167="","",'DDF Original'!C1167)</f>
        <v/>
      </c>
      <c r="E1167" s="24" t="str">
        <f>IF('DDF Original'!B1167="","",IF(TRIM('DDF Original'!I1167)="",0,'DDF Original'!I1167))</f>
        <v/>
      </c>
      <c r="F1167" s="20" t="str">
        <f t="shared" si="127"/>
        <v/>
      </c>
      <c r="G1167" s="37" t="str">
        <f>IF('DDF Original'!B1167="","",IF(TRIM('DDF Original'!P1167)="",0,'DDF Original'!P1167))</f>
        <v/>
      </c>
      <c r="H1167" s="20" t="str">
        <f t="shared" si="128"/>
        <v/>
      </c>
      <c r="I1167" s="25" t="str">
        <f t="shared" si="129"/>
        <v/>
      </c>
      <c r="J1167" s="20" t="str">
        <f t="shared" si="130"/>
        <v/>
      </c>
      <c r="K1167" s="20" t="str">
        <f t="shared" si="131"/>
        <v/>
      </c>
      <c r="L1167" s="20" t="str">
        <f>IF(B1167="","",70*'DDF Original'!$Q$4)</f>
        <v/>
      </c>
      <c r="M1167" s="20" t="str">
        <f t="shared" si="132"/>
        <v/>
      </c>
      <c r="N1167" s="20" t="str">
        <f>IF(AND(OR(B1167="",J1167&gt;G1167,M1167&gt;G1167),'DDF Original'!L1167&lt;&gt; "MI"),G1167,IF(M1167&gt;J1167,M1167,J1167))</f>
        <v/>
      </c>
    </row>
    <row r="1168" spans="2:14" x14ac:dyDescent="0.2">
      <c r="B1168" s="19" t="str">
        <f>IF('DDF Original'!B1168="","",'DDF Original'!B1168)</f>
        <v/>
      </c>
      <c r="C1168" s="19" t="e">
        <f t="shared" si="126"/>
        <v>#VALUE!</v>
      </c>
      <c r="D1168" s="20" t="str">
        <f>IF('DDF Original'!C1168="","",'DDF Original'!C1168)</f>
        <v/>
      </c>
      <c r="E1168" s="24" t="str">
        <f>IF('DDF Original'!B1168="","",IF(TRIM('DDF Original'!I1168)="",0,'DDF Original'!I1168))</f>
        <v/>
      </c>
      <c r="F1168" s="20" t="str">
        <f t="shared" si="127"/>
        <v/>
      </c>
      <c r="G1168" s="37" t="str">
        <f>IF('DDF Original'!B1168="","",IF(TRIM('DDF Original'!P1168)="",0,'DDF Original'!P1168))</f>
        <v/>
      </c>
      <c r="H1168" s="20" t="str">
        <f t="shared" si="128"/>
        <v/>
      </c>
      <c r="I1168" s="25" t="str">
        <f t="shared" si="129"/>
        <v/>
      </c>
      <c r="J1168" s="20" t="str">
        <f t="shared" si="130"/>
        <v/>
      </c>
      <c r="K1168" s="20" t="str">
        <f t="shared" si="131"/>
        <v/>
      </c>
      <c r="L1168" s="20" t="str">
        <f>IF(B1168="","",70*'DDF Original'!$Q$4)</f>
        <v/>
      </c>
      <c r="M1168" s="20" t="str">
        <f t="shared" si="132"/>
        <v/>
      </c>
      <c r="N1168" s="20" t="str">
        <f>IF(AND(OR(B1168="",J1168&gt;G1168,M1168&gt;G1168),'DDF Original'!L1168&lt;&gt; "MI"),G1168,IF(M1168&gt;J1168,M1168,J1168))</f>
        <v/>
      </c>
    </row>
    <row r="1169" spans="2:14" x14ac:dyDescent="0.2">
      <c r="B1169" s="19" t="str">
        <f>IF('DDF Original'!B1169="","",'DDF Original'!B1169)</f>
        <v/>
      </c>
      <c r="C1169" s="19" t="e">
        <f t="shared" si="126"/>
        <v>#VALUE!</v>
      </c>
      <c r="D1169" s="20" t="str">
        <f>IF('DDF Original'!C1169="","",'DDF Original'!C1169)</f>
        <v/>
      </c>
      <c r="E1169" s="24" t="str">
        <f>IF('DDF Original'!B1169="","",IF(TRIM('DDF Original'!I1169)="",0,'DDF Original'!I1169))</f>
        <v/>
      </c>
      <c r="F1169" s="20" t="str">
        <f t="shared" si="127"/>
        <v/>
      </c>
      <c r="G1169" s="37" t="str">
        <f>IF('DDF Original'!B1169="","",IF(TRIM('DDF Original'!P1169)="",0,'DDF Original'!P1169))</f>
        <v/>
      </c>
      <c r="H1169" s="20" t="str">
        <f t="shared" si="128"/>
        <v/>
      </c>
      <c r="I1169" s="25" t="str">
        <f t="shared" si="129"/>
        <v/>
      </c>
      <c r="J1169" s="20" t="str">
        <f t="shared" si="130"/>
        <v/>
      </c>
      <c r="K1169" s="20" t="str">
        <f t="shared" si="131"/>
        <v/>
      </c>
      <c r="L1169" s="20" t="str">
        <f>IF(B1169="","",70*'DDF Original'!$Q$4)</f>
        <v/>
      </c>
      <c r="M1169" s="20" t="str">
        <f t="shared" si="132"/>
        <v/>
      </c>
      <c r="N1169" s="20" t="str">
        <f>IF(AND(OR(B1169="",J1169&gt;G1169,M1169&gt;G1169),'DDF Original'!L1169&lt;&gt; "MI"),G1169,IF(M1169&gt;J1169,M1169,J1169))</f>
        <v/>
      </c>
    </row>
    <row r="1170" spans="2:14" x14ac:dyDescent="0.2">
      <c r="B1170" s="19" t="str">
        <f>IF('DDF Original'!B1170="","",'DDF Original'!B1170)</f>
        <v/>
      </c>
      <c r="C1170" s="19" t="e">
        <f t="shared" si="126"/>
        <v>#VALUE!</v>
      </c>
      <c r="D1170" s="20" t="str">
        <f>IF('DDF Original'!C1170="","",'DDF Original'!C1170)</f>
        <v/>
      </c>
      <c r="E1170" s="24" t="str">
        <f>IF('DDF Original'!B1170="","",IF(TRIM('DDF Original'!I1170)="",0,'DDF Original'!I1170))</f>
        <v/>
      </c>
      <c r="F1170" s="20" t="str">
        <f t="shared" si="127"/>
        <v/>
      </c>
      <c r="G1170" s="37" t="str">
        <f>IF('DDF Original'!B1170="","",IF(TRIM('DDF Original'!P1170)="",0,'DDF Original'!P1170))</f>
        <v/>
      </c>
      <c r="H1170" s="20" t="str">
        <f t="shared" si="128"/>
        <v/>
      </c>
      <c r="I1170" s="25" t="str">
        <f t="shared" si="129"/>
        <v/>
      </c>
      <c r="J1170" s="20" t="str">
        <f t="shared" si="130"/>
        <v/>
      </c>
      <c r="K1170" s="20" t="str">
        <f t="shared" si="131"/>
        <v/>
      </c>
      <c r="L1170" s="20" t="str">
        <f>IF(B1170="","",70*'DDF Original'!$Q$4)</f>
        <v/>
      </c>
      <c r="M1170" s="20" t="str">
        <f t="shared" si="132"/>
        <v/>
      </c>
      <c r="N1170" s="20" t="str">
        <f>IF(AND(OR(B1170="",J1170&gt;G1170,M1170&gt;G1170),'DDF Original'!L1170&lt;&gt; "MI"),G1170,IF(M1170&gt;J1170,M1170,J1170))</f>
        <v/>
      </c>
    </row>
    <row r="1171" spans="2:14" x14ac:dyDescent="0.2">
      <c r="B1171" s="19" t="str">
        <f>IF('DDF Original'!B1171="","",'DDF Original'!B1171)</f>
        <v/>
      </c>
      <c r="C1171" s="19" t="e">
        <f t="shared" si="126"/>
        <v>#VALUE!</v>
      </c>
      <c r="D1171" s="20" t="str">
        <f>IF('DDF Original'!C1171="","",'DDF Original'!C1171)</f>
        <v/>
      </c>
      <c r="E1171" s="24" t="str">
        <f>IF('DDF Original'!B1171="","",IF(TRIM('DDF Original'!I1171)="",0,'DDF Original'!I1171))</f>
        <v/>
      </c>
      <c r="F1171" s="20" t="str">
        <f t="shared" si="127"/>
        <v/>
      </c>
      <c r="G1171" s="37" t="str">
        <f>IF('DDF Original'!B1171="","",IF(TRIM('DDF Original'!P1171)="",0,'DDF Original'!P1171))</f>
        <v/>
      </c>
      <c r="H1171" s="20" t="str">
        <f t="shared" si="128"/>
        <v/>
      </c>
      <c r="I1171" s="25" t="str">
        <f t="shared" si="129"/>
        <v/>
      </c>
      <c r="J1171" s="20" t="str">
        <f t="shared" si="130"/>
        <v/>
      </c>
      <c r="K1171" s="20" t="str">
        <f t="shared" si="131"/>
        <v/>
      </c>
      <c r="L1171" s="20" t="str">
        <f>IF(B1171="","",70*'DDF Original'!$Q$4)</f>
        <v/>
      </c>
      <c r="M1171" s="20" t="str">
        <f t="shared" si="132"/>
        <v/>
      </c>
      <c r="N1171" s="20" t="str">
        <f>IF(AND(OR(B1171="",J1171&gt;G1171,M1171&gt;G1171),'DDF Original'!L1171&lt;&gt; "MI"),G1171,IF(M1171&gt;J1171,M1171,J1171))</f>
        <v/>
      </c>
    </row>
    <row r="1172" spans="2:14" x14ac:dyDescent="0.2">
      <c r="B1172" s="19" t="str">
        <f>IF('DDF Original'!B1172="","",'DDF Original'!B1172)</f>
        <v/>
      </c>
      <c r="C1172" s="19" t="e">
        <f t="shared" si="126"/>
        <v>#VALUE!</v>
      </c>
      <c r="D1172" s="20" t="str">
        <f>IF('DDF Original'!C1172="","",'DDF Original'!C1172)</f>
        <v/>
      </c>
      <c r="E1172" s="24" t="str">
        <f>IF('DDF Original'!B1172="","",IF(TRIM('DDF Original'!I1172)="",0,'DDF Original'!I1172))</f>
        <v/>
      </c>
      <c r="F1172" s="20" t="str">
        <f t="shared" si="127"/>
        <v/>
      </c>
      <c r="G1172" s="37" t="str">
        <f>IF('DDF Original'!B1172="","",IF(TRIM('DDF Original'!P1172)="",0,'DDF Original'!P1172))</f>
        <v/>
      </c>
      <c r="H1172" s="20" t="str">
        <f t="shared" si="128"/>
        <v/>
      </c>
      <c r="I1172" s="25" t="str">
        <f t="shared" si="129"/>
        <v/>
      </c>
      <c r="J1172" s="20" t="str">
        <f t="shared" si="130"/>
        <v/>
      </c>
      <c r="K1172" s="20" t="str">
        <f t="shared" si="131"/>
        <v/>
      </c>
      <c r="L1172" s="20" t="str">
        <f>IF(B1172="","",70*'DDF Original'!$Q$4)</f>
        <v/>
      </c>
      <c r="M1172" s="20" t="str">
        <f t="shared" si="132"/>
        <v/>
      </c>
      <c r="N1172" s="20" t="str">
        <f>IF(AND(OR(B1172="",J1172&gt;G1172,M1172&gt;G1172),'DDF Original'!L1172&lt;&gt; "MI"),G1172,IF(M1172&gt;J1172,M1172,J1172))</f>
        <v/>
      </c>
    </row>
    <row r="1173" spans="2:14" x14ac:dyDescent="0.2">
      <c r="B1173" s="19" t="str">
        <f>IF('DDF Original'!B1173="","",'DDF Original'!B1173)</f>
        <v/>
      </c>
      <c r="C1173" s="19" t="e">
        <f t="shared" si="126"/>
        <v>#VALUE!</v>
      </c>
      <c r="D1173" s="20" t="str">
        <f>IF('DDF Original'!C1173="","",'DDF Original'!C1173)</f>
        <v/>
      </c>
      <c r="E1173" s="24" t="str">
        <f>IF('DDF Original'!B1173="","",IF(TRIM('DDF Original'!I1173)="",0,'DDF Original'!I1173))</f>
        <v/>
      </c>
      <c r="F1173" s="20" t="str">
        <f t="shared" si="127"/>
        <v/>
      </c>
      <c r="G1173" s="37" t="str">
        <f>IF('DDF Original'!B1173="","",IF(TRIM('DDF Original'!P1173)="",0,'DDF Original'!P1173))</f>
        <v/>
      </c>
      <c r="H1173" s="20" t="str">
        <f t="shared" si="128"/>
        <v/>
      </c>
      <c r="I1173" s="25" t="str">
        <f t="shared" si="129"/>
        <v/>
      </c>
      <c r="J1173" s="20" t="str">
        <f t="shared" si="130"/>
        <v/>
      </c>
      <c r="K1173" s="20" t="str">
        <f t="shared" si="131"/>
        <v/>
      </c>
      <c r="L1173" s="20" t="str">
        <f>IF(B1173="","",70*'DDF Original'!$Q$4)</f>
        <v/>
      </c>
      <c r="M1173" s="20" t="str">
        <f t="shared" si="132"/>
        <v/>
      </c>
      <c r="N1173" s="20" t="str">
        <f>IF(AND(OR(B1173="",J1173&gt;G1173,M1173&gt;G1173),'DDF Original'!L1173&lt;&gt; "MI"),G1173,IF(M1173&gt;J1173,M1173,J1173))</f>
        <v/>
      </c>
    </row>
    <row r="1174" spans="2:14" x14ac:dyDescent="0.2">
      <c r="B1174" s="19" t="str">
        <f>IF('DDF Original'!B1174="","",'DDF Original'!B1174)</f>
        <v/>
      </c>
      <c r="C1174" s="19" t="e">
        <f t="shared" si="126"/>
        <v>#VALUE!</v>
      </c>
      <c r="D1174" s="20" t="str">
        <f>IF('DDF Original'!C1174="","",'DDF Original'!C1174)</f>
        <v/>
      </c>
      <c r="E1174" s="24" t="str">
        <f>IF('DDF Original'!B1174="","",IF(TRIM('DDF Original'!I1174)="",0,'DDF Original'!I1174))</f>
        <v/>
      </c>
      <c r="F1174" s="20" t="str">
        <f t="shared" si="127"/>
        <v/>
      </c>
      <c r="G1174" s="37" t="str">
        <f>IF('DDF Original'!B1174="","",IF(TRIM('DDF Original'!P1174)="",0,'DDF Original'!P1174))</f>
        <v/>
      </c>
      <c r="H1174" s="20" t="str">
        <f t="shared" si="128"/>
        <v/>
      </c>
      <c r="I1174" s="25" t="str">
        <f t="shared" si="129"/>
        <v/>
      </c>
      <c r="J1174" s="20" t="str">
        <f t="shared" si="130"/>
        <v/>
      </c>
      <c r="K1174" s="20" t="str">
        <f t="shared" si="131"/>
        <v/>
      </c>
      <c r="L1174" s="20" t="str">
        <f>IF(B1174="","",70*'DDF Original'!$Q$4)</f>
        <v/>
      </c>
      <c r="M1174" s="20" t="str">
        <f t="shared" si="132"/>
        <v/>
      </c>
      <c r="N1174" s="20" t="str">
        <f>IF(AND(OR(B1174="",J1174&gt;G1174,M1174&gt;G1174),'DDF Original'!L1174&lt;&gt; "MI"),G1174,IF(M1174&gt;J1174,M1174,J1174))</f>
        <v/>
      </c>
    </row>
    <row r="1175" spans="2:14" x14ac:dyDescent="0.2">
      <c r="B1175" s="19" t="str">
        <f>IF('DDF Original'!B1175="","",'DDF Original'!B1175)</f>
        <v/>
      </c>
      <c r="C1175" s="19" t="e">
        <f t="shared" si="126"/>
        <v>#VALUE!</v>
      </c>
      <c r="D1175" s="20" t="str">
        <f>IF('DDF Original'!C1175="","",'DDF Original'!C1175)</f>
        <v/>
      </c>
      <c r="E1175" s="24" t="str">
        <f>IF('DDF Original'!B1175="","",IF(TRIM('DDF Original'!I1175)="",0,'DDF Original'!I1175))</f>
        <v/>
      </c>
      <c r="F1175" s="20" t="str">
        <f t="shared" si="127"/>
        <v/>
      </c>
      <c r="G1175" s="37" t="str">
        <f>IF('DDF Original'!B1175="","",IF(TRIM('DDF Original'!P1175)="",0,'DDF Original'!P1175))</f>
        <v/>
      </c>
      <c r="H1175" s="20" t="str">
        <f t="shared" si="128"/>
        <v/>
      </c>
      <c r="I1175" s="25" t="str">
        <f t="shared" si="129"/>
        <v/>
      </c>
      <c r="J1175" s="20" t="str">
        <f t="shared" si="130"/>
        <v/>
      </c>
      <c r="K1175" s="20" t="str">
        <f t="shared" si="131"/>
        <v/>
      </c>
      <c r="L1175" s="20" t="str">
        <f>IF(B1175="","",70*'DDF Original'!$Q$4)</f>
        <v/>
      </c>
      <c r="M1175" s="20" t="str">
        <f t="shared" si="132"/>
        <v/>
      </c>
      <c r="N1175" s="20" t="str">
        <f>IF(AND(OR(B1175="",J1175&gt;G1175,M1175&gt;G1175),'DDF Original'!L1175&lt;&gt; "MI"),G1175,IF(M1175&gt;J1175,M1175,J1175))</f>
        <v/>
      </c>
    </row>
    <row r="1176" spans="2:14" x14ac:dyDescent="0.2">
      <c r="B1176" s="19" t="str">
        <f>IF('DDF Original'!B1176="","",'DDF Original'!B1176)</f>
        <v/>
      </c>
      <c r="C1176" s="19" t="e">
        <f t="shared" si="126"/>
        <v>#VALUE!</v>
      </c>
      <c r="D1176" s="20" t="str">
        <f>IF('DDF Original'!C1176="","",'DDF Original'!C1176)</f>
        <v/>
      </c>
      <c r="E1176" s="24" t="str">
        <f>IF('DDF Original'!B1176="","",IF(TRIM('DDF Original'!I1176)="",0,'DDF Original'!I1176))</f>
        <v/>
      </c>
      <c r="F1176" s="20" t="str">
        <f t="shared" si="127"/>
        <v/>
      </c>
      <c r="G1176" s="37" t="str">
        <f>IF('DDF Original'!B1176="","",IF(TRIM('DDF Original'!P1176)="",0,'DDF Original'!P1176))</f>
        <v/>
      </c>
      <c r="H1176" s="20" t="str">
        <f t="shared" si="128"/>
        <v/>
      </c>
      <c r="I1176" s="25" t="str">
        <f t="shared" si="129"/>
        <v/>
      </c>
      <c r="J1176" s="20" t="str">
        <f t="shared" si="130"/>
        <v/>
      </c>
      <c r="K1176" s="20" t="str">
        <f t="shared" si="131"/>
        <v/>
      </c>
      <c r="L1176" s="20" t="str">
        <f>IF(B1176="","",70*'DDF Original'!$Q$4)</f>
        <v/>
      </c>
      <c r="M1176" s="20" t="str">
        <f t="shared" si="132"/>
        <v/>
      </c>
      <c r="N1176" s="20" t="str">
        <f>IF(AND(OR(B1176="",J1176&gt;G1176,M1176&gt;G1176),'DDF Original'!L1176&lt;&gt; "MI"),G1176,IF(M1176&gt;J1176,M1176,J1176))</f>
        <v/>
      </c>
    </row>
    <row r="1177" spans="2:14" x14ac:dyDescent="0.2">
      <c r="B1177" s="19" t="str">
        <f>IF('DDF Original'!B1177="","",'DDF Original'!B1177)</f>
        <v/>
      </c>
      <c r="C1177" s="19" t="e">
        <f t="shared" si="126"/>
        <v>#VALUE!</v>
      </c>
      <c r="D1177" s="20" t="str">
        <f>IF('DDF Original'!C1177="","",'DDF Original'!C1177)</f>
        <v/>
      </c>
      <c r="E1177" s="24" t="str">
        <f>IF('DDF Original'!B1177="","",IF(TRIM('DDF Original'!I1177)="",0,'DDF Original'!I1177))</f>
        <v/>
      </c>
      <c r="F1177" s="20" t="str">
        <f t="shared" si="127"/>
        <v/>
      </c>
      <c r="G1177" s="37" t="str">
        <f>IF('DDF Original'!B1177="","",IF(TRIM('DDF Original'!P1177)="",0,'DDF Original'!P1177))</f>
        <v/>
      </c>
      <c r="H1177" s="20" t="str">
        <f t="shared" si="128"/>
        <v/>
      </c>
      <c r="I1177" s="25" t="str">
        <f t="shared" si="129"/>
        <v/>
      </c>
      <c r="J1177" s="20" t="str">
        <f t="shared" si="130"/>
        <v/>
      </c>
      <c r="K1177" s="20" t="str">
        <f t="shared" si="131"/>
        <v/>
      </c>
      <c r="L1177" s="20" t="str">
        <f>IF(B1177="","",70*'DDF Original'!$Q$4)</f>
        <v/>
      </c>
      <c r="M1177" s="20" t="str">
        <f t="shared" si="132"/>
        <v/>
      </c>
      <c r="N1177" s="20" t="str">
        <f>IF(AND(OR(B1177="",J1177&gt;G1177,M1177&gt;G1177),'DDF Original'!L1177&lt;&gt; "MI"),G1177,IF(M1177&gt;J1177,M1177,J1177))</f>
        <v/>
      </c>
    </row>
    <row r="1178" spans="2:14" x14ac:dyDescent="0.2">
      <c r="B1178" s="19" t="str">
        <f>IF('DDF Original'!B1178="","",'DDF Original'!B1178)</f>
        <v/>
      </c>
      <c r="C1178" s="19" t="e">
        <f t="shared" si="126"/>
        <v>#VALUE!</v>
      </c>
      <c r="D1178" s="20" t="str">
        <f>IF('DDF Original'!C1178="","",'DDF Original'!C1178)</f>
        <v/>
      </c>
      <c r="E1178" s="24" t="str">
        <f>IF('DDF Original'!B1178="","",IF(TRIM('DDF Original'!I1178)="",0,'DDF Original'!I1178))</f>
        <v/>
      </c>
      <c r="F1178" s="20" t="str">
        <f t="shared" si="127"/>
        <v/>
      </c>
      <c r="G1178" s="37" t="str">
        <f>IF('DDF Original'!B1178="","",IF(TRIM('DDF Original'!P1178)="",0,'DDF Original'!P1178))</f>
        <v/>
      </c>
      <c r="H1178" s="20" t="str">
        <f t="shared" si="128"/>
        <v/>
      </c>
      <c r="I1178" s="25" t="str">
        <f t="shared" si="129"/>
        <v/>
      </c>
      <c r="J1178" s="20" t="str">
        <f t="shared" si="130"/>
        <v/>
      </c>
      <c r="K1178" s="20" t="str">
        <f t="shared" si="131"/>
        <v/>
      </c>
      <c r="L1178" s="20" t="str">
        <f>IF(B1178="","",70*'DDF Original'!$Q$4)</f>
        <v/>
      </c>
      <c r="M1178" s="20" t="str">
        <f t="shared" si="132"/>
        <v/>
      </c>
      <c r="N1178" s="20" t="str">
        <f>IF(AND(OR(B1178="",J1178&gt;G1178,M1178&gt;G1178),'DDF Original'!L1178&lt;&gt; "MI"),G1178,IF(M1178&gt;J1178,M1178,J1178))</f>
        <v/>
      </c>
    </row>
    <row r="1179" spans="2:14" x14ac:dyDescent="0.2">
      <c r="B1179" s="19" t="str">
        <f>IF('DDF Original'!B1179="","",'DDF Original'!B1179)</f>
        <v/>
      </c>
      <c r="C1179" s="19" t="e">
        <f t="shared" si="126"/>
        <v>#VALUE!</v>
      </c>
      <c r="D1179" s="20" t="str">
        <f>IF('DDF Original'!C1179="","",'DDF Original'!C1179)</f>
        <v/>
      </c>
      <c r="E1179" s="24" t="str">
        <f>IF('DDF Original'!B1179="","",IF(TRIM('DDF Original'!I1179)="",0,'DDF Original'!I1179))</f>
        <v/>
      </c>
      <c r="F1179" s="20" t="str">
        <f t="shared" si="127"/>
        <v/>
      </c>
      <c r="G1179" s="37" t="str">
        <f>IF('DDF Original'!B1179="","",IF(TRIM('DDF Original'!P1179)="",0,'DDF Original'!P1179))</f>
        <v/>
      </c>
      <c r="H1179" s="20" t="str">
        <f t="shared" si="128"/>
        <v/>
      </c>
      <c r="I1179" s="25" t="str">
        <f t="shared" si="129"/>
        <v/>
      </c>
      <c r="J1179" s="20" t="str">
        <f t="shared" si="130"/>
        <v/>
      </c>
      <c r="K1179" s="20" t="str">
        <f t="shared" si="131"/>
        <v/>
      </c>
      <c r="L1179" s="20" t="str">
        <f>IF(B1179="","",70*'DDF Original'!$Q$4)</f>
        <v/>
      </c>
      <c r="M1179" s="20" t="str">
        <f t="shared" si="132"/>
        <v/>
      </c>
      <c r="N1179" s="20" t="str">
        <f>IF(AND(OR(B1179="",J1179&gt;G1179,M1179&gt;G1179),'DDF Original'!L1179&lt;&gt; "MI"),G1179,IF(M1179&gt;J1179,M1179,J1179))</f>
        <v/>
      </c>
    </row>
    <row r="1180" spans="2:14" x14ac:dyDescent="0.2">
      <c r="B1180" s="19" t="str">
        <f>IF('DDF Original'!B1180="","",'DDF Original'!B1180)</f>
        <v/>
      </c>
      <c r="C1180" s="19" t="e">
        <f t="shared" si="126"/>
        <v>#VALUE!</v>
      </c>
      <c r="D1180" s="20" t="str">
        <f>IF('DDF Original'!C1180="","",'DDF Original'!C1180)</f>
        <v/>
      </c>
      <c r="E1180" s="24" t="str">
        <f>IF('DDF Original'!B1180="","",IF(TRIM('DDF Original'!I1180)="",0,'DDF Original'!I1180))</f>
        <v/>
      </c>
      <c r="F1180" s="20" t="str">
        <f t="shared" si="127"/>
        <v/>
      </c>
      <c r="G1180" s="37" t="str">
        <f>IF('DDF Original'!B1180="","",IF(TRIM('DDF Original'!P1180)="",0,'DDF Original'!P1180))</f>
        <v/>
      </c>
      <c r="H1180" s="20" t="str">
        <f t="shared" si="128"/>
        <v/>
      </c>
      <c r="I1180" s="25" t="str">
        <f t="shared" si="129"/>
        <v/>
      </c>
      <c r="J1180" s="20" t="str">
        <f t="shared" si="130"/>
        <v/>
      </c>
      <c r="K1180" s="20" t="str">
        <f t="shared" si="131"/>
        <v/>
      </c>
      <c r="L1180" s="20" t="str">
        <f>IF(B1180="","",70*'DDF Original'!$Q$4)</f>
        <v/>
      </c>
      <c r="M1180" s="20" t="str">
        <f t="shared" si="132"/>
        <v/>
      </c>
      <c r="N1180" s="20" t="str">
        <f>IF(AND(OR(B1180="",J1180&gt;G1180,M1180&gt;G1180),'DDF Original'!L1180&lt;&gt; "MI"),G1180,IF(M1180&gt;J1180,M1180,J1180))</f>
        <v/>
      </c>
    </row>
    <row r="1181" spans="2:14" x14ac:dyDescent="0.2">
      <c r="B1181" s="19" t="str">
        <f>IF('DDF Original'!B1181="","",'DDF Original'!B1181)</f>
        <v/>
      </c>
      <c r="C1181" s="19" t="e">
        <f t="shared" si="126"/>
        <v>#VALUE!</v>
      </c>
      <c r="D1181" s="20" t="str">
        <f>IF('DDF Original'!C1181="","",'DDF Original'!C1181)</f>
        <v/>
      </c>
      <c r="E1181" s="24" t="str">
        <f>IF('DDF Original'!B1181="","",IF(TRIM('DDF Original'!I1181)="",0,'DDF Original'!I1181))</f>
        <v/>
      </c>
      <c r="F1181" s="20" t="str">
        <f t="shared" si="127"/>
        <v/>
      </c>
      <c r="G1181" s="37" t="str">
        <f>IF('DDF Original'!B1181="","",IF(TRIM('DDF Original'!P1181)="",0,'DDF Original'!P1181))</f>
        <v/>
      </c>
      <c r="H1181" s="20" t="str">
        <f t="shared" si="128"/>
        <v/>
      </c>
      <c r="I1181" s="25" t="str">
        <f t="shared" si="129"/>
        <v/>
      </c>
      <c r="J1181" s="20" t="str">
        <f t="shared" si="130"/>
        <v/>
      </c>
      <c r="K1181" s="20" t="str">
        <f t="shared" si="131"/>
        <v/>
      </c>
      <c r="L1181" s="20" t="str">
        <f>IF(B1181="","",70*'DDF Original'!$Q$4)</f>
        <v/>
      </c>
      <c r="M1181" s="20" t="str">
        <f t="shared" si="132"/>
        <v/>
      </c>
      <c r="N1181" s="20" t="str">
        <f>IF(AND(OR(B1181="",J1181&gt;G1181,M1181&gt;G1181),'DDF Original'!L1181&lt;&gt; "MI"),G1181,IF(M1181&gt;J1181,M1181,J1181))</f>
        <v/>
      </c>
    </row>
    <row r="1182" spans="2:14" x14ac:dyDescent="0.2">
      <c r="B1182" s="19" t="str">
        <f>IF('DDF Original'!B1182="","",'DDF Original'!B1182)</f>
        <v/>
      </c>
      <c r="C1182" s="19" t="e">
        <f t="shared" si="126"/>
        <v>#VALUE!</v>
      </c>
      <c r="D1182" s="20" t="str">
        <f>IF('DDF Original'!C1182="","",'DDF Original'!C1182)</f>
        <v/>
      </c>
      <c r="E1182" s="24" t="str">
        <f>IF('DDF Original'!B1182="","",IF(TRIM('DDF Original'!I1182)="",0,'DDF Original'!I1182))</f>
        <v/>
      </c>
      <c r="F1182" s="20" t="str">
        <f t="shared" si="127"/>
        <v/>
      </c>
      <c r="G1182" s="37" t="str">
        <f>IF('DDF Original'!B1182="","",IF(TRIM('DDF Original'!P1182)="",0,'DDF Original'!P1182))</f>
        <v/>
      </c>
      <c r="H1182" s="20" t="str">
        <f t="shared" si="128"/>
        <v/>
      </c>
      <c r="I1182" s="25" t="str">
        <f t="shared" si="129"/>
        <v/>
      </c>
      <c r="J1182" s="20" t="str">
        <f t="shared" si="130"/>
        <v/>
      </c>
      <c r="K1182" s="20" t="str">
        <f t="shared" si="131"/>
        <v/>
      </c>
      <c r="L1182" s="20" t="str">
        <f>IF(B1182="","",70*'DDF Original'!$Q$4)</f>
        <v/>
      </c>
      <c r="M1182" s="20" t="str">
        <f t="shared" si="132"/>
        <v/>
      </c>
      <c r="N1182" s="20" t="str">
        <f>IF(AND(OR(B1182="",J1182&gt;G1182,M1182&gt;G1182),'DDF Original'!L1182&lt;&gt; "MI"),G1182,IF(M1182&gt;J1182,M1182,J1182))</f>
        <v/>
      </c>
    </row>
    <row r="1183" spans="2:14" x14ac:dyDescent="0.2">
      <c r="B1183" s="19" t="str">
        <f>IF('DDF Original'!B1183="","",'DDF Original'!B1183)</f>
        <v/>
      </c>
      <c r="C1183" s="19" t="e">
        <f t="shared" si="126"/>
        <v>#VALUE!</v>
      </c>
      <c r="D1183" s="20" t="str">
        <f>IF('DDF Original'!C1183="","",'DDF Original'!C1183)</f>
        <v/>
      </c>
      <c r="E1183" s="24" t="str">
        <f>IF('DDF Original'!B1183="","",IF(TRIM('DDF Original'!I1183)="",0,'DDF Original'!I1183))</f>
        <v/>
      </c>
      <c r="F1183" s="20" t="str">
        <f t="shared" si="127"/>
        <v/>
      </c>
      <c r="G1183" s="37" t="str">
        <f>IF('DDF Original'!B1183="","",IF(TRIM('DDF Original'!P1183)="",0,'DDF Original'!P1183))</f>
        <v/>
      </c>
      <c r="H1183" s="20" t="str">
        <f t="shared" si="128"/>
        <v/>
      </c>
      <c r="I1183" s="25" t="str">
        <f t="shared" si="129"/>
        <v/>
      </c>
      <c r="J1183" s="20" t="str">
        <f t="shared" si="130"/>
        <v/>
      </c>
      <c r="K1183" s="20" t="str">
        <f t="shared" si="131"/>
        <v/>
      </c>
      <c r="L1183" s="20" t="str">
        <f>IF(B1183="","",70*'DDF Original'!$Q$4)</f>
        <v/>
      </c>
      <c r="M1183" s="20" t="str">
        <f t="shared" si="132"/>
        <v/>
      </c>
      <c r="N1183" s="20" t="str">
        <f>IF(AND(OR(B1183="",J1183&gt;G1183,M1183&gt;G1183),'DDF Original'!L1183&lt;&gt; "MI"),G1183,IF(M1183&gt;J1183,M1183,J1183))</f>
        <v/>
      </c>
    </row>
    <row r="1184" spans="2:14" x14ac:dyDescent="0.2">
      <c r="B1184" s="19" t="str">
        <f>IF('DDF Original'!B1184="","",'DDF Original'!B1184)</f>
        <v/>
      </c>
      <c r="C1184" s="19" t="e">
        <f t="shared" si="126"/>
        <v>#VALUE!</v>
      </c>
      <c r="D1184" s="20" t="str">
        <f>IF('DDF Original'!C1184="","",'DDF Original'!C1184)</f>
        <v/>
      </c>
      <c r="E1184" s="24" t="str">
        <f>IF('DDF Original'!B1184="","",IF(TRIM('DDF Original'!I1184)="",0,'DDF Original'!I1184))</f>
        <v/>
      </c>
      <c r="F1184" s="20" t="str">
        <f t="shared" si="127"/>
        <v/>
      </c>
      <c r="G1184" s="37" t="str">
        <f>IF('DDF Original'!B1184="","",IF(TRIM('DDF Original'!P1184)="",0,'DDF Original'!P1184))</f>
        <v/>
      </c>
      <c r="H1184" s="20" t="str">
        <f t="shared" si="128"/>
        <v/>
      </c>
      <c r="I1184" s="25" t="str">
        <f t="shared" si="129"/>
        <v/>
      </c>
      <c r="J1184" s="20" t="str">
        <f t="shared" si="130"/>
        <v/>
      </c>
      <c r="K1184" s="20" t="str">
        <f t="shared" si="131"/>
        <v/>
      </c>
      <c r="L1184" s="20" t="str">
        <f>IF(B1184="","",70*'DDF Original'!$Q$4)</f>
        <v/>
      </c>
      <c r="M1184" s="20" t="str">
        <f t="shared" si="132"/>
        <v/>
      </c>
      <c r="N1184" s="20" t="str">
        <f>IF(AND(OR(B1184="",J1184&gt;G1184,M1184&gt;G1184),'DDF Original'!L1184&lt;&gt; "MI"),G1184,IF(M1184&gt;J1184,M1184,J1184))</f>
        <v/>
      </c>
    </row>
    <row r="1185" spans="2:14" x14ac:dyDescent="0.2">
      <c r="B1185" s="19" t="str">
        <f>IF('DDF Original'!B1185="","",'DDF Original'!B1185)</f>
        <v/>
      </c>
      <c r="C1185" s="19" t="e">
        <f t="shared" si="126"/>
        <v>#VALUE!</v>
      </c>
      <c r="D1185" s="20" t="str">
        <f>IF('DDF Original'!C1185="","",'DDF Original'!C1185)</f>
        <v/>
      </c>
      <c r="E1185" s="24" t="str">
        <f>IF('DDF Original'!B1185="","",IF(TRIM('DDF Original'!I1185)="",0,'DDF Original'!I1185))</f>
        <v/>
      </c>
      <c r="F1185" s="20" t="str">
        <f t="shared" si="127"/>
        <v/>
      </c>
      <c r="G1185" s="37" t="str">
        <f>IF('DDF Original'!B1185="","",IF(TRIM('DDF Original'!P1185)="",0,'DDF Original'!P1185))</f>
        <v/>
      </c>
      <c r="H1185" s="20" t="str">
        <f t="shared" si="128"/>
        <v/>
      </c>
      <c r="I1185" s="25" t="str">
        <f t="shared" si="129"/>
        <v/>
      </c>
      <c r="J1185" s="20" t="str">
        <f t="shared" si="130"/>
        <v/>
      </c>
      <c r="K1185" s="20" t="str">
        <f t="shared" si="131"/>
        <v/>
      </c>
      <c r="L1185" s="20" t="str">
        <f>IF(B1185="","",70*'DDF Original'!$Q$4)</f>
        <v/>
      </c>
      <c r="M1185" s="20" t="str">
        <f t="shared" si="132"/>
        <v/>
      </c>
      <c r="N1185" s="20" t="str">
        <f>IF(AND(OR(B1185="",J1185&gt;G1185,M1185&gt;G1185),'DDF Original'!L1185&lt;&gt; "MI"),G1185,IF(M1185&gt;J1185,M1185,J1185))</f>
        <v/>
      </c>
    </row>
    <row r="1186" spans="2:14" x14ac:dyDescent="0.2">
      <c r="B1186" s="19" t="str">
        <f>IF('DDF Original'!B1186="","",'DDF Original'!B1186)</f>
        <v/>
      </c>
      <c r="C1186" s="19" t="e">
        <f t="shared" si="126"/>
        <v>#VALUE!</v>
      </c>
      <c r="D1186" s="20" t="str">
        <f>IF('DDF Original'!C1186="","",'DDF Original'!C1186)</f>
        <v/>
      </c>
      <c r="E1186" s="24" t="str">
        <f>IF('DDF Original'!B1186="","",IF(TRIM('DDF Original'!I1186)="",0,'DDF Original'!I1186))</f>
        <v/>
      </c>
      <c r="F1186" s="20" t="str">
        <f t="shared" si="127"/>
        <v/>
      </c>
      <c r="G1186" s="37" t="str">
        <f>IF('DDF Original'!B1186="","",IF(TRIM('DDF Original'!P1186)="",0,'DDF Original'!P1186))</f>
        <v/>
      </c>
      <c r="H1186" s="20" t="str">
        <f t="shared" si="128"/>
        <v/>
      </c>
      <c r="I1186" s="25" t="str">
        <f t="shared" si="129"/>
        <v/>
      </c>
      <c r="J1186" s="20" t="str">
        <f t="shared" si="130"/>
        <v/>
      </c>
      <c r="K1186" s="20" t="str">
        <f t="shared" si="131"/>
        <v/>
      </c>
      <c r="L1186" s="20" t="str">
        <f>IF(B1186="","",70*'DDF Original'!$Q$4)</f>
        <v/>
      </c>
      <c r="M1186" s="20" t="str">
        <f t="shared" si="132"/>
        <v/>
      </c>
      <c r="N1186" s="20" t="str">
        <f>IF(AND(OR(B1186="",J1186&gt;G1186,M1186&gt;G1186),'DDF Original'!L1186&lt;&gt; "MI"),G1186,IF(M1186&gt;J1186,M1186,J1186))</f>
        <v/>
      </c>
    </row>
    <row r="1187" spans="2:14" x14ac:dyDescent="0.2">
      <c r="B1187" s="19" t="str">
        <f>IF('DDF Original'!B1187="","",'DDF Original'!B1187)</f>
        <v/>
      </c>
      <c r="C1187" s="19" t="e">
        <f t="shared" si="126"/>
        <v>#VALUE!</v>
      </c>
      <c r="D1187" s="20" t="str">
        <f>IF('DDF Original'!C1187="","",'DDF Original'!C1187)</f>
        <v/>
      </c>
      <c r="E1187" s="24" t="str">
        <f>IF('DDF Original'!B1187="","",IF(TRIM('DDF Original'!I1187)="",0,'DDF Original'!I1187))</f>
        <v/>
      </c>
      <c r="F1187" s="20" t="str">
        <f t="shared" si="127"/>
        <v/>
      </c>
      <c r="G1187" s="37" t="str">
        <f>IF('DDF Original'!B1187="","",IF(TRIM('DDF Original'!P1187)="",0,'DDF Original'!P1187))</f>
        <v/>
      </c>
      <c r="H1187" s="20" t="str">
        <f t="shared" si="128"/>
        <v/>
      </c>
      <c r="I1187" s="25" t="str">
        <f t="shared" si="129"/>
        <v/>
      </c>
      <c r="J1187" s="20" t="str">
        <f t="shared" si="130"/>
        <v/>
      </c>
      <c r="K1187" s="20" t="str">
        <f t="shared" si="131"/>
        <v/>
      </c>
      <c r="L1187" s="20" t="str">
        <f>IF(B1187="","",70*'DDF Original'!$Q$4)</f>
        <v/>
      </c>
      <c r="M1187" s="20" t="str">
        <f t="shared" si="132"/>
        <v/>
      </c>
      <c r="N1187" s="20" t="str">
        <f>IF(AND(OR(B1187="",J1187&gt;G1187,M1187&gt;G1187),'DDF Original'!L1187&lt;&gt; "MI"),G1187,IF(M1187&gt;J1187,M1187,J1187))</f>
        <v/>
      </c>
    </row>
    <row r="1188" spans="2:14" x14ac:dyDescent="0.2">
      <c r="B1188" s="19" t="str">
        <f>IF('DDF Original'!B1188="","",'DDF Original'!B1188)</f>
        <v/>
      </c>
      <c r="C1188" s="19" t="e">
        <f t="shared" si="126"/>
        <v>#VALUE!</v>
      </c>
      <c r="D1188" s="20" t="str">
        <f>IF('DDF Original'!C1188="","",'DDF Original'!C1188)</f>
        <v/>
      </c>
      <c r="E1188" s="24" t="str">
        <f>IF('DDF Original'!B1188="","",IF(TRIM('DDF Original'!I1188)="",0,'DDF Original'!I1188))</f>
        <v/>
      </c>
      <c r="F1188" s="20" t="str">
        <f t="shared" si="127"/>
        <v/>
      </c>
      <c r="G1188" s="37" t="str">
        <f>IF('DDF Original'!B1188="","",IF(TRIM('DDF Original'!P1188)="",0,'DDF Original'!P1188))</f>
        <v/>
      </c>
      <c r="H1188" s="20" t="str">
        <f t="shared" si="128"/>
        <v/>
      </c>
      <c r="I1188" s="25" t="str">
        <f t="shared" si="129"/>
        <v/>
      </c>
      <c r="J1188" s="20" t="str">
        <f t="shared" si="130"/>
        <v/>
      </c>
      <c r="K1188" s="20" t="str">
        <f t="shared" si="131"/>
        <v/>
      </c>
      <c r="L1188" s="20" t="str">
        <f>IF(B1188="","",70*'DDF Original'!$Q$4)</f>
        <v/>
      </c>
      <c r="M1188" s="20" t="str">
        <f t="shared" si="132"/>
        <v/>
      </c>
      <c r="N1188" s="20" t="str">
        <f>IF(AND(OR(B1188="",J1188&gt;G1188,M1188&gt;G1188),'DDF Original'!L1188&lt;&gt; "MI"),G1188,IF(M1188&gt;J1188,M1188,J1188))</f>
        <v/>
      </c>
    </row>
    <row r="1189" spans="2:14" x14ac:dyDescent="0.2">
      <c r="B1189" s="19" t="str">
        <f>IF('DDF Original'!B1189="","",'DDF Original'!B1189)</f>
        <v/>
      </c>
      <c r="C1189" s="19" t="e">
        <f t="shared" si="126"/>
        <v>#VALUE!</v>
      </c>
      <c r="D1189" s="20" t="str">
        <f>IF('DDF Original'!C1189="","",'DDF Original'!C1189)</f>
        <v/>
      </c>
      <c r="E1189" s="24" t="str">
        <f>IF('DDF Original'!B1189="","",IF(TRIM('DDF Original'!I1189)="",0,'DDF Original'!I1189))</f>
        <v/>
      </c>
      <c r="F1189" s="20" t="str">
        <f t="shared" si="127"/>
        <v/>
      </c>
      <c r="G1189" s="37" t="str">
        <f>IF('DDF Original'!B1189="","",IF(TRIM('DDF Original'!P1189)="",0,'DDF Original'!P1189))</f>
        <v/>
      </c>
      <c r="H1189" s="20" t="str">
        <f t="shared" si="128"/>
        <v/>
      </c>
      <c r="I1189" s="25" t="str">
        <f t="shared" si="129"/>
        <v/>
      </c>
      <c r="J1189" s="20" t="str">
        <f t="shared" si="130"/>
        <v/>
      </c>
      <c r="K1189" s="20" t="str">
        <f t="shared" si="131"/>
        <v/>
      </c>
      <c r="L1189" s="20" t="str">
        <f>IF(B1189="","",70*'DDF Original'!$Q$4)</f>
        <v/>
      </c>
      <c r="M1189" s="20" t="str">
        <f t="shared" si="132"/>
        <v/>
      </c>
      <c r="N1189" s="20" t="str">
        <f>IF(AND(OR(B1189="",J1189&gt;G1189,M1189&gt;G1189),'DDF Original'!L1189&lt;&gt; "MI"),G1189,IF(M1189&gt;J1189,M1189,J1189))</f>
        <v/>
      </c>
    </row>
    <row r="1190" spans="2:14" x14ac:dyDescent="0.2">
      <c r="B1190" s="19" t="str">
        <f>IF('DDF Original'!B1190="","",'DDF Original'!B1190)</f>
        <v/>
      </c>
      <c r="C1190" s="19" t="e">
        <f t="shared" si="126"/>
        <v>#VALUE!</v>
      </c>
      <c r="D1190" s="20" t="str">
        <f>IF('DDF Original'!C1190="","",'DDF Original'!C1190)</f>
        <v/>
      </c>
      <c r="E1190" s="24" t="str">
        <f>IF('DDF Original'!B1190="","",IF(TRIM('DDF Original'!I1190)="",0,'DDF Original'!I1190))</f>
        <v/>
      </c>
      <c r="F1190" s="20" t="str">
        <f t="shared" si="127"/>
        <v/>
      </c>
      <c r="G1190" s="37" t="str">
        <f>IF('DDF Original'!B1190="","",IF(TRIM('DDF Original'!P1190)="",0,'DDF Original'!P1190))</f>
        <v/>
      </c>
      <c r="H1190" s="20" t="str">
        <f t="shared" si="128"/>
        <v/>
      </c>
      <c r="I1190" s="25" t="str">
        <f t="shared" si="129"/>
        <v/>
      </c>
      <c r="J1190" s="20" t="str">
        <f t="shared" si="130"/>
        <v/>
      </c>
      <c r="K1190" s="20" t="str">
        <f t="shared" si="131"/>
        <v/>
      </c>
      <c r="L1190" s="20" t="str">
        <f>IF(B1190="","",70*'DDF Original'!$Q$4)</f>
        <v/>
      </c>
      <c r="M1190" s="20" t="str">
        <f t="shared" si="132"/>
        <v/>
      </c>
      <c r="N1190" s="20" t="str">
        <f>IF(AND(OR(B1190="",J1190&gt;G1190,M1190&gt;G1190),'DDF Original'!L1190&lt;&gt; "MI"),G1190,IF(M1190&gt;J1190,M1190,J1190))</f>
        <v/>
      </c>
    </row>
    <row r="1191" spans="2:14" x14ac:dyDescent="0.2">
      <c r="B1191" s="19" t="str">
        <f>IF('DDF Original'!B1191="","",'DDF Original'!B1191)</f>
        <v/>
      </c>
      <c r="C1191" s="19" t="e">
        <f t="shared" si="126"/>
        <v>#VALUE!</v>
      </c>
      <c r="D1191" s="20" t="str">
        <f>IF('DDF Original'!C1191="","",'DDF Original'!C1191)</f>
        <v/>
      </c>
      <c r="E1191" s="24" t="str">
        <f>IF('DDF Original'!B1191="","",IF(TRIM('DDF Original'!I1191)="",0,'DDF Original'!I1191))</f>
        <v/>
      </c>
      <c r="F1191" s="20" t="str">
        <f t="shared" si="127"/>
        <v/>
      </c>
      <c r="G1191" s="37" t="str">
        <f>IF('DDF Original'!B1191="","",IF(TRIM('DDF Original'!P1191)="",0,'DDF Original'!P1191))</f>
        <v/>
      </c>
      <c r="H1191" s="20" t="str">
        <f t="shared" si="128"/>
        <v/>
      </c>
      <c r="I1191" s="25" t="str">
        <f t="shared" si="129"/>
        <v/>
      </c>
      <c r="J1191" s="20" t="str">
        <f t="shared" si="130"/>
        <v/>
      </c>
      <c r="K1191" s="20" t="str">
        <f t="shared" si="131"/>
        <v/>
      </c>
      <c r="L1191" s="20" t="str">
        <f>IF(B1191="","",70*'DDF Original'!$Q$4)</f>
        <v/>
      </c>
      <c r="M1191" s="20" t="str">
        <f t="shared" si="132"/>
        <v/>
      </c>
      <c r="N1191" s="20" t="str">
        <f>IF(AND(OR(B1191="",J1191&gt;G1191,M1191&gt;G1191),'DDF Original'!L1191&lt;&gt; "MI"),G1191,IF(M1191&gt;J1191,M1191,J1191))</f>
        <v/>
      </c>
    </row>
    <row r="1192" spans="2:14" x14ac:dyDescent="0.2">
      <c r="B1192" s="19" t="str">
        <f>IF('DDF Original'!B1192="","",'DDF Original'!B1192)</f>
        <v/>
      </c>
      <c r="C1192" s="19" t="e">
        <f t="shared" si="126"/>
        <v>#VALUE!</v>
      </c>
      <c r="D1192" s="20" t="str">
        <f>IF('DDF Original'!C1192="","",'DDF Original'!C1192)</f>
        <v/>
      </c>
      <c r="E1192" s="24" t="str">
        <f>IF('DDF Original'!B1192="","",IF(TRIM('DDF Original'!I1192)="",0,'DDF Original'!I1192))</f>
        <v/>
      </c>
      <c r="F1192" s="20" t="str">
        <f t="shared" si="127"/>
        <v/>
      </c>
      <c r="G1192" s="37" t="str">
        <f>IF('DDF Original'!B1192="","",IF(TRIM('DDF Original'!P1192)="",0,'DDF Original'!P1192))</f>
        <v/>
      </c>
      <c r="H1192" s="20" t="str">
        <f t="shared" si="128"/>
        <v/>
      </c>
      <c r="I1192" s="25" t="str">
        <f t="shared" si="129"/>
        <v/>
      </c>
      <c r="J1192" s="20" t="str">
        <f t="shared" si="130"/>
        <v/>
      </c>
      <c r="K1192" s="20" t="str">
        <f t="shared" si="131"/>
        <v/>
      </c>
      <c r="L1192" s="20" t="str">
        <f>IF(B1192="","",70*'DDF Original'!$Q$4)</f>
        <v/>
      </c>
      <c r="M1192" s="20" t="str">
        <f t="shared" si="132"/>
        <v/>
      </c>
      <c r="N1192" s="20" t="str">
        <f>IF(AND(OR(B1192="",J1192&gt;G1192,M1192&gt;G1192),'DDF Original'!L1192&lt;&gt; "MI"),G1192,IF(M1192&gt;J1192,M1192,J1192))</f>
        <v/>
      </c>
    </row>
    <row r="1193" spans="2:14" x14ac:dyDescent="0.2">
      <c r="B1193" s="19" t="str">
        <f>IF('DDF Original'!B1193="","",'DDF Original'!B1193)</f>
        <v/>
      </c>
      <c r="C1193" s="19" t="e">
        <f t="shared" si="126"/>
        <v>#VALUE!</v>
      </c>
      <c r="D1193" s="20" t="str">
        <f>IF('DDF Original'!C1193="","",'DDF Original'!C1193)</f>
        <v/>
      </c>
      <c r="E1193" s="24" t="str">
        <f>IF('DDF Original'!B1193="","",IF(TRIM('DDF Original'!I1193)="",0,'DDF Original'!I1193))</f>
        <v/>
      </c>
      <c r="F1193" s="20" t="str">
        <f t="shared" si="127"/>
        <v/>
      </c>
      <c r="G1193" s="37" t="str">
        <f>IF('DDF Original'!B1193="","",IF(TRIM('DDF Original'!P1193)="",0,'DDF Original'!P1193))</f>
        <v/>
      </c>
      <c r="H1193" s="20" t="str">
        <f t="shared" si="128"/>
        <v/>
      </c>
      <c r="I1193" s="25" t="str">
        <f t="shared" si="129"/>
        <v/>
      </c>
      <c r="J1193" s="20" t="str">
        <f t="shared" si="130"/>
        <v/>
      </c>
      <c r="K1193" s="20" t="str">
        <f t="shared" si="131"/>
        <v/>
      </c>
      <c r="L1193" s="20" t="str">
        <f>IF(B1193="","",70*'DDF Original'!$Q$4)</f>
        <v/>
      </c>
      <c r="M1193" s="20" t="str">
        <f t="shared" si="132"/>
        <v/>
      </c>
      <c r="N1193" s="20" t="str">
        <f>IF(AND(OR(B1193="",J1193&gt;G1193,M1193&gt;G1193),'DDF Original'!L1193&lt;&gt; "MI"),G1193,IF(M1193&gt;J1193,M1193,J1193))</f>
        <v/>
      </c>
    </row>
    <row r="1194" spans="2:14" x14ac:dyDescent="0.2">
      <c r="B1194" s="19" t="str">
        <f>IF('DDF Original'!B1194="","",'DDF Original'!B1194)</f>
        <v/>
      </c>
      <c r="C1194" s="19" t="e">
        <f t="shared" si="126"/>
        <v>#VALUE!</v>
      </c>
      <c r="D1194" s="20" t="str">
        <f>IF('DDF Original'!C1194="","",'DDF Original'!C1194)</f>
        <v/>
      </c>
      <c r="E1194" s="24" t="str">
        <f>IF('DDF Original'!B1194="","",IF(TRIM('DDF Original'!I1194)="",0,'DDF Original'!I1194))</f>
        <v/>
      </c>
      <c r="F1194" s="20" t="str">
        <f t="shared" si="127"/>
        <v/>
      </c>
      <c r="G1194" s="37" t="str">
        <f>IF('DDF Original'!B1194="","",IF(TRIM('DDF Original'!P1194)="",0,'DDF Original'!P1194))</f>
        <v/>
      </c>
      <c r="H1194" s="20" t="str">
        <f t="shared" si="128"/>
        <v/>
      </c>
      <c r="I1194" s="25" t="str">
        <f t="shared" si="129"/>
        <v/>
      </c>
      <c r="J1194" s="20" t="str">
        <f t="shared" si="130"/>
        <v/>
      </c>
      <c r="K1194" s="20" t="str">
        <f t="shared" si="131"/>
        <v/>
      </c>
      <c r="L1194" s="20" t="str">
        <f>IF(B1194="","",70*'DDF Original'!$Q$4)</f>
        <v/>
      </c>
      <c r="M1194" s="20" t="str">
        <f t="shared" si="132"/>
        <v/>
      </c>
      <c r="N1194" s="20" t="str">
        <f>IF(AND(OR(B1194="",J1194&gt;G1194,M1194&gt;G1194),'DDF Original'!L1194&lt;&gt; "MI"),G1194,IF(M1194&gt;J1194,M1194,J1194))</f>
        <v/>
      </c>
    </row>
    <row r="1195" spans="2:14" x14ac:dyDescent="0.2">
      <c r="B1195" s="19" t="str">
        <f>IF('DDF Original'!B1195="","",'DDF Original'!B1195)</f>
        <v/>
      </c>
      <c r="C1195" s="19" t="e">
        <f t="shared" si="126"/>
        <v>#VALUE!</v>
      </c>
      <c r="D1195" s="20" t="str">
        <f>IF('DDF Original'!C1195="","",'DDF Original'!C1195)</f>
        <v/>
      </c>
      <c r="E1195" s="24" t="str">
        <f>IF('DDF Original'!B1195="","",IF(TRIM('DDF Original'!I1195)="",0,'DDF Original'!I1195))</f>
        <v/>
      </c>
      <c r="F1195" s="20" t="str">
        <f t="shared" si="127"/>
        <v/>
      </c>
      <c r="G1195" s="37" t="str">
        <f>IF('DDF Original'!B1195="","",IF(TRIM('DDF Original'!P1195)="",0,'DDF Original'!P1195))</f>
        <v/>
      </c>
      <c r="H1195" s="20" t="str">
        <f t="shared" si="128"/>
        <v/>
      </c>
      <c r="I1195" s="25" t="str">
        <f t="shared" si="129"/>
        <v/>
      </c>
      <c r="J1195" s="20" t="str">
        <f t="shared" si="130"/>
        <v/>
      </c>
      <c r="K1195" s="20" t="str">
        <f t="shared" si="131"/>
        <v/>
      </c>
      <c r="L1195" s="20" t="str">
        <f>IF(B1195="","",70*'DDF Original'!$Q$4)</f>
        <v/>
      </c>
      <c r="M1195" s="20" t="str">
        <f t="shared" si="132"/>
        <v/>
      </c>
      <c r="N1195" s="20" t="str">
        <f>IF(AND(OR(B1195="",J1195&gt;G1195,M1195&gt;G1195),'DDF Original'!L1195&lt;&gt; "MI"),G1195,IF(M1195&gt;J1195,M1195,J1195))</f>
        <v/>
      </c>
    </row>
    <row r="1196" spans="2:14" x14ac:dyDescent="0.2">
      <c r="B1196" s="19" t="str">
        <f>IF('DDF Original'!B1196="","",'DDF Original'!B1196)</f>
        <v/>
      </c>
      <c r="C1196" s="19" t="e">
        <f t="shared" si="126"/>
        <v>#VALUE!</v>
      </c>
      <c r="D1196" s="20" t="str">
        <f>IF('DDF Original'!C1196="","",'DDF Original'!C1196)</f>
        <v/>
      </c>
      <c r="E1196" s="24" t="str">
        <f>IF('DDF Original'!B1196="","",IF(TRIM('DDF Original'!I1196)="",0,'DDF Original'!I1196))</f>
        <v/>
      </c>
      <c r="F1196" s="20" t="str">
        <f t="shared" si="127"/>
        <v/>
      </c>
      <c r="G1196" s="37" t="str">
        <f>IF('DDF Original'!B1196="","",IF(TRIM('DDF Original'!P1196)="",0,'DDF Original'!P1196))</f>
        <v/>
      </c>
      <c r="H1196" s="20" t="str">
        <f t="shared" si="128"/>
        <v/>
      </c>
      <c r="I1196" s="25" t="str">
        <f t="shared" si="129"/>
        <v/>
      </c>
      <c r="J1196" s="20" t="str">
        <f t="shared" si="130"/>
        <v/>
      </c>
      <c r="K1196" s="20" t="str">
        <f t="shared" si="131"/>
        <v/>
      </c>
      <c r="L1196" s="20" t="str">
        <f>IF(B1196="","",70*'DDF Original'!$Q$4)</f>
        <v/>
      </c>
      <c r="M1196" s="20" t="str">
        <f t="shared" si="132"/>
        <v/>
      </c>
      <c r="N1196" s="20" t="str">
        <f>IF(AND(OR(B1196="",J1196&gt;G1196,M1196&gt;G1196),'DDF Original'!L1196&lt;&gt; "MI"),G1196,IF(M1196&gt;J1196,M1196,J1196))</f>
        <v/>
      </c>
    </row>
    <row r="1197" spans="2:14" x14ac:dyDescent="0.2">
      <c r="B1197" s="19" t="str">
        <f>IF('DDF Original'!B1197="","",'DDF Original'!B1197)</f>
        <v/>
      </c>
      <c r="C1197" s="19" t="e">
        <f t="shared" si="126"/>
        <v>#VALUE!</v>
      </c>
      <c r="D1197" s="20" t="str">
        <f>IF('DDF Original'!C1197="","",'DDF Original'!C1197)</f>
        <v/>
      </c>
      <c r="E1197" s="24" t="str">
        <f>IF('DDF Original'!B1197="","",IF(TRIM('DDF Original'!I1197)="",0,'DDF Original'!I1197))</f>
        <v/>
      </c>
      <c r="F1197" s="20" t="str">
        <f t="shared" si="127"/>
        <v/>
      </c>
      <c r="G1197" s="37" t="str">
        <f>IF('DDF Original'!B1197="","",IF(TRIM('DDF Original'!P1197)="",0,'DDF Original'!P1197))</f>
        <v/>
      </c>
      <c r="H1197" s="20" t="str">
        <f t="shared" si="128"/>
        <v/>
      </c>
      <c r="I1197" s="25" t="str">
        <f t="shared" si="129"/>
        <v/>
      </c>
      <c r="J1197" s="20" t="str">
        <f t="shared" si="130"/>
        <v/>
      </c>
      <c r="K1197" s="20" t="str">
        <f t="shared" si="131"/>
        <v/>
      </c>
      <c r="L1197" s="20" t="str">
        <f>IF(B1197="","",70*'DDF Original'!$Q$4)</f>
        <v/>
      </c>
      <c r="M1197" s="20" t="str">
        <f t="shared" si="132"/>
        <v/>
      </c>
      <c r="N1197" s="20" t="str">
        <f>IF(AND(OR(B1197="",J1197&gt;G1197,M1197&gt;G1197),'DDF Original'!L1197&lt;&gt; "MI"),G1197,IF(M1197&gt;J1197,M1197,J1197))</f>
        <v/>
      </c>
    </row>
    <row r="1198" spans="2:14" x14ac:dyDescent="0.2">
      <c r="B1198" s="19" t="str">
        <f>IF('DDF Original'!B1198="","",'DDF Original'!B1198)</f>
        <v/>
      </c>
      <c r="C1198" s="19" t="e">
        <f t="shared" si="126"/>
        <v>#VALUE!</v>
      </c>
      <c r="D1198" s="20" t="str">
        <f>IF('DDF Original'!C1198="","",'DDF Original'!C1198)</f>
        <v/>
      </c>
      <c r="E1198" s="24" t="str">
        <f>IF('DDF Original'!B1198="","",IF(TRIM('DDF Original'!I1198)="",0,'DDF Original'!I1198))</f>
        <v/>
      </c>
      <c r="F1198" s="20" t="str">
        <f t="shared" si="127"/>
        <v/>
      </c>
      <c r="G1198" s="37" t="str">
        <f>IF('DDF Original'!B1198="","",IF(TRIM('DDF Original'!P1198)="",0,'DDF Original'!P1198))</f>
        <v/>
      </c>
      <c r="H1198" s="20" t="str">
        <f t="shared" si="128"/>
        <v/>
      </c>
      <c r="I1198" s="25" t="str">
        <f t="shared" si="129"/>
        <v/>
      </c>
      <c r="J1198" s="20" t="str">
        <f t="shared" si="130"/>
        <v/>
      </c>
      <c r="K1198" s="20" t="str">
        <f t="shared" si="131"/>
        <v/>
      </c>
      <c r="L1198" s="20" t="str">
        <f>IF(B1198="","",70*'DDF Original'!$Q$4)</f>
        <v/>
      </c>
      <c r="M1198" s="20" t="str">
        <f t="shared" si="132"/>
        <v/>
      </c>
      <c r="N1198" s="20" t="str">
        <f>IF(AND(OR(B1198="",J1198&gt;G1198,M1198&gt;G1198),'DDF Original'!L1198&lt;&gt; "MI"),G1198,IF(M1198&gt;J1198,M1198,J1198))</f>
        <v/>
      </c>
    </row>
    <row r="1199" spans="2:14" x14ac:dyDescent="0.2">
      <c r="B1199" s="19" t="str">
        <f>IF('DDF Original'!B1199="","",'DDF Original'!B1199)</f>
        <v/>
      </c>
      <c r="C1199" s="19" t="e">
        <f t="shared" si="126"/>
        <v>#VALUE!</v>
      </c>
      <c r="D1199" s="20" t="str">
        <f>IF('DDF Original'!C1199="","",'DDF Original'!C1199)</f>
        <v/>
      </c>
      <c r="E1199" s="24" t="str">
        <f>IF('DDF Original'!B1199="","",IF(TRIM('DDF Original'!I1199)="",0,'DDF Original'!I1199))</f>
        <v/>
      </c>
      <c r="F1199" s="20" t="str">
        <f t="shared" si="127"/>
        <v/>
      </c>
      <c r="G1199" s="37" t="str">
        <f>IF('DDF Original'!B1199="","",IF(TRIM('DDF Original'!P1199)="",0,'DDF Original'!P1199))</f>
        <v/>
      </c>
      <c r="H1199" s="20" t="str">
        <f t="shared" si="128"/>
        <v/>
      </c>
      <c r="I1199" s="25" t="str">
        <f t="shared" si="129"/>
        <v/>
      </c>
      <c r="J1199" s="20" t="str">
        <f t="shared" si="130"/>
        <v/>
      </c>
      <c r="K1199" s="20" t="str">
        <f t="shared" si="131"/>
        <v/>
      </c>
      <c r="L1199" s="20" t="str">
        <f>IF(B1199="","",70*'DDF Original'!$Q$4)</f>
        <v/>
      </c>
      <c r="M1199" s="20" t="str">
        <f t="shared" si="132"/>
        <v/>
      </c>
      <c r="N1199" s="20" t="str">
        <f>IF(AND(OR(B1199="",J1199&gt;G1199,M1199&gt;G1199),'DDF Original'!L1199&lt;&gt; "MI"),G1199,IF(M1199&gt;J1199,M1199,J1199))</f>
        <v/>
      </c>
    </row>
    <row r="1200" spans="2:14" x14ac:dyDescent="0.2">
      <c r="B1200" s="19" t="str">
        <f>IF('DDF Original'!B1200="","",'DDF Original'!B1200)</f>
        <v/>
      </c>
      <c r="C1200" s="19" t="e">
        <f t="shared" si="126"/>
        <v>#VALUE!</v>
      </c>
      <c r="D1200" s="20" t="str">
        <f>IF('DDF Original'!C1200="","",'DDF Original'!C1200)</f>
        <v/>
      </c>
      <c r="E1200" s="24" t="str">
        <f>IF('DDF Original'!B1200="","",IF(TRIM('DDF Original'!I1200)="",0,'DDF Original'!I1200))</f>
        <v/>
      </c>
      <c r="F1200" s="20" t="str">
        <f t="shared" si="127"/>
        <v/>
      </c>
      <c r="G1200" s="37" t="str">
        <f>IF('DDF Original'!B1200="","",IF(TRIM('DDF Original'!P1200)="",0,'DDF Original'!P1200))</f>
        <v/>
      </c>
      <c r="H1200" s="20" t="str">
        <f t="shared" si="128"/>
        <v/>
      </c>
      <c r="I1200" s="25" t="str">
        <f t="shared" si="129"/>
        <v/>
      </c>
      <c r="J1200" s="20" t="str">
        <f t="shared" si="130"/>
        <v/>
      </c>
      <c r="K1200" s="20" t="str">
        <f t="shared" si="131"/>
        <v/>
      </c>
      <c r="L1200" s="20" t="str">
        <f>IF(B1200="","",70*'DDF Original'!$Q$4)</f>
        <v/>
      </c>
      <c r="M1200" s="20" t="str">
        <f t="shared" si="132"/>
        <v/>
      </c>
      <c r="N1200" s="20" t="str">
        <f>IF(AND(OR(B1200="",J1200&gt;G1200,M1200&gt;G1200),'DDF Original'!L1200&lt;&gt; "MI"),G1200,IF(M1200&gt;J1200,M1200,J1200))</f>
        <v/>
      </c>
    </row>
    <row r="1201" spans="2:14" x14ac:dyDescent="0.2">
      <c r="B1201" s="19" t="str">
        <f>IF('DDF Original'!B1201="","",'DDF Original'!B1201)</f>
        <v/>
      </c>
      <c r="C1201" s="19" t="e">
        <f t="shared" si="126"/>
        <v>#VALUE!</v>
      </c>
      <c r="D1201" s="20" t="str">
        <f>IF('DDF Original'!C1201="","",'DDF Original'!C1201)</f>
        <v/>
      </c>
      <c r="E1201" s="24" t="str">
        <f>IF('DDF Original'!B1201="","",IF(TRIM('DDF Original'!I1201)="",0,'DDF Original'!I1201))</f>
        <v/>
      </c>
      <c r="F1201" s="20" t="str">
        <f t="shared" si="127"/>
        <v/>
      </c>
      <c r="G1201" s="37" t="str">
        <f>IF('DDF Original'!B1201="","",IF(TRIM('DDF Original'!P1201)="",0,'DDF Original'!P1201))</f>
        <v/>
      </c>
      <c r="H1201" s="20" t="str">
        <f t="shared" si="128"/>
        <v/>
      </c>
      <c r="I1201" s="25" t="str">
        <f t="shared" si="129"/>
        <v/>
      </c>
      <c r="J1201" s="20" t="str">
        <f t="shared" si="130"/>
        <v/>
      </c>
      <c r="K1201" s="20" t="str">
        <f t="shared" si="131"/>
        <v/>
      </c>
      <c r="L1201" s="20" t="str">
        <f>IF(B1201="","",70*'DDF Original'!$Q$4)</f>
        <v/>
      </c>
      <c r="M1201" s="20" t="str">
        <f t="shared" si="132"/>
        <v/>
      </c>
      <c r="N1201" s="20" t="str">
        <f>IF(AND(OR(B1201="",J1201&gt;G1201,M1201&gt;G1201),'DDF Original'!L1201&lt;&gt; "MI"),G1201,IF(M1201&gt;J1201,M1201,J1201))</f>
        <v/>
      </c>
    </row>
    <row r="1202" spans="2:14" x14ac:dyDescent="0.2">
      <c r="B1202" s="19" t="str">
        <f>IF('DDF Original'!B1202="","",'DDF Original'!B1202)</f>
        <v/>
      </c>
      <c r="C1202" s="19" t="e">
        <f t="shared" si="126"/>
        <v>#VALUE!</v>
      </c>
      <c r="D1202" s="20" t="str">
        <f>IF('DDF Original'!C1202="","",'DDF Original'!C1202)</f>
        <v/>
      </c>
      <c r="E1202" s="24" t="str">
        <f>IF('DDF Original'!B1202="","",IF(TRIM('DDF Original'!I1202)="",0,'DDF Original'!I1202))</f>
        <v/>
      </c>
      <c r="F1202" s="20" t="str">
        <f t="shared" si="127"/>
        <v/>
      </c>
      <c r="G1202" s="37" t="str">
        <f>IF('DDF Original'!B1202="","",IF(TRIM('DDF Original'!P1202)="",0,'DDF Original'!P1202))</f>
        <v/>
      </c>
      <c r="H1202" s="20" t="str">
        <f t="shared" si="128"/>
        <v/>
      </c>
      <c r="I1202" s="25" t="str">
        <f t="shared" si="129"/>
        <v/>
      </c>
      <c r="J1202" s="20" t="str">
        <f t="shared" si="130"/>
        <v/>
      </c>
      <c r="K1202" s="20" t="str">
        <f t="shared" si="131"/>
        <v/>
      </c>
      <c r="L1202" s="20" t="str">
        <f>IF(B1202="","",70*'DDF Original'!$Q$4)</f>
        <v/>
      </c>
      <c r="M1202" s="20" t="str">
        <f t="shared" si="132"/>
        <v/>
      </c>
      <c r="N1202" s="20" t="str">
        <f>IF(AND(OR(B1202="",J1202&gt;G1202,M1202&gt;G1202),'DDF Original'!L1202&lt;&gt; "MI"),G1202,IF(M1202&gt;J1202,M1202,J1202))</f>
        <v/>
      </c>
    </row>
    <row r="1203" spans="2:14" x14ac:dyDescent="0.2">
      <c r="B1203" s="19" t="str">
        <f>IF('DDF Original'!B1203="","",'DDF Original'!B1203)</f>
        <v/>
      </c>
      <c r="C1203" s="19" t="e">
        <f t="shared" si="126"/>
        <v>#VALUE!</v>
      </c>
      <c r="D1203" s="20" t="str">
        <f>IF('DDF Original'!C1203="","",'DDF Original'!C1203)</f>
        <v/>
      </c>
      <c r="E1203" s="24" t="str">
        <f>IF('DDF Original'!B1203="","",IF(TRIM('DDF Original'!I1203)="",0,'DDF Original'!I1203))</f>
        <v/>
      </c>
      <c r="F1203" s="20" t="str">
        <f t="shared" si="127"/>
        <v/>
      </c>
      <c r="G1203" s="37" t="str">
        <f>IF('DDF Original'!B1203="","",IF(TRIM('DDF Original'!P1203)="",0,'DDF Original'!P1203))</f>
        <v/>
      </c>
      <c r="H1203" s="20" t="str">
        <f t="shared" si="128"/>
        <v/>
      </c>
      <c r="I1203" s="25" t="str">
        <f t="shared" si="129"/>
        <v/>
      </c>
      <c r="J1203" s="20" t="str">
        <f t="shared" si="130"/>
        <v/>
      </c>
      <c r="K1203" s="20" t="str">
        <f t="shared" si="131"/>
        <v/>
      </c>
      <c r="L1203" s="20" t="str">
        <f>IF(B1203="","",70*'DDF Original'!$Q$4)</f>
        <v/>
      </c>
      <c r="M1203" s="20" t="str">
        <f t="shared" si="132"/>
        <v/>
      </c>
      <c r="N1203" s="20" t="str">
        <f>IF(AND(OR(B1203="",J1203&gt;G1203,M1203&gt;G1203),'DDF Original'!L1203&lt;&gt; "MI"),G1203,IF(M1203&gt;J1203,M1203,J1203))</f>
        <v/>
      </c>
    </row>
    <row r="1204" spans="2:14" x14ac:dyDescent="0.2">
      <c r="B1204" s="19" t="str">
        <f>IF('DDF Original'!B1204="","",'DDF Original'!B1204)</f>
        <v/>
      </c>
      <c r="C1204" s="19" t="e">
        <f t="shared" si="126"/>
        <v>#VALUE!</v>
      </c>
      <c r="D1204" s="20" t="str">
        <f>IF('DDF Original'!C1204="","",'DDF Original'!C1204)</f>
        <v/>
      </c>
      <c r="E1204" s="24" t="str">
        <f>IF('DDF Original'!B1204="","",IF(TRIM('DDF Original'!I1204)="",0,'DDF Original'!I1204))</f>
        <v/>
      </c>
      <c r="F1204" s="20" t="str">
        <f t="shared" si="127"/>
        <v/>
      </c>
      <c r="G1204" s="37" t="str">
        <f>IF('DDF Original'!B1204="","",IF(TRIM('DDF Original'!P1204)="",0,'DDF Original'!P1204))</f>
        <v/>
      </c>
      <c r="H1204" s="20" t="str">
        <f t="shared" si="128"/>
        <v/>
      </c>
      <c r="I1204" s="25" t="str">
        <f t="shared" si="129"/>
        <v/>
      </c>
      <c r="J1204" s="20" t="str">
        <f t="shared" si="130"/>
        <v/>
      </c>
      <c r="K1204" s="20" t="str">
        <f t="shared" si="131"/>
        <v/>
      </c>
      <c r="L1204" s="20" t="str">
        <f>IF(B1204="","",70*'DDF Original'!$Q$4)</f>
        <v/>
      </c>
      <c r="M1204" s="20" t="str">
        <f t="shared" si="132"/>
        <v/>
      </c>
      <c r="N1204" s="20" t="str">
        <f>IF(AND(OR(B1204="",J1204&gt;G1204,M1204&gt;G1204),'DDF Original'!L1204&lt;&gt; "MI"),G1204,IF(M1204&gt;J1204,M1204,J1204))</f>
        <v/>
      </c>
    </row>
    <row r="1205" spans="2:14" x14ac:dyDescent="0.2">
      <c r="B1205" s="19" t="str">
        <f>IF('DDF Original'!B1205="","",'DDF Original'!B1205)</f>
        <v/>
      </c>
      <c r="C1205" s="19" t="e">
        <f t="shared" si="126"/>
        <v>#VALUE!</v>
      </c>
      <c r="D1205" s="20" t="str">
        <f>IF('DDF Original'!C1205="","",'DDF Original'!C1205)</f>
        <v/>
      </c>
      <c r="E1205" s="24" t="str">
        <f>IF('DDF Original'!B1205="","",IF(TRIM('DDF Original'!I1205)="",0,'DDF Original'!I1205))</f>
        <v/>
      </c>
      <c r="F1205" s="20" t="str">
        <f t="shared" si="127"/>
        <v/>
      </c>
      <c r="G1205" s="37" t="str">
        <f>IF('DDF Original'!B1205="","",IF(TRIM('DDF Original'!P1205)="",0,'DDF Original'!P1205))</f>
        <v/>
      </c>
      <c r="H1205" s="20" t="str">
        <f t="shared" si="128"/>
        <v/>
      </c>
      <c r="I1205" s="25" t="str">
        <f t="shared" si="129"/>
        <v/>
      </c>
      <c r="J1205" s="20" t="str">
        <f t="shared" si="130"/>
        <v/>
      </c>
      <c r="K1205" s="20" t="str">
        <f t="shared" si="131"/>
        <v/>
      </c>
      <c r="L1205" s="20" t="str">
        <f>IF(B1205="","",70*'DDF Original'!$Q$4)</f>
        <v/>
      </c>
      <c r="M1205" s="20" t="str">
        <f t="shared" si="132"/>
        <v/>
      </c>
      <c r="N1205" s="20" t="str">
        <f>IF(AND(OR(B1205="",J1205&gt;G1205,M1205&gt;G1205),'DDF Original'!L1205&lt;&gt; "MI"),G1205,IF(M1205&gt;J1205,M1205,J1205))</f>
        <v/>
      </c>
    </row>
    <row r="1206" spans="2:14" x14ac:dyDescent="0.2">
      <c r="B1206" s="19" t="str">
        <f>IF('DDF Original'!B1206="","",'DDF Original'!B1206)</f>
        <v/>
      </c>
      <c r="C1206" s="19" t="e">
        <f t="shared" si="126"/>
        <v>#VALUE!</v>
      </c>
      <c r="D1206" s="20" t="str">
        <f>IF('DDF Original'!C1206="","",'DDF Original'!C1206)</f>
        <v/>
      </c>
      <c r="E1206" s="24" t="str">
        <f>IF('DDF Original'!B1206="","",IF(TRIM('DDF Original'!I1206)="",0,'DDF Original'!I1206))</f>
        <v/>
      </c>
      <c r="F1206" s="20" t="str">
        <f t="shared" si="127"/>
        <v/>
      </c>
      <c r="G1206" s="37" t="str">
        <f>IF('DDF Original'!B1206="","",IF(TRIM('DDF Original'!P1206)="",0,'DDF Original'!P1206))</f>
        <v/>
      </c>
      <c r="H1206" s="20" t="str">
        <f t="shared" si="128"/>
        <v/>
      </c>
      <c r="I1206" s="25" t="str">
        <f t="shared" si="129"/>
        <v/>
      </c>
      <c r="J1206" s="20" t="str">
        <f t="shared" si="130"/>
        <v/>
      </c>
      <c r="K1206" s="20" t="str">
        <f t="shared" si="131"/>
        <v/>
      </c>
      <c r="L1206" s="20" t="str">
        <f>IF(B1206="","",70*'DDF Original'!$Q$4)</f>
        <v/>
      </c>
      <c r="M1206" s="20" t="str">
        <f t="shared" si="132"/>
        <v/>
      </c>
      <c r="N1206" s="20" t="str">
        <f>IF(AND(OR(B1206="",J1206&gt;G1206,M1206&gt;G1206),'DDF Original'!L1206&lt;&gt; "MI"),G1206,IF(M1206&gt;J1206,M1206,J1206))</f>
        <v/>
      </c>
    </row>
    <row r="1207" spans="2:14" x14ac:dyDescent="0.2">
      <c r="B1207" s="19" t="str">
        <f>IF('DDF Original'!B1207="","",'DDF Original'!B1207)</f>
        <v/>
      </c>
      <c r="C1207" s="19" t="e">
        <f t="shared" si="126"/>
        <v>#VALUE!</v>
      </c>
      <c r="D1207" s="20" t="str">
        <f>IF('DDF Original'!C1207="","",'DDF Original'!C1207)</f>
        <v/>
      </c>
      <c r="E1207" s="24" t="str">
        <f>IF('DDF Original'!B1207="","",IF(TRIM('DDF Original'!I1207)="",0,'DDF Original'!I1207))</f>
        <v/>
      </c>
      <c r="F1207" s="20" t="str">
        <f t="shared" si="127"/>
        <v/>
      </c>
      <c r="G1207" s="37" t="str">
        <f>IF('DDF Original'!B1207="","",IF(TRIM('DDF Original'!P1207)="",0,'DDF Original'!P1207))</f>
        <v/>
      </c>
      <c r="H1207" s="20" t="str">
        <f t="shared" si="128"/>
        <v/>
      </c>
      <c r="I1207" s="25" t="str">
        <f t="shared" si="129"/>
        <v/>
      </c>
      <c r="J1207" s="20" t="str">
        <f t="shared" si="130"/>
        <v/>
      </c>
      <c r="K1207" s="20" t="str">
        <f t="shared" si="131"/>
        <v/>
      </c>
      <c r="L1207" s="20" t="str">
        <f>IF(B1207="","",70*'DDF Original'!$Q$4)</f>
        <v/>
      </c>
      <c r="M1207" s="20" t="str">
        <f t="shared" si="132"/>
        <v/>
      </c>
      <c r="N1207" s="20" t="str">
        <f>IF(AND(OR(B1207="",J1207&gt;G1207,M1207&gt;G1207),'DDF Original'!L1207&lt;&gt; "MI"),G1207,IF(M1207&gt;J1207,M1207,J1207))</f>
        <v/>
      </c>
    </row>
    <row r="1208" spans="2:14" x14ac:dyDescent="0.2">
      <c r="B1208" s="19" t="str">
        <f>IF('DDF Original'!B1208="","",'DDF Original'!B1208)</f>
        <v/>
      </c>
      <c r="C1208" s="19" t="e">
        <f t="shared" si="126"/>
        <v>#VALUE!</v>
      </c>
      <c r="D1208" s="20" t="str">
        <f>IF('DDF Original'!C1208="","",'DDF Original'!C1208)</f>
        <v/>
      </c>
      <c r="E1208" s="24" t="str">
        <f>IF('DDF Original'!B1208="","",IF(TRIM('DDF Original'!I1208)="",0,'DDF Original'!I1208))</f>
        <v/>
      </c>
      <c r="F1208" s="20" t="str">
        <f t="shared" si="127"/>
        <v/>
      </c>
      <c r="G1208" s="37" t="str">
        <f>IF('DDF Original'!B1208="","",IF(TRIM('DDF Original'!P1208)="",0,'DDF Original'!P1208))</f>
        <v/>
      </c>
      <c r="H1208" s="20" t="str">
        <f t="shared" si="128"/>
        <v/>
      </c>
      <c r="I1208" s="25" t="str">
        <f t="shared" si="129"/>
        <v/>
      </c>
      <c r="J1208" s="20" t="str">
        <f t="shared" si="130"/>
        <v/>
      </c>
      <c r="K1208" s="20" t="str">
        <f t="shared" si="131"/>
        <v/>
      </c>
      <c r="L1208" s="20" t="str">
        <f>IF(B1208="","",70*'DDF Original'!$Q$4)</f>
        <v/>
      </c>
      <c r="M1208" s="20" t="str">
        <f t="shared" si="132"/>
        <v/>
      </c>
      <c r="N1208" s="20" t="str">
        <f>IF(AND(OR(B1208="",J1208&gt;G1208,M1208&gt;G1208),'DDF Original'!L1208&lt;&gt; "MI"),G1208,IF(M1208&gt;J1208,M1208,J1208))</f>
        <v/>
      </c>
    </row>
    <row r="1209" spans="2:14" x14ac:dyDescent="0.2">
      <c r="B1209" s="19" t="str">
        <f>IF('DDF Original'!B1209="","",'DDF Original'!B1209)</f>
        <v/>
      </c>
      <c r="C1209" s="19" t="e">
        <f t="shared" si="126"/>
        <v>#VALUE!</v>
      </c>
      <c r="D1209" s="20" t="str">
        <f>IF('DDF Original'!C1209="","",'DDF Original'!C1209)</f>
        <v/>
      </c>
      <c r="E1209" s="24" t="str">
        <f>IF('DDF Original'!B1209="","",IF(TRIM('DDF Original'!I1209)="",0,'DDF Original'!I1209))</f>
        <v/>
      </c>
      <c r="F1209" s="20" t="str">
        <f t="shared" si="127"/>
        <v/>
      </c>
      <c r="G1209" s="37" t="str">
        <f>IF('DDF Original'!B1209="","",IF(TRIM('DDF Original'!P1209)="",0,'DDF Original'!P1209))</f>
        <v/>
      </c>
      <c r="H1209" s="20" t="str">
        <f t="shared" si="128"/>
        <v/>
      </c>
      <c r="I1209" s="25" t="str">
        <f t="shared" si="129"/>
        <v/>
      </c>
      <c r="J1209" s="20" t="str">
        <f t="shared" si="130"/>
        <v/>
      </c>
      <c r="K1209" s="20" t="str">
        <f t="shared" si="131"/>
        <v/>
      </c>
      <c r="L1209" s="20" t="str">
        <f>IF(B1209="","",70*'DDF Original'!$Q$4)</f>
        <v/>
      </c>
      <c r="M1209" s="20" t="str">
        <f t="shared" si="132"/>
        <v/>
      </c>
      <c r="N1209" s="20" t="str">
        <f>IF(AND(OR(B1209="",J1209&gt;G1209,M1209&gt;G1209),'DDF Original'!L1209&lt;&gt; "MI"),G1209,IF(M1209&gt;J1209,M1209,J1209))</f>
        <v/>
      </c>
    </row>
    <row r="1210" spans="2:14" x14ac:dyDescent="0.2">
      <c r="B1210" s="19" t="str">
        <f>IF('DDF Original'!B1210="","",'DDF Original'!B1210)</f>
        <v/>
      </c>
      <c r="C1210" s="19" t="e">
        <f t="shared" si="126"/>
        <v>#VALUE!</v>
      </c>
      <c r="D1210" s="20" t="str">
        <f>IF('DDF Original'!C1210="","",'DDF Original'!C1210)</f>
        <v/>
      </c>
      <c r="E1210" s="24" t="str">
        <f>IF('DDF Original'!B1210="","",IF(TRIM('DDF Original'!I1210)="",0,'DDF Original'!I1210))</f>
        <v/>
      </c>
      <c r="F1210" s="20" t="str">
        <f t="shared" si="127"/>
        <v/>
      </c>
      <c r="G1210" s="37" t="str">
        <f>IF('DDF Original'!B1210="","",IF(TRIM('DDF Original'!P1210)="",0,'DDF Original'!P1210))</f>
        <v/>
      </c>
      <c r="H1210" s="20" t="str">
        <f t="shared" si="128"/>
        <v/>
      </c>
      <c r="I1210" s="25" t="str">
        <f t="shared" si="129"/>
        <v/>
      </c>
      <c r="J1210" s="20" t="str">
        <f t="shared" si="130"/>
        <v/>
      </c>
      <c r="K1210" s="20" t="str">
        <f t="shared" si="131"/>
        <v/>
      </c>
      <c r="L1210" s="20" t="str">
        <f>IF(B1210="","",70*'DDF Original'!$Q$4)</f>
        <v/>
      </c>
      <c r="M1210" s="20" t="str">
        <f t="shared" si="132"/>
        <v/>
      </c>
      <c r="N1210" s="20" t="str">
        <f>IF(AND(OR(B1210="",J1210&gt;G1210,M1210&gt;G1210),'DDF Original'!L1210&lt;&gt; "MI"),G1210,IF(M1210&gt;J1210,M1210,J1210))</f>
        <v/>
      </c>
    </row>
    <row r="1211" spans="2:14" x14ac:dyDescent="0.2">
      <c r="B1211" s="19" t="str">
        <f>IF('DDF Original'!B1211="","",'DDF Original'!B1211)</f>
        <v/>
      </c>
      <c r="C1211" s="19" t="e">
        <f t="shared" si="126"/>
        <v>#VALUE!</v>
      </c>
      <c r="D1211" s="20" t="str">
        <f>IF('DDF Original'!C1211="","",'DDF Original'!C1211)</f>
        <v/>
      </c>
      <c r="E1211" s="24" t="str">
        <f>IF('DDF Original'!B1211="","",IF(TRIM('DDF Original'!I1211)="",0,'DDF Original'!I1211))</f>
        <v/>
      </c>
      <c r="F1211" s="20" t="str">
        <f t="shared" si="127"/>
        <v/>
      </c>
      <c r="G1211" s="37" t="str">
        <f>IF('DDF Original'!B1211="","",IF(TRIM('DDF Original'!P1211)="",0,'DDF Original'!P1211))</f>
        <v/>
      </c>
      <c r="H1211" s="20" t="str">
        <f t="shared" si="128"/>
        <v/>
      </c>
      <c r="I1211" s="25" t="str">
        <f t="shared" si="129"/>
        <v/>
      </c>
      <c r="J1211" s="20" t="str">
        <f t="shared" si="130"/>
        <v/>
      </c>
      <c r="K1211" s="20" t="str">
        <f t="shared" si="131"/>
        <v/>
      </c>
      <c r="L1211" s="20" t="str">
        <f>IF(B1211="","",70*'DDF Original'!$Q$4)</f>
        <v/>
      </c>
      <c r="M1211" s="20" t="str">
        <f t="shared" si="132"/>
        <v/>
      </c>
      <c r="N1211" s="20" t="str">
        <f>IF(AND(OR(B1211="",J1211&gt;G1211,M1211&gt;G1211),'DDF Original'!L1211&lt;&gt; "MI"),G1211,IF(M1211&gt;J1211,M1211,J1211))</f>
        <v/>
      </c>
    </row>
    <row r="1212" spans="2:14" x14ac:dyDescent="0.2">
      <c r="B1212" s="19" t="str">
        <f>IF('DDF Original'!B1212="","",'DDF Original'!B1212)</f>
        <v/>
      </c>
      <c r="C1212" s="19" t="e">
        <f t="shared" si="126"/>
        <v>#VALUE!</v>
      </c>
      <c r="D1212" s="20" t="str">
        <f>IF('DDF Original'!C1212="","",'DDF Original'!C1212)</f>
        <v/>
      </c>
      <c r="E1212" s="24" t="str">
        <f>IF('DDF Original'!B1212="","",IF(TRIM('DDF Original'!I1212)="",0,'DDF Original'!I1212))</f>
        <v/>
      </c>
      <c r="F1212" s="20" t="str">
        <f t="shared" si="127"/>
        <v/>
      </c>
      <c r="G1212" s="37" t="str">
        <f>IF('DDF Original'!B1212="","",IF(TRIM('DDF Original'!P1212)="",0,'DDF Original'!P1212))</f>
        <v/>
      </c>
      <c r="H1212" s="20" t="str">
        <f t="shared" si="128"/>
        <v/>
      </c>
      <c r="I1212" s="25" t="str">
        <f t="shared" si="129"/>
        <v/>
      </c>
      <c r="J1212" s="20" t="str">
        <f t="shared" si="130"/>
        <v/>
      </c>
      <c r="K1212" s="20" t="str">
        <f t="shared" si="131"/>
        <v/>
      </c>
      <c r="L1212" s="20" t="str">
        <f>IF(B1212="","",70*'DDF Original'!$Q$4)</f>
        <v/>
      </c>
      <c r="M1212" s="20" t="str">
        <f t="shared" si="132"/>
        <v/>
      </c>
      <c r="N1212" s="20" t="str">
        <f>IF(AND(OR(B1212="",J1212&gt;G1212,M1212&gt;G1212),'DDF Original'!L1212&lt;&gt; "MI"),G1212,IF(M1212&gt;J1212,M1212,J1212))</f>
        <v/>
      </c>
    </row>
    <row r="1213" spans="2:14" x14ac:dyDescent="0.2">
      <c r="B1213" s="19" t="str">
        <f>IF('DDF Original'!B1213="","",'DDF Original'!B1213)</f>
        <v/>
      </c>
      <c r="C1213" s="19" t="e">
        <f t="shared" ref="C1213:C1276" si="133">LEFT(B1213,FIND(".",B1213)-1)</f>
        <v>#VALUE!</v>
      </c>
      <c r="D1213" s="20" t="str">
        <f>IF('DDF Original'!C1213="","",'DDF Original'!C1213)</f>
        <v/>
      </c>
      <c r="E1213" s="24" t="str">
        <f>IF('DDF Original'!B1213="","",IF(TRIM('DDF Original'!I1213)="",0,'DDF Original'!I1213))</f>
        <v/>
      </c>
      <c r="F1213" s="20" t="str">
        <f t="shared" ref="F1213:F1276" si="134">IF(D1213="",D1213,ROUND(D1213*(1+E1213/100),2))</f>
        <v/>
      </c>
      <c r="G1213" s="37" t="str">
        <f>IF('DDF Original'!B1213="","",IF(TRIM('DDF Original'!P1213)="",0,'DDF Original'!P1213))</f>
        <v/>
      </c>
      <c r="H1213" s="20" t="str">
        <f t="shared" ref="H1213:H1276" si="135">IF(OR(D1213=0,D1213=""),G1213,F1213)</f>
        <v/>
      </c>
      <c r="I1213" s="25" t="str">
        <f t="shared" ref="I1213:I1276" si="136">IF(B1213="","",IF(OR(D1213=0,D1213=""),50,35))</f>
        <v/>
      </c>
      <c r="J1213" s="20" t="str">
        <f t="shared" ref="J1213:J1276" si="137">IF(B1213="","",ROUND(H1213*I1213/100,2))</f>
        <v/>
      </c>
      <c r="K1213" s="20" t="str">
        <f t="shared" ref="K1213:K1276" si="138">IF(B1213="","",SUMIFS($J$9:$J$508,$C$9:$C$508,"="&amp;C1213))</f>
        <v/>
      </c>
      <c r="L1213" s="20" t="str">
        <f>IF(B1213="","",70*'DDF Original'!$Q$4)</f>
        <v/>
      </c>
      <c r="M1213" s="20" t="str">
        <f t="shared" ref="M1213:M1276" si="139">IF(B1213="","",ROUND(J1213/K1213*L1213,2))</f>
        <v/>
      </c>
      <c r="N1213" s="20" t="str">
        <f>IF(AND(OR(B1213="",J1213&gt;G1213,M1213&gt;G1213),'DDF Original'!L1213&lt;&gt; "MI"),G1213,IF(M1213&gt;J1213,M1213,J1213))</f>
        <v/>
      </c>
    </row>
    <row r="1214" spans="2:14" x14ac:dyDescent="0.2">
      <c r="B1214" s="19" t="str">
        <f>IF('DDF Original'!B1214="","",'DDF Original'!B1214)</f>
        <v/>
      </c>
      <c r="C1214" s="19" t="e">
        <f t="shared" si="133"/>
        <v>#VALUE!</v>
      </c>
      <c r="D1214" s="20" t="str">
        <f>IF('DDF Original'!C1214="","",'DDF Original'!C1214)</f>
        <v/>
      </c>
      <c r="E1214" s="24" t="str">
        <f>IF('DDF Original'!B1214="","",IF(TRIM('DDF Original'!I1214)="",0,'DDF Original'!I1214))</f>
        <v/>
      </c>
      <c r="F1214" s="20" t="str">
        <f t="shared" si="134"/>
        <v/>
      </c>
      <c r="G1214" s="37" t="str">
        <f>IF('DDF Original'!B1214="","",IF(TRIM('DDF Original'!P1214)="",0,'DDF Original'!P1214))</f>
        <v/>
      </c>
      <c r="H1214" s="20" t="str">
        <f t="shared" si="135"/>
        <v/>
      </c>
      <c r="I1214" s="25" t="str">
        <f t="shared" si="136"/>
        <v/>
      </c>
      <c r="J1214" s="20" t="str">
        <f t="shared" si="137"/>
        <v/>
      </c>
      <c r="K1214" s="20" t="str">
        <f t="shared" si="138"/>
        <v/>
      </c>
      <c r="L1214" s="20" t="str">
        <f>IF(B1214="","",70*'DDF Original'!$Q$4)</f>
        <v/>
      </c>
      <c r="M1214" s="20" t="str">
        <f t="shared" si="139"/>
        <v/>
      </c>
      <c r="N1214" s="20" t="str">
        <f>IF(AND(OR(B1214="",J1214&gt;G1214,M1214&gt;G1214),'DDF Original'!L1214&lt;&gt; "MI"),G1214,IF(M1214&gt;J1214,M1214,J1214))</f>
        <v/>
      </c>
    </row>
    <row r="1215" spans="2:14" x14ac:dyDescent="0.2">
      <c r="B1215" s="19" t="str">
        <f>IF('DDF Original'!B1215="","",'DDF Original'!B1215)</f>
        <v/>
      </c>
      <c r="C1215" s="19" t="e">
        <f t="shared" si="133"/>
        <v>#VALUE!</v>
      </c>
      <c r="D1215" s="20" t="str">
        <f>IF('DDF Original'!C1215="","",'DDF Original'!C1215)</f>
        <v/>
      </c>
      <c r="E1215" s="24" t="str">
        <f>IF('DDF Original'!B1215="","",IF(TRIM('DDF Original'!I1215)="",0,'DDF Original'!I1215))</f>
        <v/>
      </c>
      <c r="F1215" s="20" t="str">
        <f t="shared" si="134"/>
        <v/>
      </c>
      <c r="G1215" s="37" t="str">
        <f>IF('DDF Original'!B1215="","",IF(TRIM('DDF Original'!P1215)="",0,'DDF Original'!P1215))</f>
        <v/>
      </c>
      <c r="H1215" s="20" t="str">
        <f t="shared" si="135"/>
        <v/>
      </c>
      <c r="I1215" s="25" t="str">
        <f t="shared" si="136"/>
        <v/>
      </c>
      <c r="J1215" s="20" t="str">
        <f t="shared" si="137"/>
        <v/>
      </c>
      <c r="K1215" s="20" t="str">
        <f t="shared" si="138"/>
        <v/>
      </c>
      <c r="L1215" s="20" t="str">
        <f>IF(B1215="","",70*'DDF Original'!$Q$4)</f>
        <v/>
      </c>
      <c r="M1215" s="20" t="str">
        <f t="shared" si="139"/>
        <v/>
      </c>
      <c r="N1215" s="20" t="str">
        <f>IF(AND(OR(B1215="",J1215&gt;G1215,M1215&gt;G1215),'DDF Original'!L1215&lt;&gt; "MI"),G1215,IF(M1215&gt;J1215,M1215,J1215))</f>
        <v/>
      </c>
    </row>
    <row r="1216" spans="2:14" x14ac:dyDescent="0.2">
      <c r="B1216" s="19" t="str">
        <f>IF('DDF Original'!B1216="","",'DDF Original'!B1216)</f>
        <v/>
      </c>
      <c r="C1216" s="19" t="e">
        <f t="shared" si="133"/>
        <v>#VALUE!</v>
      </c>
      <c r="D1216" s="20" t="str">
        <f>IF('DDF Original'!C1216="","",'DDF Original'!C1216)</f>
        <v/>
      </c>
      <c r="E1216" s="24" t="str">
        <f>IF('DDF Original'!B1216="","",IF(TRIM('DDF Original'!I1216)="",0,'DDF Original'!I1216))</f>
        <v/>
      </c>
      <c r="F1216" s="20" t="str">
        <f t="shared" si="134"/>
        <v/>
      </c>
      <c r="G1216" s="37" t="str">
        <f>IF('DDF Original'!B1216="","",IF(TRIM('DDF Original'!P1216)="",0,'DDF Original'!P1216))</f>
        <v/>
      </c>
      <c r="H1216" s="20" t="str">
        <f t="shared" si="135"/>
        <v/>
      </c>
      <c r="I1216" s="25" t="str">
        <f t="shared" si="136"/>
        <v/>
      </c>
      <c r="J1216" s="20" t="str">
        <f t="shared" si="137"/>
        <v/>
      </c>
      <c r="K1216" s="20" t="str">
        <f t="shared" si="138"/>
        <v/>
      </c>
      <c r="L1216" s="20" t="str">
        <f>IF(B1216="","",70*'DDF Original'!$Q$4)</f>
        <v/>
      </c>
      <c r="M1216" s="20" t="str">
        <f t="shared" si="139"/>
        <v/>
      </c>
      <c r="N1216" s="20" t="str">
        <f>IF(AND(OR(B1216="",J1216&gt;G1216,M1216&gt;G1216),'DDF Original'!L1216&lt;&gt; "MI"),G1216,IF(M1216&gt;J1216,M1216,J1216))</f>
        <v/>
      </c>
    </row>
    <row r="1217" spans="2:14" x14ac:dyDescent="0.2">
      <c r="B1217" s="19" t="str">
        <f>IF('DDF Original'!B1217="","",'DDF Original'!B1217)</f>
        <v/>
      </c>
      <c r="C1217" s="19" t="e">
        <f t="shared" si="133"/>
        <v>#VALUE!</v>
      </c>
      <c r="D1217" s="20" t="str">
        <f>IF('DDF Original'!C1217="","",'DDF Original'!C1217)</f>
        <v/>
      </c>
      <c r="E1217" s="24" t="str">
        <f>IF('DDF Original'!B1217="","",IF(TRIM('DDF Original'!I1217)="",0,'DDF Original'!I1217))</f>
        <v/>
      </c>
      <c r="F1217" s="20" t="str">
        <f t="shared" si="134"/>
        <v/>
      </c>
      <c r="G1217" s="37" t="str">
        <f>IF('DDF Original'!B1217="","",IF(TRIM('DDF Original'!P1217)="",0,'DDF Original'!P1217))</f>
        <v/>
      </c>
      <c r="H1217" s="20" t="str">
        <f t="shared" si="135"/>
        <v/>
      </c>
      <c r="I1217" s="25" t="str">
        <f t="shared" si="136"/>
        <v/>
      </c>
      <c r="J1217" s="20" t="str">
        <f t="shared" si="137"/>
        <v/>
      </c>
      <c r="K1217" s="20" t="str">
        <f t="shared" si="138"/>
        <v/>
      </c>
      <c r="L1217" s="20" t="str">
        <f>IF(B1217="","",70*'DDF Original'!$Q$4)</f>
        <v/>
      </c>
      <c r="M1217" s="20" t="str">
        <f t="shared" si="139"/>
        <v/>
      </c>
      <c r="N1217" s="20" t="str">
        <f>IF(AND(OR(B1217="",J1217&gt;G1217,M1217&gt;G1217),'DDF Original'!L1217&lt;&gt; "MI"),G1217,IF(M1217&gt;J1217,M1217,J1217))</f>
        <v/>
      </c>
    </row>
    <row r="1218" spans="2:14" x14ac:dyDescent="0.2">
      <c r="B1218" s="19" t="str">
        <f>IF('DDF Original'!B1218="","",'DDF Original'!B1218)</f>
        <v/>
      </c>
      <c r="C1218" s="19" t="e">
        <f t="shared" si="133"/>
        <v>#VALUE!</v>
      </c>
      <c r="D1218" s="20" t="str">
        <f>IF('DDF Original'!C1218="","",'DDF Original'!C1218)</f>
        <v/>
      </c>
      <c r="E1218" s="24" t="str">
        <f>IF('DDF Original'!B1218="","",IF(TRIM('DDF Original'!I1218)="",0,'DDF Original'!I1218))</f>
        <v/>
      </c>
      <c r="F1218" s="20" t="str">
        <f t="shared" si="134"/>
        <v/>
      </c>
      <c r="G1218" s="37" t="str">
        <f>IF('DDF Original'!B1218="","",IF(TRIM('DDF Original'!P1218)="",0,'DDF Original'!P1218))</f>
        <v/>
      </c>
      <c r="H1218" s="20" t="str">
        <f t="shared" si="135"/>
        <v/>
      </c>
      <c r="I1218" s="25" t="str">
        <f t="shared" si="136"/>
        <v/>
      </c>
      <c r="J1218" s="20" t="str">
        <f t="shared" si="137"/>
        <v/>
      </c>
      <c r="K1218" s="20" t="str">
        <f t="shared" si="138"/>
        <v/>
      </c>
      <c r="L1218" s="20" t="str">
        <f>IF(B1218="","",70*'DDF Original'!$Q$4)</f>
        <v/>
      </c>
      <c r="M1218" s="20" t="str">
        <f t="shared" si="139"/>
        <v/>
      </c>
      <c r="N1218" s="20" t="str">
        <f>IF(AND(OR(B1218="",J1218&gt;G1218,M1218&gt;G1218),'DDF Original'!L1218&lt;&gt; "MI"),G1218,IF(M1218&gt;J1218,M1218,J1218))</f>
        <v/>
      </c>
    </row>
    <row r="1219" spans="2:14" x14ac:dyDescent="0.2">
      <c r="B1219" s="19" t="str">
        <f>IF('DDF Original'!B1219="","",'DDF Original'!B1219)</f>
        <v/>
      </c>
      <c r="C1219" s="19" t="e">
        <f t="shared" si="133"/>
        <v>#VALUE!</v>
      </c>
      <c r="D1219" s="20" t="str">
        <f>IF('DDF Original'!C1219="","",'DDF Original'!C1219)</f>
        <v/>
      </c>
      <c r="E1219" s="24" t="str">
        <f>IF('DDF Original'!B1219="","",IF(TRIM('DDF Original'!I1219)="",0,'DDF Original'!I1219))</f>
        <v/>
      </c>
      <c r="F1219" s="20" t="str">
        <f t="shared" si="134"/>
        <v/>
      </c>
      <c r="G1219" s="37" t="str">
        <f>IF('DDF Original'!B1219="","",IF(TRIM('DDF Original'!P1219)="",0,'DDF Original'!P1219))</f>
        <v/>
      </c>
      <c r="H1219" s="20" t="str">
        <f t="shared" si="135"/>
        <v/>
      </c>
      <c r="I1219" s="25" t="str">
        <f t="shared" si="136"/>
        <v/>
      </c>
      <c r="J1219" s="20" t="str">
        <f t="shared" si="137"/>
        <v/>
      </c>
      <c r="K1219" s="20" t="str">
        <f t="shared" si="138"/>
        <v/>
      </c>
      <c r="L1219" s="20" t="str">
        <f>IF(B1219="","",70*'DDF Original'!$Q$4)</f>
        <v/>
      </c>
      <c r="M1219" s="20" t="str">
        <f t="shared" si="139"/>
        <v/>
      </c>
      <c r="N1219" s="20" t="str">
        <f>IF(AND(OR(B1219="",J1219&gt;G1219,M1219&gt;G1219),'DDF Original'!L1219&lt;&gt; "MI"),G1219,IF(M1219&gt;J1219,M1219,J1219))</f>
        <v/>
      </c>
    </row>
    <row r="1220" spans="2:14" x14ac:dyDescent="0.2">
      <c r="B1220" s="19" t="str">
        <f>IF('DDF Original'!B1220="","",'DDF Original'!B1220)</f>
        <v/>
      </c>
      <c r="C1220" s="19" t="e">
        <f t="shared" si="133"/>
        <v>#VALUE!</v>
      </c>
      <c r="D1220" s="20" t="str">
        <f>IF('DDF Original'!C1220="","",'DDF Original'!C1220)</f>
        <v/>
      </c>
      <c r="E1220" s="24" t="str">
        <f>IF('DDF Original'!B1220="","",IF(TRIM('DDF Original'!I1220)="",0,'DDF Original'!I1220))</f>
        <v/>
      </c>
      <c r="F1220" s="20" t="str">
        <f t="shared" si="134"/>
        <v/>
      </c>
      <c r="G1220" s="37" t="str">
        <f>IF('DDF Original'!B1220="","",IF(TRIM('DDF Original'!P1220)="",0,'DDF Original'!P1220))</f>
        <v/>
      </c>
      <c r="H1220" s="20" t="str">
        <f t="shared" si="135"/>
        <v/>
      </c>
      <c r="I1220" s="25" t="str">
        <f t="shared" si="136"/>
        <v/>
      </c>
      <c r="J1220" s="20" t="str">
        <f t="shared" si="137"/>
        <v/>
      </c>
      <c r="K1220" s="20" t="str">
        <f t="shared" si="138"/>
        <v/>
      </c>
      <c r="L1220" s="20" t="str">
        <f>IF(B1220="","",70*'DDF Original'!$Q$4)</f>
        <v/>
      </c>
      <c r="M1220" s="20" t="str">
        <f t="shared" si="139"/>
        <v/>
      </c>
      <c r="N1220" s="20" t="str">
        <f>IF(AND(OR(B1220="",J1220&gt;G1220,M1220&gt;G1220),'DDF Original'!L1220&lt;&gt; "MI"),G1220,IF(M1220&gt;J1220,M1220,J1220))</f>
        <v/>
      </c>
    </row>
    <row r="1221" spans="2:14" x14ac:dyDescent="0.2">
      <c r="B1221" s="19" t="str">
        <f>IF('DDF Original'!B1221="","",'DDF Original'!B1221)</f>
        <v/>
      </c>
      <c r="C1221" s="19" t="e">
        <f t="shared" si="133"/>
        <v>#VALUE!</v>
      </c>
      <c r="D1221" s="20" t="str">
        <f>IF('DDF Original'!C1221="","",'DDF Original'!C1221)</f>
        <v/>
      </c>
      <c r="E1221" s="24" t="str">
        <f>IF('DDF Original'!B1221="","",IF(TRIM('DDF Original'!I1221)="",0,'DDF Original'!I1221))</f>
        <v/>
      </c>
      <c r="F1221" s="20" t="str">
        <f t="shared" si="134"/>
        <v/>
      </c>
      <c r="G1221" s="37" t="str">
        <f>IF('DDF Original'!B1221="","",IF(TRIM('DDF Original'!P1221)="",0,'DDF Original'!P1221))</f>
        <v/>
      </c>
      <c r="H1221" s="20" t="str">
        <f t="shared" si="135"/>
        <v/>
      </c>
      <c r="I1221" s="25" t="str">
        <f t="shared" si="136"/>
        <v/>
      </c>
      <c r="J1221" s="20" t="str">
        <f t="shared" si="137"/>
        <v/>
      </c>
      <c r="K1221" s="20" t="str">
        <f t="shared" si="138"/>
        <v/>
      </c>
      <c r="L1221" s="20" t="str">
        <f>IF(B1221="","",70*'DDF Original'!$Q$4)</f>
        <v/>
      </c>
      <c r="M1221" s="20" t="str">
        <f t="shared" si="139"/>
        <v/>
      </c>
      <c r="N1221" s="20" t="str">
        <f>IF(AND(OR(B1221="",J1221&gt;G1221,M1221&gt;G1221),'DDF Original'!L1221&lt;&gt; "MI"),G1221,IF(M1221&gt;J1221,M1221,J1221))</f>
        <v/>
      </c>
    </row>
    <row r="1222" spans="2:14" x14ac:dyDescent="0.2">
      <c r="B1222" s="19" t="str">
        <f>IF('DDF Original'!B1222="","",'DDF Original'!B1222)</f>
        <v/>
      </c>
      <c r="C1222" s="19" t="e">
        <f t="shared" si="133"/>
        <v>#VALUE!</v>
      </c>
      <c r="D1222" s="20" t="str">
        <f>IF('DDF Original'!C1222="","",'DDF Original'!C1222)</f>
        <v/>
      </c>
      <c r="E1222" s="24" t="str">
        <f>IF('DDF Original'!B1222="","",IF(TRIM('DDF Original'!I1222)="",0,'DDF Original'!I1222))</f>
        <v/>
      </c>
      <c r="F1222" s="20" t="str">
        <f t="shared" si="134"/>
        <v/>
      </c>
      <c r="G1222" s="37" t="str">
        <f>IF('DDF Original'!B1222="","",IF(TRIM('DDF Original'!P1222)="",0,'DDF Original'!P1222))</f>
        <v/>
      </c>
      <c r="H1222" s="20" t="str">
        <f t="shared" si="135"/>
        <v/>
      </c>
      <c r="I1222" s="25" t="str">
        <f t="shared" si="136"/>
        <v/>
      </c>
      <c r="J1222" s="20" t="str">
        <f t="shared" si="137"/>
        <v/>
      </c>
      <c r="K1222" s="20" t="str">
        <f t="shared" si="138"/>
        <v/>
      </c>
      <c r="L1222" s="20" t="str">
        <f>IF(B1222="","",70*'DDF Original'!$Q$4)</f>
        <v/>
      </c>
      <c r="M1222" s="20" t="str">
        <f t="shared" si="139"/>
        <v/>
      </c>
      <c r="N1222" s="20" t="str">
        <f>IF(AND(OR(B1222="",J1222&gt;G1222,M1222&gt;G1222),'DDF Original'!L1222&lt;&gt; "MI"),G1222,IF(M1222&gt;J1222,M1222,J1222))</f>
        <v/>
      </c>
    </row>
    <row r="1223" spans="2:14" x14ac:dyDescent="0.2">
      <c r="B1223" s="19" t="str">
        <f>IF('DDF Original'!B1223="","",'DDF Original'!B1223)</f>
        <v/>
      </c>
      <c r="C1223" s="19" t="e">
        <f t="shared" si="133"/>
        <v>#VALUE!</v>
      </c>
      <c r="D1223" s="20" t="str">
        <f>IF('DDF Original'!C1223="","",'DDF Original'!C1223)</f>
        <v/>
      </c>
      <c r="E1223" s="24" t="str">
        <f>IF('DDF Original'!B1223="","",IF(TRIM('DDF Original'!I1223)="",0,'DDF Original'!I1223))</f>
        <v/>
      </c>
      <c r="F1223" s="20" t="str">
        <f t="shared" si="134"/>
        <v/>
      </c>
      <c r="G1223" s="37" t="str">
        <f>IF('DDF Original'!B1223="","",IF(TRIM('DDF Original'!P1223)="",0,'DDF Original'!P1223))</f>
        <v/>
      </c>
      <c r="H1223" s="20" t="str">
        <f t="shared" si="135"/>
        <v/>
      </c>
      <c r="I1223" s="25" t="str">
        <f t="shared" si="136"/>
        <v/>
      </c>
      <c r="J1223" s="20" t="str">
        <f t="shared" si="137"/>
        <v/>
      </c>
      <c r="K1223" s="20" t="str">
        <f t="shared" si="138"/>
        <v/>
      </c>
      <c r="L1223" s="20" t="str">
        <f>IF(B1223="","",70*'DDF Original'!$Q$4)</f>
        <v/>
      </c>
      <c r="M1223" s="20" t="str">
        <f t="shared" si="139"/>
        <v/>
      </c>
      <c r="N1223" s="20" t="str">
        <f>IF(AND(OR(B1223="",J1223&gt;G1223,M1223&gt;G1223),'DDF Original'!L1223&lt;&gt; "MI"),G1223,IF(M1223&gt;J1223,M1223,J1223))</f>
        <v/>
      </c>
    </row>
    <row r="1224" spans="2:14" x14ac:dyDescent="0.2">
      <c r="B1224" s="19" t="str">
        <f>IF('DDF Original'!B1224="","",'DDF Original'!B1224)</f>
        <v/>
      </c>
      <c r="C1224" s="19" t="e">
        <f t="shared" si="133"/>
        <v>#VALUE!</v>
      </c>
      <c r="D1224" s="20" t="str">
        <f>IF('DDF Original'!C1224="","",'DDF Original'!C1224)</f>
        <v/>
      </c>
      <c r="E1224" s="24" t="str">
        <f>IF('DDF Original'!B1224="","",IF(TRIM('DDF Original'!I1224)="",0,'DDF Original'!I1224))</f>
        <v/>
      </c>
      <c r="F1224" s="20" t="str">
        <f t="shared" si="134"/>
        <v/>
      </c>
      <c r="G1224" s="37" t="str">
        <f>IF('DDF Original'!B1224="","",IF(TRIM('DDF Original'!P1224)="",0,'DDF Original'!P1224))</f>
        <v/>
      </c>
      <c r="H1224" s="20" t="str">
        <f t="shared" si="135"/>
        <v/>
      </c>
      <c r="I1224" s="25" t="str">
        <f t="shared" si="136"/>
        <v/>
      </c>
      <c r="J1224" s="20" t="str">
        <f t="shared" si="137"/>
        <v/>
      </c>
      <c r="K1224" s="20" t="str">
        <f t="shared" si="138"/>
        <v/>
      </c>
      <c r="L1224" s="20" t="str">
        <f>IF(B1224="","",70*'DDF Original'!$Q$4)</f>
        <v/>
      </c>
      <c r="M1224" s="20" t="str">
        <f t="shared" si="139"/>
        <v/>
      </c>
      <c r="N1224" s="20" t="str">
        <f>IF(AND(OR(B1224="",J1224&gt;G1224,M1224&gt;G1224),'DDF Original'!L1224&lt;&gt; "MI"),G1224,IF(M1224&gt;J1224,M1224,J1224))</f>
        <v/>
      </c>
    </row>
    <row r="1225" spans="2:14" x14ac:dyDescent="0.2">
      <c r="B1225" s="19" t="str">
        <f>IF('DDF Original'!B1225="","",'DDF Original'!B1225)</f>
        <v/>
      </c>
      <c r="C1225" s="19" t="e">
        <f t="shared" si="133"/>
        <v>#VALUE!</v>
      </c>
      <c r="D1225" s="20" t="str">
        <f>IF('DDF Original'!C1225="","",'DDF Original'!C1225)</f>
        <v/>
      </c>
      <c r="E1225" s="24" t="str">
        <f>IF('DDF Original'!B1225="","",IF(TRIM('DDF Original'!I1225)="",0,'DDF Original'!I1225))</f>
        <v/>
      </c>
      <c r="F1225" s="20" t="str">
        <f t="shared" si="134"/>
        <v/>
      </c>
      <c r="G1225" s="37" t="str">
        <f>IF('DDF Original'!B1225="","",IF(TRIM('DDF Original'!P1225)="",0,'DDF Original'!P1225))</f>
        <v/>
      </c>
      <c r="H1225" s="20" t="str">
        <f t="shared" si="135"/>
        <v/>
      </c>
      <c r="I1225" s="25" t="str">
        <f t="shared" si="136"/>
        <v/>
      </c>
      <c r="J1225" s="20" t="str">
        <f t="shared" si="137"/>
        <v/>
      </c>
      <c r="K1225" s="20" t="str">
        <f t="shared" si="138"/>
        <v/>
      </c>
      <c r="L1225" s="20" t="str">
        <f>IF(B1225="","",70*'DDF Original'!$Q$4)</f>
        <v/>
      </c>
      <c r="M1225" s="20" t="str">
        <f t="shared" si="139"/>
        <v/>
      </c>
      <c r="N1225" s="20" t="str">
        <f>IF(AND(OR(B1225="",J1225&gt;G1225,M1225&gt;G1225),'DDF Original'!L1225&lt;&gt; "MI"),G1225,IF(M1225&gt;J1225,M1225,J1225))</f>
        <v/>
      </c>
    </row>
    <row r="1226" spans="2:14" x14ac:dyDescent="0.2">
      <c r="B1226" s="19" t="str">
        <f>IF('DDF Original'!B1226="","",'DDF Original'!B1226)</f>
        <v/>
      </c>
      <c r="C1226" s="19" t="e">
        <f t="shared" si="133"/>
        <v>#VALUE!</v>
      </c>
      <c r="D1226" s="20" t="str">
        <f>IF('DDF Original'!C1226="","",'DDF Original'!C1226)</f>
        <v/>
      </c>
      <c r="E1226" s="24" t="str">
        <f>IF('DDF Original'!B1226="","",IF(TRIM('DDF Original'!I1226)="",0,'DDF Original'!I1226))</f>
        <v/>
      </c>
      <c r="F1226" s="20" t="str">
        <f t="shared" si="134"/>
        <v/>
      </c>
      <c r="G1226" s="37" t="str">
        <f>IF('DDF Original'!B1226="","",IF(TRIM('DDF Original'!P1226)="",0,'DDF Original'!P1226))</f>
        <v/>
      </c>
      <c r="H1226" s="20" t="str">
        <f t="shared" si="135"/>
        <v/>
      </c>
      <c r="I1226" s="25" t="str">
        <f t="shared" si="136"/>
        <v/>
      </c>
      <c r="J1226" s="20" t="str">
        <f t="shared" si="137"/>
        <v/>
      </c>
      <c r="K1226" s="20" t="str">
        <f t="shared" si="138"/>
        <v/>
      </c>
      <c r="L1226" s="20" t="str">
        <f>IF(B1226="","",70*'DDF Original'!$Q$4)</f>
        <v/>
      </c>
      <c r="M1226" s="20" t="str">
        <f t="shared" si="139"/>
        <v/>
      </c>
      <c r="N1226" s="20" t="str">
        <f>IF(AND(OR(B1226="",J1226&gt;G1226,M1226&gt;G1226),'DDF Original'!L1226&lt;&gt; "MI"),G1226,IF(M1226&gt;J1226,M1226,J1226))</f>
        <v/>
      </c>
    </row>
    <row r="1227" spans="2:14" x14ac:dyDescent="0.2">
      <c r="B1227" s="19" t="str">
        <f>IF('DDF Original'!B1227="","",'DDF Original'!B1227)</f>
        <v/>
      </c>
      <c r="C1227" s="19" t="e">
        <f t="shared" si="133"/>
        <v>#VALUE!</v>
      </c>
      <c r="D1227" s="20" t="str">
        <f>IF('DDF Original'!C1227="","",'DDF Original'!C1227)</f>
        <v/>
      </c>
      <c r="E1227" s="24" t="str">
        <f>IF('DDF Original'!B1227="","",IF(TRIM('DDF Original'!I1227)="",0,'DDF Original'!I1227))</f>
        <v/>
      </c>
      <c r="F1227" s="20" t="str">
        <f t="shared" si="134"/>
        <v/>
      </c>
      <c r="G1227" s="37" t="str">
        <f>IF('DDF Original'!B1227="","",IF(TRIM('DDF Original'!P1227)="",0,'DDF Original'!P1227))</f>
        <v/>
      </c>
      <c r="H1227" s="20" t="str">
        <f t="shared" si="135"/>
        <v/>
      </c>
      <c r="I1227" s="25" t="str">
        <f t="shared" si="136"/>
        <v/>
      </c>
      <c r="J1227" s="20" t="str">
        <f t="shared" si="137"/>
        <v/>
      </c>
      <c r="K1227" s="20" t="str">
        <f t="shared" si="138"/>
        <v/>
      </c>
      <c r="L1227" s="20" t="str">
        <f>IF(B1227="","",70*'DDF Original'!$Q$4)</f>
        <v/>
      </c>
      <c r="M1227" s="20" t="str">
        <f t="shared" si="139"/>
        <v/>
      </c>
      <c r="N1227" s="20" t="str">
        <f>IF(AND(OR(B1227="",J1227&gt;G1227,M1227&gt;G1227),'DDF Original'!L1227&lt;&gt; "MI"),G1227,IF(M1227&gt;J1227,M1227,J1227))</f>
        <v/>
      </c>
    </row>
    <row r="1228" spans="2:14" x14ac:dyDescent="0.2">
      <c r="B1228" s="19" t="str">
        <f>IF('DDF Original'!B1228="","",'DDF Original'!B1228)</f>
        <v/>
      </c>
      <c r="C1228" s="19" t="e">
        <f t="shared" si="133"/>
        <v>#VALUE!</v>
      </c>
      <c r="D1228" s="20" t="str">
        <f>IF('DDF Original'!C1228="","",'DDF Original'!C1228)</f>
        <v/>
      </c>
      <c r="E1228" s="24" t="str">
        <f>IF('DDF Original'!B1228="","",IF(TRIM('DDF Original'!I1228)="",0,'DDF Original'!I1228))</f>
        <v/>
      </c>
      <c r="F1228" s="20" t="str">
        <f t="shared" si="134"/>
        <v/>
      </c>
      <c r="G1228" s="37" t="str">
        <f>IF('DDF Original'!B1228="","",IF(TRIM('DDF Original'!P1228)="",0,'DDF Original'!P1228))</f>
        <v/>
      </c>
      <c r="H1228" s="20" t="str">
        <f t="shared" si="135"/>
        <v/>
      </c>
      <c r="I1228" s="25" t="str">
        <f t="shared" si="136"/>
        <v/>
      </c>
      <c r="J1228" s="20" t="str">
        <f t="shared" si="137"/>
        <v/>
      </c>
      <c r="K1228" s="20" t="str">
        <f t="shared" si="138"/>
        <v/>
      </c>
      <c r="L1228" s="20" t="str">
        <f>IF(B1228="","",70*'DDF Original'!$Q$4)</f>
        <v/>
      </c>
      <c r="M1228" s="20" t="str">
        <f t="shared" si="139"/>
        <v/>
      </c>
      <c r="N1228" s="20" t="str">
        <f>IF(AND(OR(B1228="",J1228&gt;G1228,M1228&gt;G1228),'DDF Original'!L1228&lt;&gt; "MI"),G1228,IF(M1228&gt;J1228,M1228,J1228))</f>
        <v/>
      </c>
    </row>
    <row r="1229" spans="2:14" x14ac:dyDescent="0.2">
      <c r="B1229" s="19" t="str">
        <f>IF('DDF Original'!B1229="","",'DDF Original'!B1229)</f>
        <v/>
      </c>
      <c r="C1229" s="19" t="e">
        <f t="shared" si="133"/>
        <v>#VALUE!</v>
      </c>
      <c r="D1229" s="20" t="str">
        <f>IF('DDF Original'!C1229="","",'DDF Original'!C1229)</f>
        <v/>
      </c>
      <c r="E1229" s="24" t="str">
        <f>IF('DDF Original'!B1229="","",IF(TRIM('DDF Original'!I1229)="",0,'DDF Original'!I1229))</f>
        <v/>
      </c>
      <c r="F1229" s="20" t="str">
        <f t="shared" si="134"/>
        <v/>
      </c>
      <c r="G1229" s="37" t="str">
        <f>IF('DDF Original'!B1229="","",IF(TRIM('DDF Original'!P1229)="",0,'DDF Original'!P1229))</f>
        <v/>
      </c>
      <c r="H1229" s="20" t="str">
        <f t="shared" si="135"/>
        <v/>
      </c>
      <c r="I1229" s="25" t="str">
        <f t="shared" si="136"/>
        <v/>
      </c>
      <c r="J1229" s="20" t="str">
        <f t="shared" si="137"/>
        <v/>
      </c>
      <c r="K1229" s="20" t="str">
        <f t="shared" si="138"/>
        <v/>
      </c>
      <c r="L1229" s="20" t="str">
        <f>IF(B1229="","",70*'DDF Original'!$Q$4)</f>
        <v/>
      </c>
      <c r="M1229" s="20" t="str">
        <f t="shared" si="139"/>
        <v/>
      </c>
      <c r="N1229" s="20" t="str">
        <f>IF(AND(OR(B1229="",J1229&gt;G1229,M1229&gt;G1229),'DDF Original'!L1229&lt;&gt; "MI"),G1229,IF(M1229&gt;J1229,M1229,J1229))</f>
        <v/>
      </c>
    </row>
    <row r="1230" spans="2:14" x14ac:dyDescent="0.2">
      <c r="B1230" s="19" t="str">
        <f>IF('DDF Original'!B1230="","",'DDF Original'!B1230)</f>
        <v/>
      </c>
      <c r="C1230" s="19" t="e">
        <f t="shared" si="133"/>
        <v>#VALUE!</v>
      </c>
      <c r="D1230" s="20" t="str">
        <f>IF('DDF Original'!C1230="","",'DDF Original'!C1230)</f>
        <v/>
      </c>
      <c r="E1230" s="24" t="str">
        <f>IF('DDF Original'!B1230="","",IF(TRIM('DDF Original'!I1230)="",0,'DDF Original'!I1230))</f>
        <v/>
      </c>
      <c r="F1230" s="20" t="str">
        <f t="shared" si="134"/>
        <v/>
      </c>
      <c r="G1230" s="37" t="str">
        <f>IF('DDF Original'!B1230="","",IF(TRIM('DDF Original'!P1230)="",0,'DDF Original'!P1230))</f>
        <v/>
      </c>
      <c r="H1230" s="20" t="str">
        <f t="shared" si="135"/>
        <v/>
      </c>
      <c r="I1230" s="25" t="str">
        <f t="shared" si="136"/>
        <v/>
      </c>
      <c r="J1230" s="20" t="str">
        <f t="shared" si="137"/>
        <v/>
      </c>
      <c r="K1230" s="20" t="str">
        <f t="shared" si="138"/>
        <v/>
      </c>
      <c r="L1230" s="20" t="str">
        <f>IF(B1230="","",70*'DDF Original'!$Q$4)</f>
        <v/>
      </c>
      <c r="M1230" s="20" t="str">
        <f t="shared" si="139"/>
        <v/>
      </c>
      <c r="N1230" s="20" t="str">
        <f>IF(AND(OR(B1230="",J1230&gt;G1230,M1230&gt;G1230),'DDF Original'!L1230&lt;&gt; "MI"),G1230,IF(M1230&gt;J1230,M1230,J1230))</f>
        <v/>
      </c>
    </row>
    <row r="1231" spans="2:14" x14ac:dyDescent="0.2">
      <c r="B1231" s="19" t="str">
        <f>IF('DDF Original'!B1231="","",'DDF Original'!B1231)</f>
        <v/>
      </c>
      <c r="C1231" s="19" t="e">
        <f t="shared" si="133"/>
        <v>#VALUE!</v>
      </c>
      <c r="D1231" s="20" t="str">
        <f>IF('DDF Original'!C1231="","",'DDF Original'!C1231)</f>
        <v/>
      </c>
      <c r="E1231" s="24" t="str">
        <f>IF('DDF Original'!B1231="","",IF(TRIM('DDF Original'!I1231)="",0,'DDF Original'!I1231))</f>
        <v/>
      </c>
      <c r="F1231" s="20" t="str">
        <f t="shared" si="134"/>
        <v/>
      </c>
      <c r="G1231" s="37" t="str">
        <f>IF('DDF Original'!B1231="","",IF(TRIM('DDF Original'!P1231)="",0,'DDF Original'!P1231))</f>
        <v/>
      </c>
      <c r="H1231" s="20" t="str">
        <f t="shared" si="135"/>
        <v/>
      </c>
      <c r="I1231" s="25" t="str">
        <f t="shared" si="136"/>
        <v/>
      </c>
      <c r="J1231" s="20" t="str">
        <f t="shared" si="137"/>
        <v/>
      </c>
      <c r="K1231" s="20" t="str">
        <f t="shared" si="138"/>
        <v/>
      </c>
      <c r="L1231" s="20" t="str">
        <f>IF(B1231="","",70*'DDF Original'!$Q$4)</f>
        <v/>
      </c>
      <c r="M1231" s="20" t="str">
        <f t="shared" si="139"/>
        <v/>
      </c>
      <c r="N1231" s="20" t="str">
        <f>IF(AND(OR(B1231="",J1231&gt;G1231,M1231&gt;G1231),'DDF Original'!L1231&lt;&gt; "MI"),G1231,IF(M1231&gt;J1231,M1231,J1231))</f>
        <v/>
      </c>
    </row>
    <row r="1232" spans="2:14" x14ac:dyDescent="0.2">
      <c r="B1232" s="19" t="str">
        <f>IF('DDF Original'!B1232="","",'DDF Original'!B1232)</f>
        <v/>
      </c>
      <c r="C1232" s="19" t="e">
        <f t="shared" si="133"/>
        <v>#VALUE!</v>
      </c>
      <c r="D1232" s="20" t="str">
        <f>IF('DDF Original'!C1232="","",'DDF Original'!C1232)</f>
        <v/>
      </c>
      <c r="E1232" s="24" t="str">
        <f>IF('DDF Original'!B1232="","",IF(TRIM('DDF Original'!I1232)="",0,'DDF Original'!I1232))</f>
        <v/>
      </c>
      <c r="F1232" s="20" t="str">
        <f t="shared" si="134"/>
        <v/>
      </c>
      <c r="G1232" s="37" t="str">
        <f>IF('DDF Original'!B1232="","",IF(TRIM('DDF Original'!P1232)="",0,'DDF Original'!P1232))</f>
        <v/>
      </c>
      <c r="H1232" s="20" t="str">
        <f t="shared" si="135"/>
        <v/>
      </c>
      <c r="I1232" s="25" t="str">
        <f t="shared" si="136"/>
        <v/>
      </c>
      <c r="J1232" s="20" t="str">
        <f t="shared" si="137"/>
        <v/>
      </c>
      <c r="K1232" s="20" t="str">
        <f t="shared" si="138"/>
        <v/>
      </c>
      <c r="L1232" s="20" t="str">
        <f>IF(B1232="","",70*'DDF Original'!$Q$4)</f>
        <v/>
      </c>
      <c r="M1232" s="20" t="str">
        <f t="shared" si="139"/>
        <v/>
      </c>
      <c r="N1232" s="20" t="str">
        <f>IF(AND(OR(B1232="",J1232&gt;G1232,M1232&gt;G1232),'DDF Original'!L1232&lt;&gt; "MI"),G1232,IF(M1232&gt;J1232,M1232,J1232))</f>
        <v/>
      </c>
    </row>
    <row r="1233" spans="2:14" x14ac:dyDescent="0.2">
      <c r="B1233" s="19" t="str">
        <f>IF('DDF Original'!B1233="","",'DDF Original'!B1233)</f>
        <v/>
      </c>
      <c r="C1233" s="19" t="e">
        <f t="shared" si="133"/>
        <v>#VALUE!</v>
      </c>
      <c r="D1233" s="20" t="str">
        <f>IF('DDF Original'!C1233="","",'DDF Original'!C1233)</f>
        <v/>
      </c>
      <c r="E1233" s="24" t="str">
        <f>IF('DDF Original'!B1233="","",IF(TRIM('DDF Original'!I1233)="",0,'DDF Original'!I1233))</f>
        <v/>
      </c>
      <c r="F1233" s="20" t="str">
        <f t="shared" si="134"/>
        <v/>
      </c>
      <c r="G1233" s="37" t="str">
        <f>IF('DDF Original'!B1233="","",IF(TRIM('DDF Original'!P1233)="",0,'DDF Original'!P1233))</f>
        <v/>
      </c>
      <c r="H1233" s="20" t="str">
        <f t="shared" si="135"/>
        <v/>
      </c>
      <c r="I1233" s="25" t="str">
        <f t="shared" si="136"/>
        <v/>
      </c>
      <c r="J1233" s="20" t="str">
        <f t="shared" si="137"/>
        <v/>
      </c>
      <c r="K1233" s="20" t="str">
        <f t="shared" si="138"/>
        <v/>
      </c>
      <c r="L1233" s="20" t="str">
        <f>IF(B1233="","",70*'DDF Original'!$Q$4)</f>
        <v/>
      </c>
      <c r="M1233" s="20" t="str">
        <f t="shared" si="139"/>
        <v/>
      </c>
      <c r="N1233" s="20" t="str">
        <f>IF(AND(OR(B1233="",J1233&gt;G1233,M1233&gt;G1233),'DDF Original'!L1233&lt;&gt; "MI"),G1233,IF(M1233&gt;J1233,M1233,J1233))</f>
        <v/>
      </c>
    </row>
    <row r="1234" spans="2:14" x14ac:dyDescent="0.2">
      <c r="B1234" s="19" t="str">
        <f>IF('DDF Original'!B1234="","",'DDF Original'!B1234)</f>
        <v/>
      </c>
      <c r="C1234" s="19" t="e">
        <f t="shared" si="133"/>
        <v>#VALUE!</v>
      </c>
      <c r="D1234" s="20" t="str">
        <f>IF('DDF Original'!C1234="","",'DDF Original'!C1234)</f>
        <v/>
      </c>
      <c r="E1234" s="24" t="str">
        <f>IF('DDF Original'!B1234="","",IF(TRIM('DDF Original'!I1234)="",0,'DDF Original'!I1234))</f>
        <v/>
      </c>
      <c r="F1234" s="20" t="str">
        <f t="shared" si="134"/>
        <v/>
      </c>
      <c r="G1234" s="37" t="str">
        <f>IF('DDF Original'!B1234="","",IF(TRIM('DDF Original'!P1234)="",0,'DDF Original'!P1234))</f>
        <v/>
      </c>
      <c r="H1234" s="20" t="str">
        <f t="shared" si="135"/>
        <v/>
      </c>
      <c r="I1234" s="25" t="str">
        <f t="shared" si="136"/>
        <v/>
      </c>
      <c r="J1234" s="20" t="str">
        <f t="shared" si="137"/>
        <v/>
      </c>
      <c r="K1234" s="20" t="str">
        <f t="shared" si="138"/>
        <v/>
      </c>
      <c r="L1234" s="20" t="str">
        <f>IF(B1234="","",70*'DDF Original'!$Q$4)</f>
        <v/>
      </c>
      <c r="M1234" s="20" t="str">
        <f t="shared" si="139"/>
        <v/>
      </c>
      <c r="N1234" s="20" t="str">
        <f>IF(AND(OR(B1234="",J1234&gt;G1234,M1234&gt;G1234),'DDF Original'!L1234&lt;&gt; "MI"),G1234,IF(M1234&gt;J1234,M1234,J1234))</f>
        <v/>
      </c>
    </row>
    <row r="1235" spans="2:14" x14ac:dyDescent="0.2">
      <c r="B1235" s="19" t="str">
        <f>IF('DDF Original'!B1235="","",'DDF Original'!B1235)</f>
        <v/>
      </c>
      <c r="C1235" s="19" t="e">
        <f t="shared" si="133"/>
        <v>#VALUE!</v>
      </c>
      <c r="D1235" s="20" t="str">
        <f>IF('DDF Original'!C1235="","",'DDF Original'!C1235)</f>
        <v/>
      </c>
      <c r="E1235" s="24" t="str">
        <f>IF('DDF Original'!B1235="","",IF(TRIM('DDF Original'!I1235)="",0,'DDF Original'!I1235))</f>
        <v/>
      </c>
      <c r="F1235" s="20" t="str">
        <f t="shared" si="134"/>
        <v/>
      </c>
      <c r="G1235" s="37" t="str">
        <f>IF('DDF Original'!B1235="","",IF(TRIM('DDF Original'!P1235)="",0,'DDF Original'!P1235))</f>
        <v/>
      </c>
      <c r="H1235" s="20" t="str">
        <f t="shared" si="135"/>
        <v/>
      </c>
      <c r="I1235" s="25" t="str">
        <f t="shared" si="136"/>
        <v/>
      </c>
      <c r="J1235" s="20" t="str">
        <f t="shared" si="137"/>
        <v/>
      </c>
      <c r="K1235" s="20" t="str">
        <f t="shared" si="138"/>
        <v/>
      </c>
      <c r="L1235" s="20" t="str">
        <f>IF(B1235="","",70*'DDF Original'!$Q$4)</f>
        <v/>
      </c>
      <c r="M1235" s="20" t="str">
        <f t="shared" si="139"/>
        <v/>
      </c>
      <c r="N1235" s="20" t="str">
        <f>IF(AND(OR(B1235="",J1235&gt;G1235,M1235&gt;G1235),'DDF Original'!L1235&lt;&gt; "MI"),G1235,IF(M1235&gt;J1235,M1235,J1235))</f>
        <v/>
      </c>
    </row>
    <row r="1236" spans="2:14" x14ac:dyDescent="0.2">
      <c r="B1236" s="19" t="str">
        <f>IF('DDF Original'!B1236="","",'DDF Original'!B1236)</f>
        <v/>
      </c>
      <c r="C1236" s="19" t="e">
        <f t="shared" si="133"/>
        <v>#VALUE!</v>
      </c>
      <c r="D1236" s="20" t="str">
        <f>IF('DDF Original'!C1236="","",'DDF Original'!C1236)</f>
        <v/>
      </c>
      <c r="E1236" s="24" t="str">
        <f>IF('DDF Original'!B1236="","",IF(TRIM('DDF Original'!I1236)="",0,'DDF Original'!I1236))</f>
        <v/>
      </c>
      <c r="F1236" s="20" t="str">
        <f t="shared" si="134"/>
        <v/>
      </c>
      <c r="G1236" s="37" t="str">
        <f>IF('DDF Original'!B1236="","",IF(TRIM('DDF Original'!P1236)="",0,'DDF Original'!P1236))</f>
        <v/>
      </c>
      <c r="H1236" s="20" t="str">
        <f t="shared" si="135"/>
        <v/>
      </c>
      <c r="I1236" s="25" t="str">
        <f t="shared" si="136"/>
        <v/>
      </c>
      <c r="J1236" s="20" t="str">
        <f t="shared" si="137"/>
        <v/>
      </c>
      <c r="K1236" s="20" t="str">
        <f t="shared" si="138"/>
        <v/>
      </c>
      <c r="L1236" s="20" t="str">
        <f>IF(B1236="","",70*'DDF Original'!$Q$4)</f>
        <v/>
      </c>
      <c r="M1236" s="20" t="str">
        <f t="shared" si="139"/>
        <v/>
      </c>
      <c r="N1236" s="20" t="str">
        <f>IF(AND(OR(B1236="",J1236&gt;G1236,M1236&gt;G1236),'DDF Original'!L1236&lt;&gt; "MI"),G1236,IF(M1236&gt;J1236,M1236,J1236))</f>
        <v/>
      </c>
    </row>
    <row r="1237" spans="2:14" x14ac:dyDescent="0.2">
      <c r="B1237" s="19" t="str">
        <f>IF('DDF Original'!B1237="","",'DDF Original'!B1237)</f>
        <v/>
      </c>
      <c r="C1237" s="19" t="e">
        <f t="shared" si="133"/>
        <v>#VALUE!</v>
      </c>
      <c r="D1237" s="20" t="str">
        <f>IF('DDF Original'!C1237="","",'DDF Original'!C1237)</f>
        <v/>
      </c>
      <c r="E1237" s="24" t="str">
        <f>IF('DDF Original'!B1237="","",IF(TRIM('DDF Original'!I1237)="",0,'DDF Original'!I1237))</f>
        <v/>
      </c>
      <c r="F1237" s="20" t="str">
        <f t="shared" si="134"/>
        <v/>
      </c>
      <c r="G1237" s="37" t="str">
        <f>IF('DDF Original'!B1237="","",IF(TRIM('DDF Original'!P1237)="",0,'DDF Original'!P1237))</f>
        <v/>
      </c>
      <c r="H1237" s="20" t="str">
        <f t="shared" si="135"/>
        <v/>
      </c>
      <c r="I1237" s="25" t="str">
        <f t="shared" si="136"/>
        <v/>
      </c>
      <c r="J1237" s="20" t="str">
        <f t="shared" si="137"/>
        <v/>
      </c>
      <c r="K1237" s="20" t="str">
        <f t="shared" si="138"/>
        <v/>
      </c>
      <c r="L1237" s="20" t="str">
        <f>IF(B1237="","",70*'DDF Original'!$Q$4)</f>
        <v/>
      </c>
      <c r="M1237" s="20" t="str">
        <f t="shared" si="139"/>
        <v/>
      </c>
      <c r="N1237" s="20" t="str">
        <f>IF(AND(OR(B1237="",J1237&gt;G1237,M1237&gt;G1237),'DDF Original'!L1237&lt;&gt; "MI"),G1237,IF(M1237&gt;J1237,M1237,J1237))</f>
        <v/>
      </c>
    </row>
    <row r="1238" spans="2:14" x14ac:dyDescent="0.2">
      <c r="B1238" s="19" t="str">
        <f>IF('DDF Original'!B1238="","",'DDF Original'!B1238)</f>
        <v/>
      </c>
      <c r="C1238" s="19" t="e">
        <f t="shared" si="133"/>
        <v>#VALUE!</v>
      </c>
      <c r="D1238" s="20" t="str">
        <f>IF('DDF Original'!C1238="","",'DDF Original'!C1238)</f>
        <v/>
      </c>
      <c r="E1238" s="24" t="str">
        <f>IF('DDF Original'!B1238="","",IF(TRIM('DDF Original'!I1238)="",0,'DDF Original'!I1238))</f>
        <v/>
      </c>
      <c r="F1238" s="20" t="str">
        <f t="shared" si="134"/>
        <v/>
      </c>
      <c r="G1238" s="37" t="str">
        <f>IF('DDF Original'!B1238="","",IF(TRIM('DDF Original'!P1238)="",0,'DDF Original'!P1238))</f>
        <v/>
      </c>
      <c r="H1238" s="20" t="str">
        <f t="shared" si="135"/>
        <v/>
      </c>
      <c r="I1238" s="25" t="str">
        <f t="shared" si="136"/>
        <v/>
      </c>
      <c r="J1238" s="20" t="str">
        <f t="shared" si="137"/>
        <v/>
      </c>
      <c r="K1238" s="20" t="str">
        <f t="shared" si="138"/>
        <v/>
      </c>
      <c r="L1238" s="20" t="str">
        <f>IF(B1238="","",70*'DDF Original'!$Q$4)</f>
        <v/>
      </c>
      <c r="M1238" s="20" t="str">
        <f t="shared" si="139"/>
        <v/>
      </c>
      <c r="N1238" s="20" t="str">
        <f>IF(AND(OR(B1238="",J1238&gt;G1238,M1238&gt;G1238),'DDF Original'!L1238&lt;&gt; "MI"),G1238,IF(M1238&gt;J1238,M1238,J1238))</f>
        <v/>
      </c>
    </row>
    <row r="1239" spans="2:14" x14ac:dyDescent="0.2">
      <c r="B1239" s="19" t="str">
        <f>IF('DDF Original'!B1239="","",'DDF Original'!B1239)</f>
        <v/>
      </c>
      <c r="C1239" s="19" t="e">
        <f t="shared" si="133"/>
        <v>#VALUE!</v>
      </c>
      <c r="D1239" s="20" t="str">
        <f>IF('DDF Original'!C1239="","",'DDF Original'!C1239)</f>
        <v/>
      </c>
      <c r="E1239" s="24" t="str">
        <f>IF('DDF Original'!B1239="","",IF(TRIM('DDF Original'!I1239)="",0,'DDF Original'!I1239))</f>
        <v/>
      </c>
      <c r="F1239" s="20" t="str">
        <f t="shared" si="134"/>
        <v/>
      </c>
      <c r="G1239" s="37" t="str">
        <f>IF('DDF Original'!B1239="","",IF(TRIM('DDF Original'!P1239)="",0,'DDF Original'!P1239))</f>
        <v/>
      </c>
      <c r="H1239" s="20" t="str">
        <f t="shared" si="135"/>
        <v/>
      </c>
      <c r="I1239" s="25" t="str">
        <f t="shared" si="136"/>
        <v/>
      </c>
      <c r="J1239" s="20" t="str">
        <f t="shared" si="137"/>
        <v/>
      </c>
      <c r="K1239" s="20" t="str">
        <f t="shared" si="138"/>
        <v/>
      </c>
      <c r="L1239" s="20" t="str">
        <f>IF(B1239="","",70*'DDF Original'!$Q$4)</f>
        <v/>
      </c>
      <c r="M1239" s="20" t="str">
        <f t="shared" si="139"/>
        <v/>
      </c>
      <c r="N1239" s="20" t="str">
        <f>IF(AND(OR(B1239="",J1239&gt;G1239,M1239&gt;G1239),'DDF Original'!L1239&lt;&gt; "MI"),G1239,IF(M1239&gt;J1239,M1239,J1239))</f>
        <v/>
      </c>
    </row>
    <row r="1240" spans="2:14" x14ac:dyDescent="0.2">
      <c r="B1240" s="19" t="str">
        <f>IF('DDF Original'!B1240="","",'DDF Original'!B1240)</f>
        <v/>
      </c>
      <c r="C1240" s="19" t="e">
        <f t="shared" si="133"/>
        <v>#VALUE!</v>
      </c>
      <c r="D1240" s="20" t="str">
        <f>IF('DDF Original'!C1240="","",'DDF Original'!C1240)</f>
        <v/>
      </c>
      <c r="E1240" s="24" t="str">
        <f>IF('DDF Original'!B1240="","",IF(TRIM('DDF Original'!I1240)="",0,'DDF Original'!I1240))</f>
        <v/>
      </c>
      <c r="F1240" s="20" t="str">
        <f t="shared" si="134"/>
        <v/>
      </c>
      <c r="G1240" s="37" t="str">
        <f>IF('DDF Original'!B1240="","",IF(TRIM('DDF Original'!P1240)="",0,'DDF Original'!P1240))</f>
        <v/>
      </c>
      <c r="H1240" s="20" t="str">
        <f t="shared" si="135"/>
        <v/>
      </c>
      <c r="I1240" s="25" t="str">
        <f t="shared" si="136"/>
        <v/>
      </c>
      <c r="J1240" s="20" t="str">
        <f t="shared" si="137"/>
        <v/>
      </c>
      <c r="K1240" s="20" t="str">
        <f t="shared" si="138"/>
        <v/>
      </c>
      <c r="L1240" s="20" t="str">
        <f>IF(B1240="","",70*'DDF Original'!$Q$4)</f>
        <v/>
      </c>
      <c r="M1240" s="20" t="str">
        <f t="shared" si="139"/>
        <v/>
      </c>
      <c r="N1240" s="20" t="str">
        <f>IF(AND(OR(B1240="",J1240&gt;G1240,M1240&gt;G1240),'DDF Original'!L1240&lt;&gt; "MI"),G1240,IF(M1240&gt;J1240,M1240,J1240))</f>
        <v/>
      </c>
    </row>
    <row r="1241" spans="2:14" x14ac:dyDescent="0.2">
      <c r="B1241" s="19" t="str">
        <f>IF('DDF Original'!B1241="","",'DDF Original'!B1241)</f>
        <v/>
      </c>
      <c r="C1241" s="19" t="e">
        <f t="shared" si="133"/>
        <v>#VALUE!</v>
      </c>
      <c r="D1241" s="20" t="str">
        <f>IF('DDF Original'!C1241="","",'DDF Original'!C1241)</f>
        <v/>
      </c>
      <c r="E1241" s="24" t="str">
        <f>IF('DDF Original'!B1241="","",IF(TRIM('DDF Original'!I1241)="",0,'DDF Original'!I1241))</f>
        <v/>
      </c>
      <c r="F1241" s="20" t="str">
        <f t="shared" si="134"/>
        <v/>
      </c>
      <c r="G1241" s="37" t="str">
        <f>IF('DDF Original'!B1241="","",IF(TRIM('DDF Original'!P1241)="",0,'DDF Original'!P1241))</f>
        <v/>
      </c>
      <c r="H1241" s="20" t="str">
        <f t="shared" si="135"/>
        <v/>
      </c>
      <c r="I1241" s="25" t="str">
        <f t="shared" si="136"/>
        <v/>
      </c>
      <c r="J1241" s="20" t="str">
        <f t="shared" si="137"/>
        <v/>
      </c>
      <c r="K1241" s="20" t="str">
        <f t="shared" si="138"/>
        <v/>
      </c>
      <c r="L1241" s="20" t="str">
        <f>IF(B1241="","",70*'DDF Original'!$Q$4)</f>
        <v/>
      </c>
      <c r="M1241" s="20" t="str">
        <f t="shared" si="139"/>
        <v/>
      </c>
      <c r="N1241" s="20" t="str">
        <f>IF(AND(OR(B1241="",J1241&gt;G1241,M1241&gt;G1241),'DDF Original'!L1241&lt;&gt; "MI"),G1241,IF(M1241&gt;J1241,M1241,J1241))</f>
        <v/>
      </c>
    </row>
    <row r="1242" spans="2:14" x14ac:dyDescent="0.2">
      <c r="B1242" s="19" t="str">
        <f>IF('DDF Original'!B1242="","",'DDF Original'!B1242)</f>
        <v/>
      </c>
      <c r="C1242" s="19" t="e">
        <f t="shared" si="133"/>
        <v>#VALUE!</v>
      </c>
      <c r="D1242" s="20" t="str">
        <f>IF('DDF Original'!C1242="","",'DDF Original'!C1242)</f>
        <v/>
      </c>
      <c r="E1242" s="24" t="str">
        <f>IF('DDF Original'!B1242="","",IF(TRIM('DDF Original'!I1242)="",0,'DDF Original'!I1242))</f>
        <v/>
      </c>
      <c r="F1242" s="20" t="str">
        <f t="shared" si="134"/>
        <v/>
      </c>
      <c r="G1242" s="37" t="str">
        <f>IF('DDF Original'!B1242="","",IF(TRIM('DDF Original'!P1242)="",0,'DDF Original'!P1242))</f>
        <v/>
      </c>
      <c r="H1242" s="20" t="str">
        <f t="shared" si="135"/>
        <v/>
      </c>
      <c r="I1242" s="25" t="str">
        <f t="shared" si="136"/>
        <v/>
      </c>
      <c r="J1242" s="20" t="str">
        <f t="shared" si="137"/>
        <v/>
      </c>
      <c r="K1242" s="20" t="str">
        <f t="shared" si="138"/>
        <v/>
      </c>
      <c r="L1242" s="20" t="str">
        <f>IF(B1242="","",70*'DDF Original'!$Q$4)</f>
        <v/>
      </c>
      <c r="M1242" s="20" t="str">
        <f t="shared" si="139"/>
        <v/>
      </c>
      <c r="N1242" s="20" t="str">
        <f>IF(AND(OR(B1242="",J1242&gt;G1242,M1242&gt;G1242),'DDF Original'!L1242&lt;&gt; "MI"),G1242,IF(M1242&gt;J1242,M1242,J1242))</f>
        <v/>
      </c>
    </row>
    <row r="1243" spans="2:14" x14ac:dyDescent="0.2">
      <c r="B1243" s="19" t="str">
        <f>IF('DDF Original'!B1243="","",'DDF Original'!B1243)</f>
        <v/>
      </c>
      <c r="C1243" s="19" t="e">
        <f t="shared" si="133"/>
        <v>#VALUE!</v>
      </c>
      <c r="D1243" s="20" t="str">
        <f>IF('DDF Original'!C1243="","",'DDF Original'!C1243)</f>
        <v/>
      </c>
      <c r="E1243" s="24" t="str">
        <f>IF('DDF Original'!B1243="","",IF(TRIM('DDF Original'!I1243)="",0,'DDF Original'!I1243))</f>
        <v/>
      </c>
      <c r="F1243" s="20" t="str">
        <f t="shared" si="134"/>
        <v/>
      </c>
      <c r="G1243" s="37" t="str">
        <f>IF('DDF Original'!B1243="","",IF(TRIM('DDF Original'!P1243)="",0,'DDF Original'!P1243))</f>
        <v/>
      </c>
      <c r="H1243" s="20" t="str">
        <f t="shared" si="135"/>
        <v/>
      </c>
      <c r="I1243" s="25" t="str">
        <f t="shared" si="136"/>
        <v/>
      </c>
      <c r="J1243" s="20" t="str">
        <f t="shared" si="137"/>
        <v/>
      </c>
      <c r="K1243" s="20" t="str">
        <f t="shared" si="138"/>
        <v/>
      </c>
      <c r="L1243" s="20" t="str">
        <f>IF(B1243="","",70*'DDF Original'!$Q$4)</f>
        <v/>
      </c>
      <c r="M1243" s="20" t="str">
        <f t="shared" si="139"/>
        <v/>
      </c>
      <c r="N1243" s="20" t="str">
        <f>IF(AND(OR(B1243="",J1243&gt;G1243,M1243&gt;G1243),'DDF Original'!L1243&lt;&gt; "MI"),G1243,IF(M1243&gt;J1243,M1243,J1243))</f>
        <v/>
      </c>
    </row>
    <row r="1244" spans="2:14" x14ac:dyDescent="0.2">
      <c r="B1244" s="19" t="str">
        <f>IF('DDF Original'!B1244="","",'DDF Original'!B1244)</f>
        <v/>
      </c>
      <c r="C1244" s="19" t="e">
        <f t="shared" si="133"/>
        <v>#VALUE!</v>
      </c>
      <c r="D1244" s="20" t="str">
        <f>IF('DDF Original'!C1244="","",'DDF Original'!C1244)</f>
        <v/>
      </c>
      <c r="E1244" s="24" t="str">
        <f>IF('DDF Original'!B1244="","",IF(TRIM('DDF Original'!I1244)="",0,'DDF Original'!I1244))</f>
        <v/>
      </c>
      <c r="F1244" s="20" t="str">
        <f t="shared" si="134"/>
        <v/>
      </c>
      <c r="G1244" s="37" t="str">
        <f>IF('DDF Original'!B1244="","",IF(TRIM('DDF Original'!P1244)="",0,'DDF Original'!P1244))</f>
        <v/>
      </c>
      <c r="H1244" s="20" t="str">
        <f t="shared" si="135"/>
        <v/>
      </c>
      <c r="I1244" s="25" t="str">
        <f t="shared" si="136"/>
        <v/>
      </c>
      <c r="J1244" s="20" t="str">
        <f t="shared" si="137"/>
        <v/>
      </c>
      <c r="K1244" s="20" t="str">
        <f t="shared" si="138"/>
        <v/>
      </c>
      <c r="L1244" s="20" t="str">
        <f>IF(B1244="","",70*'DDF Original'!$Q$4)</f>
        <v/>
      </c>
      <c r="M1244" s="20" t="str">
        <f t="shared" si="139"/>
        <v/>
      </c>
      <c r="N1244" s="20" t="str">
        <f>IF(AND(OR(B1244="",J1244&gt;G1244,M1244&gt;G1244),'DDF Original'!L1244&lt;&gt; "MI"),G1244,IF(M1244&gt;J1244,M1244,J1244))</f>
        <v/>
      </c>
    </row>
    <row r="1245" spans="2:14" x14ac:dyDescent="0.2">
      <c r="B1245" s="19" t="str">
        <f>IF('DDF Original'!B1245="","",'DDF Original'!B1245)</f>
        <v/>
      </c>
      <c r="C1245" s="19" t="e">
        <f t="shared" si="133"/>
        <v>#VALUE!</v>
      </c>
      <c r="D1245" s="20" t="str">
        <f>IF('DDF Original'!C1245="","",'DDF Original'!C1245)</f>
        <v/>
      </c>
      <c r="E1245" s="24" t="str">
        <f>IF('DDF Original'!B1245="","",IF(TRIM('DDF Original'!I1245)="",0,'DDF Original'!I1245))</f>
        <v/>
      </c>
      <c r="F1245" s="20" t="str">
        <f t="shared" si="134"/>
        <v/>
      </c>
      <c r="G1245" s="37" t="str">
        <f>IF('DDF Original'!B1245="","",IF(TRIM('DDF Original'!P1245)="",0,'DDF Original'!P1245))</f>
        <v/>
      </c>
      <c r="H1245" s="20" t="str">
        <f t="shared" si="135"/>
        <v/>
      </c>
      <c r="I1245" s="25" t="str">
        <f t="shared" si="136"/>
        <v/>
      </c>
      <c r="J1245" s="20" t="str">
        <f t="shared" si="137"/>
        <v/>
      </c>
      <c r="K1245" s="20" t="str">
        <f t="shared" si="138"/>
        <v/>
      </c>
      <c r="L1245" s="20" t="str">
        <f>IF(B1245="","",70*'DDF Original'!$Q$4)</f>
        <v/>
      </c>
      <c r="M1245" s="20" t="str">
        <f t="shared" si="139"/>
        <v/>
      </c>
      <c r="N1245" s="20" t="str">
        <f>IF(AND(OR(B1245="",J1245&gt;G1245,M1245&gt;G1245),'DDF Original'!L1245&lt;&gt; "MI"),G1245,IF(M1245&gt;J1245,M1245,J1245))</f>
        <v/>
      </c>
    </row>
    <row r="1246" spans="2:14" x14ac:dyDescent="0.2">
      <c r="B1246" s="19" t="str">
        <f>IF('DDF Original'!B1246="","",'DDF Original'!B1246)</f>
        <v/>
      </c>
      <c r="C1246" s="19" t="e">
        <f t="shared" si="133"/>
        <v>#VALUE!</v>
      </c>
      <c r="D1246" s="20" t="str">
        <f>IF('DDF Original'!C1246="","",'DDF Original'!C1246)</f>
        <v/>
      </c>
      <c r="E1246" s="24" t="str">
        <f>IF('DDF Original'!B1246="","",IF(TRIM('DDF Original'!I1246)="",0,'DDF Original'!I1246))</f>
        <v/>
      </c>
      <c r="F1246" s="20" t="str">
        <f t="shared" si="134"/>
        <v/>
      </c>
      <c r="G1246" s="37" t="str">
        <f>IF('DDF Original'!B1246="","",IF(TRIM('DDF Original'!P1246)="",0,'DDF Original'!P1246))</f>
        <v/>
      </c>
      <c r="H1246" s="20" t="str">
        <f t="shared" si="135"/>
        <v/>
      </c>
      <c r="I1246" s="25" t="str">
        <f t="shared" si="136"/>
        <v/>
      </c>
      <c r="J1246" s="20" t="str">
        <f t="shared" si="137"/>
        <v/>
      </c>
      <c r="K1246" s="20" t="str">
        <f t="shared" si="138"/>
        <v/>
      </c>
      <c r="L1246" s="20" t="str">
        <f>IF(B1246="","",70*'DDF Original'!$Q$4)</f>
        <v/>
      </c>
      <c r="M1246" s="20" t="str">
        <f t="shared" si="139"/>
        <v/>
      </c>
      <c r="N1246" s="20" t="str">
        <f>IF(AND(OR(B1246="",J1246&gt;G1246,M1246&gt;G1246),'DDF Original'!L1246&lt;&gt; "MI"),G1246,IF(M1246&gt;J1246,M1246,J1246))</f>
        <v/>
      </c>
    </row>
    <row r="1247" spans="2:14" x14ac:dyDescent="0.2">
      <c r="B1247" s="19" t="str">
        <f>IF('DDF Original'!B1247="","",'DDF Original'!B1247)</f>
        <v/>
      </c>
      <c r="C1247" s="19" t="e">
        <f t="shared" si="133"/>
        <v>#VALUE!</v>
      </c>
      <c r="D1247" s="20" t="str">
        <f>IF('DDF Original'!C1247="","",'DDF Original'!C1247)</f>
        <v/>
      </c>
      <c r="E1247" s="24" t="str">
        <f>IF('DDF Original'!B1247="","",IF(TRIM('DDF Original'!I1247)="",0,'DDF Original'!I1247))</f>
        <v/>
      </c>
      <c r="F1247" s="20" t="str">
        <f t="shared" si="134"/>
        <v/>
      </c>
      <c r="G1247" s="37" t="str">
        <f>IF('DDF Original'!B1247="","",IF(TRIM('DDF Original'!P1247)="",0,'DDF Original'!P1247))</f>
        <v/>
      </c>
      <c r="H1247" s="20" t="str">
        <f t="shared" si="135"/>
        <v/>
      </c>
      <c r="I1247" s="25" t="str">
        <f t="shared" si="136"/>
        <v/>
      </c>
      <c r="J1247" s="20" t="str">
        <f t="shared" si="137"/>
        <v/>
      </c>
      <c r="K1247" s="20" t="str">
        <f t="shared" si="138"/>
        <v/>
      </c>
      <c r="L1247" s="20" t="str">
        <f>IF(B1247="","",70*'DDF Original'!$Q$4)</f>
        <v/>
      </c>
      <c r="M1247" s="20" t="str">
        <f t="shared" si="139"/>
        <v/>
      </c>
      <c r="N1247" s="20" t="str">
        <f>IF(AND(OR(B1247="",J1247&gt;G1247,M1247&gt;G1247),'DDF Original'!L1247&lt;&gt; "MI"),G1247,IF(M1247&gt;J1247,M1247,J1247))</f>
        <v/>
      </c>
    </row>
    <row r="1248" spans="2:14" x14ac:dyDescent="0.2">
      <c r="B1248" s="19" t="str">
        <f>IF('DDF Original'!B1248="","",'DDF Original'!B1248)</f>
        <v/>
      </c>
      <c r="C1248" s="19" t="e">
        <f t="shared" si="133"/>
        <v>#VALUE!</v>
      </c>
      <c r="D1248" s="20" t="str">
        <f>IF('DDF Original'!C1248="","",'DDF Original'!C1248)</f>
        <v/>
      </c>
      <c r="E1248" s="24" t="str">
        <f>IF('DDF Original'!B1248="","",IF(TRIM('DDF Original'!I1248)="",0,'DDF Original'!I1248))</f>
        <v/>
      </c>
      <c r="F1248" s="20" t="str">
        <f t="shared" si="134"/>
        <v/>
      </c>
      <c r="G1248" s="37" t="str">
        <f>IF('DDF Original'!B1248="","",IF(TRIM('DDF Original'!P1248)="",0,'DDF Original'!P1248))</f>
        <v/>
      </c>
      <c r="H1248" s="20" t="str">
        <f t="shared" si="135"/>
        <v/>
      </c>
      <c r="I1248" s="25" t="str">
        <f t="shared" si="136"/>
        <v/>
      </c>
      <c r="J1248" s="20" t="str">
        <f t="shared" si="137"/>
        <v/>
      </c>
      <c r="K1248" s="20" t="str">
        <f t="shared" si="138"/>
        <v/>
      </c>
      <c r="L1248" s="20" t="str">
        <f>IF(B1248="","",70*'DDF Original'!$Q$4)</f>
        <v/>
      </c>
      <c r="M1248" s="20" t="str">
        <f t="shared" si="139"/>
        <v/>
      </c>
      <c r="N1248" s="20" t="str">
        <f>IF(AND(OR(B1248="",J1248&gt;G1248,M1248&gt;G1248),'DDF Original'!L1248&lt;&gt; "MI"),G1248,IF(M1248&gt;J1248,M1248,J1248))</f>
        <v/>
      </c>
    </row>
    <row r="1249" spans="2:14" x14ac:dyDescent="0.2">
      <c r="B1249" s="19" t="str">
        <f>IF('DDF Original'!B1249="","",'DDF Original'!B1249)</f>
        <v/>
      </c>
      <c r="C1249" s="19" t="e">
        <f t="shared" si="133"/>
        <v>#VALUE!</v>
      </c>
      <c r="D1249" s="20" t="str">
        <f>IF('DDF Original'!C1249="","",'DDF Original'!C1249)</f>
        <v/>
      </c>
      <c r="E1249" s="24" t="str">
        <f>IF('DDF Original'!B1249="","",IF(TRIM('DDF Original'!I1249)="",0,'DDF Original'!I1249))</f>
        <v/>
      </c>
      <c r="F1249" s="20" t="str">
        <f t="shared" si="134"/>
        <v/>
      </c>
      <c r="G1249" s="37" t="str">
        <f>IF('DDF Original'!B1249="","",IF(TRIM('DDF Original'!P1249)="",0,'DDF Original'!P1249))</f>
        <v/>
      </c>
      <c r="H1249" s="20" t="str">
        <f t="shared" si="135"/>
        <v/>
      </c>
      <c r="I1249" s="25" t="str">
        <f t="shared" si="136"/>
        <v/>
      </c>
      <c r="J1249" s="20" t="str">
        <f t="shared" si="137"/>
        <v/>
      </c>
      <c r="K1249" s="20" t="str">
        <f t="shared" si="138"/>
        <v/>
      </c>
      <c r="L1249" s="20" t="str">
        <f>IF(B1249="","",70*'DDF Original'!$Q$4)</f>
        <v/>
      </c>
      <c r="M1249" s="20" t="str">
        <f t="shared" si="139"/>
        <v/>
      </c>
      <c r="N1249" s="20" t="str">
        <f>IF(AND(OR(B1249="",J1249&gt;G1249,M1249&gt;G1249),'DDF Original'!L1249&lt;&gt; "MI"),G1249,IF(M1249&gt;J1249,M1249,J1249))</f>
        <v/>
      </c>
    </row>
    <row r="1250" spans="2:14" x14ac:dyDescent="0.2">
      <c r="B1250" s="19" t="str">
        <f>IF('DDF Original'!B1250="","",'DDF Original'!B1250)</f>
        <v/>
      </c>
      <c r="C1250" s="19" t="e">
        <f t="shared" si="133"/>
        <v>#VALUE!</v>
      </c>
      <c r="D1250" s="20" t="str">
        <f>IF('DDF Original'!C1250="","",'DDF Original'!C1250)</f>
        <v/>
      </c>
      <c r="E1250" s="24" t="str">
        <f>IF('DDF Original'!B1250="","",IF(TRIM('DDF Original'!I1250)="",0,'DDF Original'!I1250))</f>
        <v/>
      </c>
      <c r="F1250" s="20" t="str">
        <f t="shared" si="134"/>
        <v/>
      </c>
      <c r="G1250" s="37" t="str">
        <f>IF('DDF Original'!B1250="","",IF(TRIM('DDF Original'!P1250)="",0,'DDF Original'!P1250))</f>
        <v/>
      </c>
      <c r="H1250" s="20" t="str">
        <f t="shared" si="135"/>
        <v/>
      </c>
      <c r="I1250" s="25" t="str">
        <f t="shared" si="136"/>
        <v/>
      </c>
      <c r="J1250" s="20" t="str">
        <f t="shared" si="137"/>
        <v/>
      </c>
      <c r="K1250" s="20" t="str">
        <f t="shared" si="138"/>
        <v/>
      </c>
      <c r="L1250" s="20" t="str">
        <f>IF(B1250="","",70*'DDF Original'!$Q$4)</f>
        <v/>
      </c>
      <c r="M1250" s="20" t="str">
        <f t="shared" si="139"/>
        <v/>
      </c>
      <c r="N1250" s="20" t="str">
        <f>IF(AND(OR(B1250="",J1250&gt;G1250,M1250&gt;G1250),'DDF Original'!L1250&lt;&gt; "MI"),G1250,IF(M1250&gt;J1250,M1250,J1250))</f>
        <v/>
      </c>
    </row>
    <row r="1251" spans="2:14" x14ac:dyDescent="0.2">
      <c r="B1251" s="19" t="str">
        <f>IF('DDF Original'!B1251="","",'DDF Original'!B1251)</f>
        <v/>
      </c>
      <c r="C1251" s="19" t="e">
        <f t="shared" si="133"/>
        <v>#VALUE!</v>
      </c>
      <c r="D1251" s="20" t="str">
        <f>IF('DDF Original'!C1251="","",'DDF Original'!C1251)</f>
        <v/>
      </c>
      <c r="E1251" s="24" t="str">
        <f>IF('DDF Original'!B1251="","",IF(TRIM('DDF Original'!I1251)="",0,'DDF Original'!I1251))</f>
        <v/>
      </c>
      <c r="F1251" s="20" t="str">
        <f t="shared" si="134"/>
        <v/>
      </c>
      <c r="G1251" s="37" t="str">
        <f>IF('DDF Original'!B1251="","",IF(TRIM('DDF Original'!P1251)="",0,'DDF Original'!P1251))</f>
        <v/>
      </c>
      <c r="H1251" s="20" t="str">
        <f t="shared" si="135"/>
        <v/>
      </c>
      <c r="I1251" s="25" t="str">
        <f t="shared" si="136"/>
        <v/>
      </c>
      <c r="J1251" s="20" t="str">
        <f t="shared" si="137"/>
        <v/>
      </c>
      <c r="K1251" s="20" t="str">
        <f t="shared" si="138"/>
        <v/>
      </c>
      <c r="L1251" s="20" t="str">
        <f>IF(B1251="","",70*'DDF Original'!$Q$4)</f>
        <v/>
      </c>
      <c r="M1251" s="20" t="str">
        <f t="shared" si="139"/>
        <v/>
      </c>
      <c r="N1251" s="20" t="str">
        <f>IF(AND(OR(B1251="",J1251&gt;G1251,M1251&gt;G1251),'DDF Original'!L1251&lt;&gt; "MI"),G1251,IF(M1251&gt;J1251,M1251,J1251))</f>
        <v/>
      </c>
    </row>
    <row r="1252" spans="2:14" x14ac:dyDescent="0.2">
      <c r="B1252" s="19" t="str">
        <f>IF('DDF Original'!B1252="","",'DDF Original'!B1252)</f>
        <v/>
      </c>
      <c r="C1252" s="19" t="e">
        <f t="shared" si="133"/>
        <v>#VALUE!</v>
      </c>
      <c r="D1252" s="20" t="str">
        <f>IF('DDF Original'!C1252="","",'DDF Original'!C1252)</f>
        <v/>
      </c>
      <c r="E1252" s="24" t="str">
        <f>IF('DDF Original'!B1252="","",IF(TRIM('DDF Original'!I1252)="",0,'DDF Original'!I1252))</f>
        <v/>
      </c>
      <c r="F1252" s="20" t="str">
        <f t="shared" si="134"/>
        <v/>
      </c>
      <c r="G1252" s="37" t="str">
        <f>IF('DDF Original'!B1252="","",IF(TRIM('DDF Original'!P1252)="",0,'DDF Original'!P1252))</f>
        <v/>
      </c>
      <c r="H1252" s="20" t="str">
        <f t="shared" si="135"/>
        <v/>
      </c>
      <c r="I1252" s="25" t="str">
        <f t="shared" si="136"/>
        <v/>
      </c>
      <c r="J1252" s="20" t="str">
        <f t="shared" si="137"/>
        <v/>
      </c>
      <c r="K1252" s="20" t="str">
        <f t="shared" si="138"/>
        <v/>
      </c>
      <c r="L1252" s="20" t="str">
        <f>IF(B1252="","",70*'DDF Original'!$Q$4)</f>
        <v/>
      </c>
      <c r="M1252" s="20" t="str">
        <f t="shared" si="139"/>
        <v/>
      </c>
      <c r="N1252" s="20" t="str">
        <f>IF(AND(OR(B1252="",J1252&gt;G1252,M1252&gt;G1252),'DDF Original'!L1252&lt;&gt; "MI"),G1252,IF(M1252&gt;J1252,M1252,J1252))</f>
        <v/>
      </c>
    </row>
    <row r="1253" spans="2:14" x14ac:dyDescent="0.2">
      <c r="B1253" s="19" t="str">
        <f>IF('DDF Original'!B1253="","",'DDF Original'!B1253)</f>
        <v/>
      </c>
      <c r="C1253" s="19" t="e">
        <f t="shared" si="133"/>
        <v>#VALUE!</v>
      </c>
      <c r="D1253" s="20" t="str">
        <f>IF('DDF Original'!C1253="","",'DDF Original'!C1253)</f>
        <v/>
      </c>
      <c r="E1253" s="24" t="str">
        <f>IF('DDF Original'!B1253="","",IF(TRIM('DDF Original'!I1253)="",0,'DDF Original'!I1253))</f>
        <v/>
      </c>
      <c r="F1253" s="20" t="str">
        <f t="shared" si="134"/>
        <v/>
      </c>
      <c r="G1253" s="37" t="str">
        <f>IF('DDF Original'!B1253="","",IF(TRIM('DDF Original'!P1253)="",0,'DDF Original'!P1253))</f>
        <v/>
      </c>
      <c r="H1253" s="20" t="str">
        <f t="shared" si="135"/>
        <v/>
      </c>
      <c r="I1253" s="25" t="str">
        <f t="shared" si="136"/>
        <v/>
      </c>
      <c r="J1253" s="20" t="str">
        <f t="shared" si="137"/>
        <v/>
      </c>
      <c r="K1253" s="20" t="str">
        <f t="shared" si="138"/>
        <v/>
      </c>
      <c r="L1253" s="20" t="str">
        <f>IF(B1253="","",70*'DDF Original'!$Q$4)</f>
        <v/>
      </c>
      <c r="M1253" s="20" t="str">
        <f t="shared" si="139"/>
        <v/>
      </c>
      <c r="N1253" s="20" t="str">
        <f>IF(AND(OR(B1253="",J1253&gt;G1253,M1253&gt;G1253),'DDF Original'!L1253&lt;&gt; "MI"),G1253,IF(M1253&gt;J1253,M1253,J1253))</f>
        <v/>
      </c>
    </row>
    <row r="1254" spans="2:14" x14ac:dyDescent="0.2">
      <c r="B1254" s="19" t="str">
        <f>IF('DDF Original'!B1254="","",'DDF Original'!B1254)</f>
        <v/>
      </c>
      <c r="C1254" s="19" t="e">
        <f t="shared" si="133"/>
        <v>#VALUE!</v>
      </c>
      <c r="D1254" s="20" t="str">
        <f>IF('DDF Original'!C1254="","",'DDF Original'!C1254)</f>
        <v/>
      </c>
      <c r="E1254" s="24" t="str">
        <f>IF('DDF Original'!B1254="","",IF(TRIM('DDF Original'!I1254)="",0,'DDF Original'!I1254))</f>
        <v/>
      </c>
      <c r="F1254" s="20" t="str">
        <f t="shared" si="134"/>
        <v/>
      </c>
      <c r="G1254" s="37" t="str">
        <f>IF('DDF Original'!B1254="","",IF(TRIM('DDF Original'!P1254)="",0,'DDF Original'!P1254))</f>
        <v/>
      </c>
      <c r="H1254" s="20" t="str">
        <f t="shared" si="135"/>
        <v/>
      </c>
      <c r="I1254" s="25" t="str">
        <f t="shared" si="136"/>
        <v/>
      </c>
      <c r="J1254" s="20" t="str">
        <f t="shared" si="137"/>
        <v/>
      </c>
      <c r="K1254" s="20" t="str">
        <f t="shared" si="138"/>
        <v/>
      </c>
      <c r="L1254" s="20" t="str">
        <f>IF(B1254="","",70*'DDF Original'!$Q$4)</f>
        <v/>
      </c>
      <c r="M1254" s="20" t="str">
        <f t="shared" si="139"/>
        <v/>
      </c>
      <c r="N1254" s="20" t="str">
        <f>IF(AND(OR(B1254="",J1254&gt;G1254,M1254&gt;G1254),'DDF Original'!L1254&lt;&gt; "MI"),G1254,IF(M1254&gt;J1254,M1254,J1254))</f>
        <v/>
      </c>
    </row>
    <row r="1255" spans="2:14" x14ac:dyDescent="0.2">
      <c r="B1255" s="19" t="str">
        <f>IF('DDF Original'!B1255="","",'DDF Original'!B1255)</f>
        <v/>
      </c>
      <c r="C1255" s="19" t="e">
        <f t="shared" si="133"/>
        <v>#VALUE!</v>
      </c>
      <c r="D1255" s="20" t="str">
        <f>IF('DDF Original'!C1255="","",'DDF Original'!C1255)</f>
        <v/>
      </c>
      <c r="E1255" s="24" t="str">
        <f>IF('DDF Original'!B1255="","",IF(TRIM('DDF Original'!I1255)="",0,'DDF Original'!I1255))</f>
        <v/>
      </c>
      <c r="F1255" s="20" t="str">
        <f t="shared" si="134"/>
        <v/>
      </c>
      <c r="G1255" s="37" t="str">
        <f>IF('DDF Original'!B1255="","",IF(TRIM('DDF Original'!P1255)="",0,'DDF Original'!P1255))</f>
        <v/>
      </c>
      <c r="H1255" s="20" t="str">
        <f t="shared" si="135"/>
        <v/>
      </c>
      <c r="I1255" s="25" t="str">
        <f t="shared" si="136"/>
        <v/>
      </c>
      <c r="J1255" s="20" t="str">
        <f t="shared" si="137"/>
        <v/>
      </c>
      <c r="K1255" s="20" t="str">
        <f t="shared" si="138"/>
        <v/>
      </c>
      <c r="L1255" s="20" t="str">
        <f>IF(B1255="","",70*'DDF Original'!$Q$4)</f>
        <v/>
      </c>
      <c r="M1255" s="20" t="str">
        <f t="shared" si="139"/>
        <v/>
      </c>
      <c r="N1255" s="20" t="str">
        <f>IF(AND(OR(B1255="",J1255&gt;G1255,M1255&gt;G1255),'DDF Original'!L1255&lt;&gt; "MI"),G1255,IF(M1255&gt;J1255,M1255,J1255))</f>
        <v/>
      </c>
    </row>
    <row r="1256" spans="2:14" x14ac:dyDescent="0.2">
      <c r="B1256" s="19" t="str">
        <f>IF('DDF Original'!B1256="","",'DDF Original'!B1256)</f>
        <v/>
      </c>
      <c r="C1256" s="19" t="e">
        <f t="shared" si="133"/>
        <v>#VALUE!</v>
      </c>
      <c r="D1256" s="20" t="str">
        <f>IF('DDF Original'!C1256="","",'DDF Original'!C1256)</f>
        <v/>
      </c>
      <c r="E1256" s="24" t="str">
        <f>IF('DDF Original'!B1256="","",IF(TRIM('DDF Original'!I1256)="",0,'DDF Original'!I1256))</f>
        <v/>
      </c>
      <c r="F1256" s="20" t="str">
        <f t="shared" si="134"/>
        <v/>
      </c>
      <c r="G1256" s="37" t="str">
        <f>IF('DDF Original'!B1256="","",IF(TRIM('DDF Original'!P1256)="",0,'DDF Original'!P1256))</f>
        <v/>
      </c>
      <c r="H1256" s="20" t="str">
        <f t="shared" si="135"/>
        <v/>
      </c>
      <c r="I1256" s="25" t="str">
        <f t="shared" si="136"/>
        <v/>
      </c>
      <c r="J1256" s="20" t="str">
        <f t="shared" si="137"/>
        <v/>
      </c>
      <c r="K1256" s="20" t="str">
        <f t="shared" si="138"/>
        <v/>
      </c>
      <c r="L1256" s="20" t="str">
        <f>IF(B1256="","",70*'DDF Original'!$Q$4)</f>
        <v/>
      </c>
      <c r="M1256" s="20" t="str">
        <f t="shared" si="139"/>
        <v/>
      </c>
      <c r="N1256" s="20" t="str">
        <f>IF(AND(OR(B1256="",J1256&gt;G1256,M1256&gt;G1256),'DDF Original'!L1256&lt;&gt; "MI"),G1256,IF(M1256&gt;J1256,M1256,J1256))</f>
        <v/>
      </c>
    </row>
    <row r="1257" spans="2:14" x14ac:dyDescent="0.2">
      <c r="B1257" s="19" t="str">
        <f>IF('DDF Original'!B1257="","",'DDF Original'!B1257)</f>
        <v/>
      </c>
      <c r="C1257" s="19" t="e">
        <f t="shared" si="133"/>
        <v>#VALUE!</v>
      </c>
      <c r="D1257" s="20" t="str">
        <f>IF('DDF Original'!C1257="","",'DDF Original'!C1257)</f>
        <v/>
      </c>
      <c r="E1257" s="24" t="str">
        <f>IF('DDF Original'!B1257="","",IF(TRIM('DDF Original'!I1257)="",0,'DDF Original'!I1257))</f>
        <v/>
      </c>
      <c r="F1257" s="20" t="str">
        <f t="shared" si="134"/>
        <v/>
      </c>
      <c r="G1257" s="37" t="str">
        <f>IF('DDF Original'!B1257="","",IF(TRIM('DDF Original'!P1257)="",0,'DDF Original'!P1257))</f>
        <v/>
      </c>
      <c r="H1257" s="20" t="str">
        <f t="shared" si="135"/>
        <v/>
      </c>
      <c r="I1257" s="25" t="str">
        <f t="shared" si="136"/>
        <v/>
      </c>
      <c r="J1257" s="20" t="str">
        <f t="shared" si="137"/>
        <v/>
      </c>
      <c r="K1257" s="20" t="str">
        <f t="shared" si="138"/>
        <v/>
      </c>
      <c r="L1257" s="20" t="str">
        <f>IF(B1257="","",70*'DDF Original'!$Q$4)</f>
        <v/>
      </c>
      <c r="M1257" s="20" t="str">
        <f t="shared" si="139"/>
        <v/>
      </c>
      <c r="N1257" s="20" t="str">
        <f>IF(AND(OR(B1257="",J1257&gt;G1257,M1257&gt;G1257),'DDF Original'!L1257&lt;&gt; "MI"),G1257,IF(M1257&gt;J1257,M1257,J1257))</f>
        <v/>
      </c>
    </row>
    <row r="1258" spans="2:14" x14ac:dyDescent="0.2">
      <c r="B1258" s="19" t="str">
        <f>IF('DDF Original'!B1258="","",'DDF Original'!B1258)</f>
        <v/>
      </c>
      <c r="C1258" s="19" t="e">
        <f t="shared" si="133"/>
        <v>#VALUE!</v>
      </c>
      <c r="D1258" s="20" t="str">
        <f>IF('DDF Original'!C1258="","",'DDF Original'!C1258)</f>
        <v/>
      </c>
      <c r="E1258" s="24" t="str">
        <f>IF('DDF Original'!B1258="","",IF(TRIM('DDF Original'!I1258)="",0,'DDF Original'!I1258))</f>
        <v/>
      </c>
      <c r="F1258" s="20" t="str">
        <f t="shared" si="134"/>
        <v/>
      </c>
      <c r="G1258" s="37" t="str">
        <f>IF('DDF Original'!B1258="","",IF(TRIM('DDF Original'!P1258)="",0,'DDF Original'!P1258))</f>
        <v/>
      </c>
      <c r="H1258" s="20" t="str">
        <f t="shared" si="135"/>
        <v/>
      </c>
      <c r="I1258" s="25" t="str">
        <f t="shared" si="136"/>
        <v/>
      </c>
      <c r="J1258" s="20" t="str">
        <f t="shared" si="137"/>
        <v/>
      </c>
      <c r="K1258" s="20" t="str">
        <f t="shared" si="138"/>
        <v/>
      </c>
      <c r="L1258" s="20" t="str">
        <f>IF(B1258="","",70*'DDF Original'!$Q$4)</f>
        <v/>
      </c>
      <c r="M1258" s="20" t="str">
        <f t="shared" si="139"/>
        <v/>
      </c>
      <c r="N1258" s="20" t="str">
        <f>IF(AND(OR(B1258="",J1258&gt;G1258,M1258&gt;G1258),'DDF Original'!L1258&lt;&gt; "MI"),G1258,IF(M1258&gt;J1258,M1258,J1258))</f>
        <v/>
      </c>
    </row>
    <row r="1259" spans="2:14" x14ac:dyDescent="0.2">
      <c r="B1259" s="19" t="str">
        <f>IF('DDF Original'!B1259="","",'DDF Original'!B1259)</f>
        <v/>
      </c>
      <c r="C1259" s="19" t="e">
        <f t="shared" si="133"/>
        <v>#VALUE!</v>
      </c>
      <c r="D1259" s="20" t="str">
        <f>IF('DDF Original'!C1259="","",'DDF Original'!C1259)</f>
        <v/>
      </c>
      <c r="E1259" s="24" t="str">
        <f>IF('DDF Original'!B1259="","",IF(TRIM('DDF Original'!I1259)="",0,'DDF Original'!I1259))</f>
        <v/>
      </c>
      <c r="F1259" s="20" t="str">
        <f t="shared" si="134"/>
        <v/>
      </c>
      <c r="G1259" s="37" t="str">
        <f>IF('DDF Original'!B1259="","",IF(TRIM('DDF Original'!P1259)="",0,'DDF Original'!P1259))</f>
        <v/>
      </c>
      <c r="H1259" s="20" t="str">
        <f t="shared" si="135"/>
        <v/>
      </c>
      <c r="I1259" s="25" t="str">
        <f t="shared" si="136"/>
        <v/>
      </c>
      <c r="J1259" s="20" t="str">
        <f t="shared" si="137"/>
        <v/>
      </c>
      <c r="K1259" s="20" t="str">
        <f t="shared" si="138"/>
        <v/>
      </c>
      <c r="L1259" s="20" t="str">
        <f>IF(B1259="","",70*'DDF Original'!$Q$4)</f>
        <v/>
      </c>
      <c r="M1259" s="20" t="str">
        <f t="shared" si="139"/>
        <v/>
      </c>
      <c r="N1259" s="20" t="str">
        <f>IF(AND(OR(B1259="",J1259&gt;G1259,M1259&gt;G1259),'DDF Original'!L1259&lt;&gt; "MI"),G1259,IF(M1259&gt;J1259,M1259,J1259))</f>
        <v/>
      </c>
    </row>
    <row r="1260" spans="2:14" x14ac:dyDescent="0.2">
      <c r="B1260" s="19" t="str">
        <f>IF('DDF Original'!B1260="","",'DDF Original'!B1260)</f>
        <v/>
      </c>
      <c r="C1260" s="19" t="e">
        <f t="shared" si="133"/>
        <v>#VALUE!</v>
      </c>
      <c r="D1260" s="20" t="str">
        <f>IF('DDF Original'!C1260="","",'DDF Original'!C1260)</f>
        <v/>
      </c>
      <c r="E1260" s="24" t="str">
        <f>IF('DDF Original'!B1260="","",IF(TRIM('DDF Original'!I1260)="",0,'DDF Original'!I1260))</f>
        <v/>
      </c>
      <c r="F1260" s="20" t="str">
        <f t="shared" si="134"/>
        <v/>
      </c>
      <c r="G1260" s="37" t="str">
        <f>IF('DDF Original'!B1260="","",IF(TRIM('DDF Original'!P1260)="",0,'DDF Original'!P1260))</f>
        <v/>
      </c>
      <c r="H1260" s="20" t="str">
        <f t="shared" si="135"/>
        <v/>
      </c>
      <c r="I1260" s="25" t="str">
        <f t="shared" si="136"/>
        <v/>
      </c>
      <c r="J1260" s="20" t="str">
        <f t="shared" si="137"/>
        <v/>
      </c>
      <c r="K1260" s="20" t="str">
        <f t="shared" si="138"/>
        <v/>
      </c>
      <c r="L1260" s="20" t="str">
        <f>IF(B1260="","",70*'DDF Original'!$Q$4)</f>
        <v/>
      </c>
      <c r="M1260" s="20" t="str">
        <f t="shared" si="139"/>
        <v/>
      </c>
      <c r="N1260" s="20" t="str">
        <f>IF(AND(OR(B1260="",J1260&gt;G1260,M1260&gt;G1260),'DDF Original'!L1260&lt;&gt; "MI"),G1260,IF(M1260&gt;J1260,M1260,J1260))</f>
        <v/>
      </c>
    </row>
    <row r="1261" spans="2:14" x14ac:dyDescent="0.2">
      <c r="B1261" s="19" t="str">
        <f>IF('DDF Original'!B1261="","",'DDF Original'!B1261)</f>
        <v/>
      </c>
      <c r="C1261" s="19" t="e">
        <f t="shared" si="133"/>
        <v>#VALUE!</v>
      </c>
      <c r="D1261" s="20" t="str">
        <f>IF('DDF Original'!C1261="","",'DDF Original'!C1261)</f>
        <v/>
      </c>
      <c r="E1261" s="24" t="str">
        <f>IF('DDF Original'!B1261="","",IF(TRIM('DDF Original'!I1261)="",0,'DDF Original'!I1261))</f>
        <v/>
      </c>
      <c r="F1261" s="20" t="str">
        <f t="shared" si="134"/>
        <v/>
      </c>
      <c r="G1261" s="37" t="str">
        <f>IF('DDF Original'!B1261="","",IF(TRIM('DDF Original'!P1261)="",0,'DDF Original'!P1261))</f>
        <v/>
      </c>
      <c r="H1261" s="20" t="str">
        <f t="shared" si="135"/>
        <v/>
      </c>
      <c r="I1261" s="25" t="str">
        <f t="shared" si="136"/>
        <v/>
      </c>
      <c r="J1261" s="20" t="str">
        <f t="shared" si="137"/>
        <v/>
      </c>
      <c r="K1261" s="20" t="str">
        <f t="shared" si="138"/>
        <v/>
      </c>
      <c r="L1261" s="20" t="str">
        <f>IF(B1261="","",70*'DDF Original'!$Q$4)</f>
        <v/>
      </c>
      <c r="M1261" s="20" t="str">
        <f t="shared" si="139"/>
        <v/>
      </c>
      <c r="N1261" s="20" t="str">
        <f>IF(AND(OR(B1261="",J1261&gt;G1261,M1261&gt;G1261),'DDF Original'!L1261&lt;&gt; "MI"),G1261,IF(M1261&gt;J1261,M1261,J1261))</f>
        <v/>
      </c>
    </row>
    <row r="1262" spans="2:14" x14ac:dyDescent="0.2">
      <c r="B1262" s="19" t="str">
        <f>IF('DDF Original'!B1262="","",'DDF Original'!B1262)</f>
        <v/>
      </c>
      <c r="C1262" s="19" t="e">
        <f t="shared" si="133"/>
        <v>#VALUE!</v>
      </c>
      <c r="D1262" s="20" t="str">
        <f>IF('DDF Original'!C1262="","",'DDF Original'!C1262)</f>
        <v/>
      </c>
      <c r="E1262" s="24" t="str">
        <f>IF('DDF Original'!B1262="","",IF(TRIM('DDF Original'!I1262)="",0,'DDF Original'!I1262))</f>
        <v/>
      </c>
      <c r="F1262" s="20" t="str">
        <f t="shared" si="134"/>
        <v/>
      </c>
      <c r="G1262" s="37" t="str">
        <f>IF('DDF Original'!B1262="","",IF(TRIM('DDF Original'!P1262)="",0,'DDF Original'!P1262))</f>
        <v/>
      </c>
      <c r="H1262" s="20" t="str">
        <f t="shared" si="135"/>
        <v/>
      </c>
      <c r="I1262" s="25" t="str">
        <f t="shared" si="136"/>
        <v/>
      </c>
      <c r="J1262" s="20" t="str">
        <f t="shared" si="137"/>
        <v/>
      </c>
      <c r="K1262" s="20" t="str">
        <f t="shared" si="138"/>
        <v/>
      </c>
      <c r="L1262" s="20" t="str">
        <f>IF(B1262="","",70*'DDF Original'!$Q$4)</f>
        <v/>
      </c>
      <c r="M1262" s="20" t="str">
        <f t="shared" si="139"/>
        <v/>
      </c>
      <c r="N1262" s="20" t="str">
        <f>IF(AND(OR(B1262="",J1262&gt;G1262,M1262&gt;G1262),'DDF Original'!L1262&lt;&gt; "MI"),G1262,IF(M1262&gt;J1262,M1262,J1262))</f>
        <v/>
      </c>
    </row>
    <row r="1263" spans="2:14" x14ac:dyDescent="0.2">
      <c r="B1263" s="19" t="str">
        <f>IF('DDF Original'!B1263="","",'DDF Original'!B1263)</f>
        <v/>
      </c>
      <c r="C1263" s="19" t="e">
        <f t="shared" si="133"/>
        <v>#VALUE!</v>
      </c>
      <c r="D1263" s="20" t="str">
        <f>IF('DDF Original'!C1263="","",'DDF Original'!C1263)</f>
        <v/>
      </c>
      <c r="E1263" s="24" t="str">
        <f>IF('DDF Original'!B1263="","",IF(TRIM('DDF Original'!I1263)="",0,'DDF Original'!I1263))</f>
        <v/>
      </c>
      <c r="F1263" s="20" t="str">
        <f t="shared" si="134"/>
        <v/>
      </c>
      <c r="G1263" s="37" t="str">
        <f>IF('DDF Original'!B1263="","",IF(TRIM('DDF Original'!P1263)="",0,'DDF Original'!P1263))</f>
        <v/>
      </c>
      <c r="H1263" s="20" t="str">
        <f t="shared" si="135"/>
        <v/>
      </c>
      <c r="I1263" s="25" t="str">
        <f t="shared" si="136"/>
        <v/>
      </c>
      <c r="J1263" s="20" t="str">
        <f t="shared" si="137"/>
        <v/>
      </c>
      <c r="K1263" s="20" t="str">
        <f t="shared" si="138"/>
        <v/>
      </c>
      <c r="L1263" s="20" t="str">
        <f>IF(B1263="","",70*'DDF Original'!$Q$4)</f>
        <v/>
      </c>
      <c r="M1263" s="20" t="str">
        <f t="shared" si="139"/>
        <v/>
      </c>
      <c r="N1263" s="20" t="str">
        <f>IF(AND(OR(B1263="",J1263&gt;G1263,M1263&gt;G1263),'DDF Original'!L1263&lt;&gt; "MI"),G1263,IF(M1263&gt;J1263,M1263,J1263))</f>
        <v/>
      </c>
    </row>
    <row r="1264" spans="2:14" x14ac:dyDescent="0.2">
      <c r="B1264" s="19" t="str">
        <f>IF('DDF Original'!B1264="","",'DDF Original'!B1264)</f>
        <v/>
      </c>
      <c r="C1264" s="19" t="e">
        <f t="shared" si="133"/>
        <v>#VALUE!</v>
      </c>
      <c r="D1264" s="20" t="str">
        <f>IF('DDF Original'!C1264="","",'DDF Original'!C1264)</f>
        <v/>
      </c>
      <c r="E1264" s="24" t="str">
        <f>IF('DDF Original'!B1264="","",IF(TRIM('DDF Original'!I1264)="",0,'DDF Original'!I1264))</f>
        <v/>
      </c>
      <c r="F1264" s="20" t="str">
        <f t="shared" si="134"/>
        <v/>
      </c>
      <c r="G1264" s="37" t="str">
        <f>IF('DDF Original'!B1264="","",IF(TRIM('DDF Original'!P1264)="",0,'DDF Original'!P1264))</f>
        <v/>
      </c>
      <c r="H1264" s="20" t="str">
        <f t="shared" si="135"/>
        <v/>
      </c>
      <c r="I1264" s="25" t="str">
        <f t="shared" si="136"/>
        <v/>
      </c>
      <c r="J1264" s="20" t="str">
        <f t="shared" si="137"/>
        <v/>
      </c>
      <c r="K1264" s="20" t="str">
        <f t="shared" si="138"/>
        <v/>
      </c>
      <c r="L1264" s="20" t="str">
        <f>IF(B1264="","",70*'DDF Original'!$Q$4)</f>
        <v/>
      </c>
      <c r="M1264" s="20" t="str">
        <f t="shared" si="139"/>
        <v/>
      </c>
      <c r="N1264" s="20" t="str">
        <f>IF(AND(OR(B1264="",J1264&gt;G1264,M1264&gt;G1264),'DDF Original'!L1264&lt;&gt; "MI"),G1264,IF(M1264&gt;J1264,M1264,J1264))</f>
        <v/>
      </c>
    </row>
    <row r="1265" spans="2:14" x14ac:dyDescent="0.2">
      <c r="B1265" s="19" t="str">
        <f>IF('DDF Original'!B1265="","",'DDF Original'!B1265)</f>
        <v/>
      </c>
      <c r="C1265" s="19" t="e">
        <f t="shared" si="133"/>
        <v>#VALUE!</v>
      </c>
      <c r="D1265" s="20" t="str">
        <f>IF('DDF Original'!C1265="","",'DDF Original'!C1265)</f>
        <v/>
      </c>
      <c r="E1265" s="24" t="str">
        <f>IF('DDF Original'!B1265="","",IF(TRIM('DDF Original'!I1265)="",0,'DDF Original'!I1265))</f>
        <v/>
      </c>
      <c r="F1265" s="20" t="str">
        <f t="shared" si="134"/>
        <v/>
      </c>
      <c r="G1265" s="37" t="str">
        <f>IF('DDF Original'!B1265="","",IF(TRIM('DDF Original'!P1265)="",0,'DDF Original'!P1265))</f>
        <v/>
      </c>
      <c r="H1265" s="20" t="str">
        <f t="shared" si="135"/>
        <v/>
      </c>
      <c r="I1265" s="25" t="str">
        <f t="shared" si="136"/>
        <v/>
      </c>
      <c r="J1265" s="20" t="str">
        <f t="shared" si="137"/>
        <v/>
      </c>
      <c r="K1265" s="20" t="str">
        <f t="shared" si="138"/>
        <v/>
      </c>
      <c r="L1265" s="20" t="str">
        <f>IF(B1265="","",70*'DDF Original'!$Q$4)</f>
        <v/>
      </c>
      <c r="M1265" s="20" t="str">
        <f t="shared" si="139"/>
        <v/>
      </c>
      <c r="N1265" s="20" t="str">
        <f>IF(AND(OR(B1265="",J1265&gt;G1265,M1265&gt;G1265),'DDF Original'!L1265&lt;&gt; "MI"),G1265,IF(M1265&gt;J1265,M1265,J1265))</f>
        <v/>
      </c>
    </row>
    <row r="1266" spans="2:14" x14ac:dyDescent="0.2">
      <c r="B1266" s="19" t="str">
        <f>IF('DDF Original'!B1266="","",'DDF Original'!B1266)</f>
        <v/>
      </c>
      <c r="C1266" s="19" t="e">
        <f t="shared" si="133"/>
        <v>#VALUE!</v>
      </c>
      <c r="D1266" s="20" t="str">
        <f>IF('DDF Original'!C1266="","",'DDF Original'!C1266)</f>
        <v/>
      </c>
      <c r="E1266" s="24" t="str">
        <f>IF('DDF Original'!B1266="","",IF(TRIM('DDF Original'!I1266)="",0,'DDF Original'!I1266))</f>
        <v/>
      </c>
      <c r="F1266" s="20" t="str">
        <f t="shared" si="134"/>
        <v/>
      </c>
      <c r="G1266" s="37" t="str">
        <f>IF('DDF Original'!B1266="","",IF(TRIM('DDF Original'!P1266)="",0,'DDF Original'!P1266))</f>
        <v/>
      </c>
      <c r="H1266" s="20" t="str">
        <f t="shared" si="135"/>
        <v/>
      </c>
      <c r="I1266" s="25" t="str">
        <f t="shared" si="136"/>
        <v/>
      </c>
      <c r="J1266" s="20" t="str">
        <f t="shared" si="137"/>
        <v/>
      </c>
      <c r="K1266" s="20" t="str">
        <f t="shared" si="138"/>
        <v/>
      </c>
      <c r="L1266" s="20" t="str">
        <f>IF(B1266="","",70*'DDF Original'!$Q$4)</f>
        <v/>
      </c>
      <c r="M1266" s="20" t="str">
        <f t="shared" si="139"/>
        <v/>
      </c>
      <c r="N1266" s="20" t="str">
        <f>IF(AND(OR(B1266="",J1266&gt;G1266,M1266&gt;G1266),'DDF Original'!L1266&lt;&gt; "MI"),G1266,IF(M1266&gt;J1266,M1266,J1266))</f>
        <v/>
      </c>
    </row>
    <row r="1267" spans="2:14" x14ac:dyDescent="0.2">
      <c r="B1267" s="19" t="str">
        <f>IF('DDF Original'!B1267="","",'DDF Original'!B1267)</f>
        <v/>
      </c>
      <c r="C1267" s="19" t="e">
        <f t="shared" si="133"/>
        <v>#VALUE!</v>
      </c>
      <c r="D1267" s="20" t="str">
        <f>IF('DDF Original'!C1267="","",'DDF Original'!C1267)</f>
        <v/>
      </c>
      <c r="E1267" s="24" t="str">
        <f>IF('DDF Original'!B1267="","",IF(TRIM('DDF Original'!I1267)="",0,'DDF Original'!I1267))</f>
        <v/>
      </c>
      <c r="F1267" s="20" t="str">
        <f t="shared" si="134"/>
        <v/>
      </c>
      <c r="G1267" s="37" t="str">
        <f>IF('DDF Original'!B1267="","",IF(TRIM('DDF Original'!P1267)="",0,'DDF Original'!P1267))</f>
        <v/>
      </c>
      <c r="H1267" s="20" t="str">
        <f t="shared" si="135"/>
        <v/>
      </c>
      <c r="I1267" s="25" t="str">
        <f t="shared" si="136"/>
        <v/>
      </c>
      <c r="J1267" s="20" t="str">
        <f t="shared" si="137"/>
        <v/>
      </c>
      <c r="K1267" s="20" t="str">
        <f t="shared" si="138"/>
        <v/>
      </c>
      <c r="L1267" s="20" t="str">
        <f>IF(B1267="","",70*'DDF Original'!$Q$4)</f>
        <v/>
      </c>
      <c r="M1267" s="20" t="str">
        <f t="shared" si="139"/>
        <v/>
      </c>
      <c r="N1267" s="20" t="str">
        <f>IF(AND(OR(B1267="",J1267&gt;G1267,M1267&gt;G1267),'DDF Original'!L1267&lt;&gt; "MI"),G1267,IF(M1267&gt;J1267,M1267,J1267))</f>
        <v/>
      </c>
    </row>
    <row r="1268" spans="2:14" x14ac:dyDescent="0.2">
      <c r="B1268" s="19" t="str">
        <f>IF('DDF Original'!B1268="","",'DDF Original'!B1268)</f>
        <v/>
      </c>
      <c r="C1268" s="19" t="e">
        <f t="shared" si="133"/>
        <v>#VALUE!</v>
      </c>
      <c r="D1268" s="20" t="str">
        <f>IF('DDF Original'!C1268="","",'DDF Original'!C1268)</f>
        <v/>
      </c>
      <c r="E1268" s="24" t="str">
        <f>IF('DDF Original'!B1268="","",IF(TRIM('DDF Original'!I1268)="",0,'DDF Original'!I1268))</f>
        <v/>
      </c>
      <c r="F1268" s="20" t="str">
        <f t="shared" si="134"/>
        <v/>
      </c>
      <c r="G1268" s="37" t="str">
        <f>IF('DDF Original'!B1268="","",IF(TRIM('DDF Original'!P1268)="",0,'DDF Original'!P1268))</f>
        <v/>
      </c>
      <c r="H1268" s="20" t="str">
        <f t="shared" si="135"/>
        <v/>
      </c>
      <c r="I1268" s="25" t="str">
        <f t="shared" si="136"/>
        <v/>
      </c>
      <c r="J1268" s="20" t="str">
        <f t="shared" si="137"/>
        <v/>
      </c>
      <c r="K1268" s="20" t="str">
        <f t="shared" si="138"/>
        <v/>
      </c>
      <c r="L1268" s="20" t="str">
        <f>IF(B1268="","",70*'DDF Original'!$Q$4)</f>
        <v/>
      </c>
      <c r="M1268" s="20" t="str">
        <f t="shared" si="139"/>
        <v/>
      </c>
      <c r="N1268" s="20" t="str">
        <f>IF(AND(OR(B1268="",J1268&gt;G1268,M1268&gt;G1268),'DDF Original'!L1268&lt;&gt; "MI"),G1268,IF(M1268&gt;J1268,M1268,J1268))</f>
        <v/>
      </c>
    </row>
    <row r="1269" spans="2:14" x14ac:dyDescent="0.2">
      <c r="B1269" s="19" t="str">
        <f>IF('DDF Original'!B1269="","",'DDF Original'!B1269)</f>
        <v/>
      </c>
      <c r="C1269" s="19" t="e">
        <f t="shared" si="133"/>
        <v>#VALUE!</v>
      </c>
      <c r="D1269" s="20" t="str">
        <f>IF('DDF Original'!C1269="","",'DDF Original'!C1269)</f>
        <v/>
      </c>
      <c r="E1269" s="24" t="str">
        <f>IF('DDF Original'!B1269="","",IF(TRIM('DDF Original'!I1269)="",0,'DDF Original'!I1269))</f>
        <v/>
      </c>
      <c r="F1269" s="20" t="str">
        <f t="shared" si="134"/>
        <v/>
      </c>
      <c r="G1269" s="37" t="str">
        <f>IF('DDF Original'!B1269="","",IF(TRIM('DDF Original'!P1269)="",0,'DDF Original'!P1269))</f>
        <v/>
      </c>
      <c r="H1269" s="20" t="str">
        <f t="shared" si="135"/>
        <v/>
      </c>
      <c r="I1269" s="25" t="str">
        <f t="shared" si="136"/>
        <v/>
      </c>
      <c r="J1269" s="20" t="str">
        <f t="shared" si="137"/>
        <v/>
      </c>
      <c r="K1269" s="20" t="str">
        <f t="shared" si="138"/>
        <v/>
      </c>
      <c r="L1269" s="20" t="str">
        <f>IF(B1269="","",70*'DDF Original'!$Q$4)</f>
        <v/>
      </c>
      <c r="M1269" s="20" t="str">
        <f t="shared" si="139"/>
        <v/>
      </c>
      <c r="N1269" s="20" t="str">
        <f>IF(AND(OR(B1269="",J1269&gt;G1269,M1269&gt;G1269),'DDF Original'!L1269&lt;&gt; "MI"),G1269,IF(M1269&gt;J1269,M1269,J1269))</f>
        <v/>
      </c>
    </row>
    <row r="1270" spans="2:14" x14ac:dyDescent="0.2">
      <c r="B1270" s="19" t="str">
        <f>IF('DDF Original'!B1270="","",'DDF Original'!B1270)</f>
        <v/>
      </c>
      <c r="C1270" s="19" t="e">
        <f t="shared" si="133"/>
        <v>#VALUE!</v>
      </c>
      <c r="D1270" s="20" t="str">
        <f>IF('DDF Original'!C1270="","",'DDF Original'!C1270)</f>
        <v/>
      </c>
      <c r="E1270" s="24" t="str">
        <f>IF('DDF Original'!B1270="","",IF(TRIM('DDF Original'!I1270)="",0,'DDF Original'!I1270))</f>
        <v/>
      </c>
      <c r="F1270" s="20" t="str">
        <f t="shared" si="134"/>
        <v/>
      </c>
      <c r="G1270" s="37" t="str">
        <f>IF('DDF Original'!B1270="","",IF(TRIM('DDF Original'!P1270)="",0,'DDF Original'!P1270))</f>
        <v/>
      </c>
      <c r="H1270" s="20" t="str">
        <f t="shared" si="135"/>
        <v/>
      </c>
      <c r="I1270" s="25" t="str">
        <f t="shared" si="136"/>
        <v/>
      </c>
      <c r="J1270" s="20" t="str">
        <f t="shared" si="137"/>
        <v/>
      </c>
      <c r="K1270" s="20" t="str">
        <f t="shared" si="138"/>
        <v/>
      </c>
      <c r="L1270" s="20" t="str">
        <f>IF(B1270="","",70*'DDF Original'!$Q$4)</f>
        <v/>
      </c>
      <c r="M1270" s="20" t="str">
        <f t="shared" si="139"/>
        <v/>
      </c>
      <c r="N1270" s="20" t="str">
        <f>IF(AND(OR(B1270="",J1270&gt;G1270,M1270&gt;G1270),'DDF Original'!L1270&lt;&gt; "MI"),G1270,IF(M1270&gt;J1270,M1270,J1270))</f>
        <v/>
      </c>
    </row>
    <row r="1271" spans="2:14" x14ac:dyDescent="0.2">
      <c r="B1271" s="19" t="str">
        <f>IF('DDF Original'!B1271="","",'DDF Original'!B1271)</f>
        <v/>
      </c>
      <c r="C1271" s="19" t="e">
        <f t="shared" si="133"/>
        <v>#VALUE!</v>
      </c>
      <c r="D1271" s="20" t="str">
        <f>IF('DDF Original'!C1271="","",'DDF Original'!C1271)</f>
        <v/>
      </c>
      <c r="E1271" s="24" t="str">
        <f>IF('DDF Original'!B1271="","",IF(TRIM('DDF Original'!I1271)="",0,'DDF Original'!I1271))</f>
        <v/>
      </c>
      <c r="F1271" s="20" t="str">
        <f t="shared" si="134"/>
        <v/>
      </c>
      <c r="G1271" s="37" t="str">
        <f>IF('DDF Original'!B1271="","",IF(TRIM('DDF Original'!P1271)="",0,'DDF Original'!P1271))</f>
        <v/>
      </c>
      <c r="H1271" s="20" t="str">
        <f t="shared" si="135"/>
        <v/>
      </c>
      <c r="I1271" s="25" t="str">
        <f t="shared" si="136"/>
        <v/>
      </c>
      <c r="J1271" s="20" t="str">
        <f t="shared" si="137"/>
        <v/>
      </c>
      <c r="K1271" s="20" t="str">
        <f t="shared" si="138"/>
        <v/>
      </c>
      <c r="L1271" s="20" t="str">
        <f>IF(B1271="","",70*'DDF Original'!$Q$4)</f>
        <v/>
      </c>
      <c r="M1271" s="20" t="str">
        <f t="shared" si="139"/>
        <v/>
      </c>
      <c r="N1271" s="20" t="str">
        <f>IF(AND(OR(B1271="",J1271&gt;G1271,M1271&gt;G1271),'DDF Original'!L1271&lt;&gt; "MI"),G1271,IF(M1271&gt;J1271,M1271,J1271))</f>
        <v/>
      </c>
    </row>
    <row r="1272" spans="2:14" x14ac:dyDescent="0.2">
      <c r="B1272" s="19" t="str">
        <f>IF('DDF Original'!B1272="","",'DDF Original'!B1272)</f>
        <v/>
      </c>
      <c r="C1272" s="19" t="e">
        <f t="shared" si="133"/>
        <v>#VALUE!</v>
      </c>
      <c r="D1272" s="20" t="str">
        <f>IF('DDF Original'!C1272="","",'DDF Original'!C1272)</f>
        <v/>
      </c>
      <c r="E1272" s="24" t="str">
        <f>IF('DDF Original'!B1272="","",IF(TRIM('DDF Original'!I1272)="",0,'DDF Original'!I1272))</f>
        <v/>
      </c>
      <c r="F1272" s="20" t="str">
        <f t="shared" si="134"/>
        <v/>
      </c>
      <c r="G1272" s="37" t="str">
        <f>IF('DDF Original'!B1272="","",IF(TRIM('DDF Original'!P1272)="",0,'DDF Original'!P1272))</f>
        <v/>
      </c>
      <c r="H1272" s="20" t="str">
        <f t="shared" si="135"/>
        <v/>
      </c>
      <c r="I1272" s="25" t="str">
        <f t="shared" si="136"/>
        <v/>
      </c>
      <c r="J1272" s="20" t="str">
        <f t="shared" si="137"/>
        <v/>
      </c>
      <c r="K1272" s="20" t="str">
        <f t="shared" si="138"/>
        <v/>
      </c>
      <c r="L1272" s="20" t="str">
        <f>IF(B1272="","",70*'DDF Original'!$Q$4)</f>
        <v/>
      </c>
      <c r="M1272" s="20" t="str">
        <f t="shared" si="139"/>
        <v/>
      </c>
      <c r="N1272" s="20" t="str">
        <f>IF(AND(OR(B1272="",J1272&gt;G1272,M1272&gt;G1272),'DDF Original'!L1272&lt;&gt; "MI"),G1272,IF(M1272&gt;J1272,M1272,J1272))</f>
        <v/>
      </c>
    </row>
    <row r="1273" spans="2:14" x14ac:dyDescent="0.2">
      <c r="B1273" s="19" t="str">
        <f>IF('DDF Original'!B1273="","",'DDF Original'!B1273)</f>
        <v/>
      </c>
      <c r="C1273" s="19" t="e">
        <f t="shared" si="133"/>
        <v>#VALUE!</v>
      </c>
      <c r="D1273" s="20" t="str">
        <f>IF('DDF Original'!C1273="","",'DDF Original'!C1273)</f>
        <v/>
      </c>
      <c r="E1273" s="24" t="str">
        <f>IF('DDF Original'!B1273="","",IF(TRIM('DDF Original'!I1273)="",0,'DDF Original'!I1273))</f>
        <v/>
      </c>
      <c r="F1273" s="20" t="str">
        <f t="shared" si="134"/>
        <v/>
      </c>
      <c r="G1273" s="37" t="str">
        <f>IF('DDF Original'!B1273="","",IF(TRIM('DDF Original'!P1273)="",0,'DDF Original'!P1273))</f>
        <v/>
      </c>
      <c r="H1273" s="20" t="str">
        <f t="shared" si="135"/>
        <v/>
      </c>
      <c r="I1273" s="25" t="str">
        <f t="shared" si="136"/>
        <v/>
      </c>
      <c r="J1273" s="20" t="str">
        <f t="shared" si="137"/>
        <v/>
      </c>
      <c r="K1273" s="20" t="str">
        <f t="shared" si="138"/>
        <v/>
      </c>
      <c r="L1273" s="20" t="str">
        <f>IF(B1273="","",70*'DDF Original'!$Q$4)</f>
        <v/>
      </c>
      <c r="M1273" s="20" t="str">
        <f t="shared" si="139"/>
        <v/>
      </c>
      <c r="N1273" s="20" t="str">
        <f>IF(AND(OR(B1273="",J1273&gt;G1273,M1273&gt;G1273),'DDF Original'!L1273&lt;&gt; "MI"),G1273,IF(M1273&gt;J1273,M1273,J1273))</f>
        <v/>
      </c>
    </row>
    <row r="1274" spans="2:14" x14ac:dyDescent="0.2">
      <c r="B1274" s="19" t="str">
        <f>IF('DDF Original'!B1274="","",'DDF Original'!B1274)</f>
        <v/>
      </c>
      <c r="C1274" s="19" t="e">
        <f t="shared" si="133"/>
        <v>#VALUE!</v>
      </c>
      <c r="D1274" s="20" t="str">
        <f>IF('DDF Original'!C1274="","",'DDF Original'!C1274)</f>
        <v/>
      </c>
      <c r="E1274" s="24" t="str">
        <f>IF('DDF Original'!B1274="","",IF(TRIM('DDF Original'!I1274)="",0,'DDF Original'!I1274))</f>
        <v/>
      </c>
      <c r="F1274" s="20" t="str">
        <f t="shared" si="134"/>
        <v/>
      </c>
      <c r="G1274" s="37" t="str">
        <f>IF('DDF Original'!B1274="","",IF(TRIM('DDF Original'!P1274)="",0,'DDF Original'!P1274))</f>
        <v/>
      </c>
      <c r="H1274" s="20" t="str">
        <f t="shared" si="135"/>
        <v/>
      </c>
      <c r="I1274" s="25" t="str">
        <f t="shared" si="136"/>
        <v/>
      </c>
      <c r="J1274" s="20" t="str">
        <f t="shared" si="137"/>
        <v/>
      </c>
      <c r="K1274" s="20" t="str">
        <f t="shared" si="138"/>
        <v/>
      </c>
      <c r="L1274" s="20" t="str">
        <f>IF(B1274="","",70*'DDF Original'!$Q$4)</f>
        <v/>
      </c>
      <c r="M1274" s="20" t="str">
        <f t="shared" si="139"/>
        <v/>
      </c>
      <c r="N1274" s="20" t="str">
        <f>IF(AND(OR(B1274="",J1274&gt;G1274,M1274&gt;G1274),'DDF Original'!L1274&lt;&gt; "MI"),G1274,IF(M1274&gt;J1274,M1274,J1274))</f>
        <v/>
      </c>
    </row>
    <row r="1275" spans="2:14" x14ac:dyDescent="0.2">
      <c r="B1275" s="19" t="str">
        <f>IF('DDF Original'!B1275="","",'DDF Original'!B1275)</f>
        <v/>
      </c>
      <c r="C1275" s="19" t="e">
        <f t="shared" si="133"/>
        <v>#VALUE!</v>
      </c>
      <c r="D1275" s="20" t="str">
        <f>IF('DDF Original'!C1275="","",'DDF Original'!C1275)</f>
        <v/>
      </c>
      <c r="E1275" s="24" t="str">
        <f>IF('DDF Original'!B1275="","",IF(TRIM('DDF Original'!I1275)="",0,'DDF Original'!I1275))</f>
        <v/>
      </c>
      <c r="F1275" s="20" t="str">
        <f t="shared" si="134"/>
        <v/>
      </c>
      <c r="G1275" s="37" t="str">
        <f>IF('DDF Original'!B1275="","",IF(TRIM('DDF Original'!P1275)="",0,'DDF Original'!P1275))</f>
        <v/>
      </c>
      <c r="H1275" s="20" t="str">
        <f t="shared" si="135"/>
        <v/>
      </c>
      <c r="I1275" s="25" t="str">
        <f t="shared" si="136"/>
        <v/>
      </c>
      <c r="J1275" s="20" t="str">
        <f t="shared" si="137"/>
        <v/>
      </c>
      <c r="K1275" s="20" t="str">
        <f t="shared" si="138"/>
        <v/>
      </c>
      <c r="L1275" s="20" t="str">
        <f>IF(B1275="","",70*'DDF Original'!$Q$4)</f>
        <v/>
      </c>
      <c r="M1275" s="20" t="str">
        <f t="shared" si="139"/>
        <v/>
      </c>
      <c r="N1275" s="20" t="str">
        <f>IF(AND(OR(B1275="",J1275&gt;G1275,M1275&gt;G1275),'DDF Original'!L1275&lt;&gt; "MI"),G1275,IF(M1275&gt;J1275,M1275,J1275))</f>
        <v/>
      </c>
    </row>
    <row r="1276" spans="2:14" x14ac:dyDescent="0.2">
      <c r="B1276" s="19" t="str">
        <f>IF('DDF Original'!B1276="","",'DDF Original'!B1276)</f>
        <v/>
      </c>
      <c r="C1276" s="19" t="e">
        <f t="shared" si="133"/>
        <v>#VALUE!</v>
      </c>
      <c r="D1276" s="20" t="str">
        <f>IF('DDF Original'!C1276="","",'DDF Original'!C1276)</f>
        <v/>
      </c>
      <c r="E1276" s="24" t="str">
        <f>IF('DDF Original'!B1276="","",IF(TRIM('DDF Original'!I1276)="",0,'DDF Original'!I1276))</f>
        <v/>
      </c>
      <c r="F1276" s="20" t="str">
        <f t="shared" si="134"/>
        <v/>
      </c>
      <c r="G1276" s="37" t="str">
        <f>IF('DDF Original'!B1276="","",IF(TRIM('DDF Original'!P1276)="",0,'DDF Original'!P1276))</f>
        <v/>
      </c>
      <c r="H1276" s="20" t="str">
        <f t="shared" si="135"/>
        <v/>
      </c>
      <c r="I1276" s="25" t="str">
        <f t="shared" si="136"/>
        <v/>
      </c>
      <c r="J1276" s="20" t="str">
        <f t="shared" si="137"/>
        <v/>
      </c>
      <c r="K1276" s="20" t="str">
        <f t="shared" si="138"/>
        <v/>
      </c>
      <c r="L1276" s="20" t="str">
        <f>IF(B1276="","",70*'DDF Original'!$Q$4)</f>
        <v/>
      </c>
      <c r="M1276" s="20" t="str">
        <f t="shared" si="139"/>
        <v/>
      </c>
      <c r="N1276" s="20" t="str">
        <f>IF(AND(OR(B1276="",J1276&gt;G1276,M1276&gt;G1276),'DDF Original'!L1276&lt;&gt; "MI"),G1276,IF(M1276&gt;J1276,M1276,J1276))</f>
        <v/>
      </c>
    </row>
    <row r="1277" spans="2:14" x14ac:dyDescent="0.2">
      <c r="B1277" s="19" t="str">
        <f>IF('DDF Original'!B1277="","",'DDF Original'!B1277)</f>
        <v/>
      </c>
      <c r="C1277" s="19" t="e">
        <f t="shared" ref="C1277:C1340" si="140">LEFT(B1277,FIND(".",B1277)-1)</f>
        <v>#VALUE!</v>
      </c>
      <c r="D1277" s="20" t="str">
        <f>IF('DDF Original'!C1277="","",'DDF Original'!C1277)</f>
        <v/>
      </c>
      <c r="E1277" s="24" t="str">
        <f>IF('DDF Original'!B1277="","",IF(TRIM('DDF Original'!I1277)="",0,'DDF Original'!I1277))</f>
        <v/>
      </c>
      <c r="F1277" s="20" t="str">
        <f t="shared" ref="F1277:F1340" si="141">IF(D1277="",D1277,ROUND(D1277*(1+E1277/100),2))</f>
        <v/>
      </c>
      <c r="G1277" s="37" t="str">
        <f>IF('DDF Original'!B1277="","",IF(TRIM('DDF Original'!P1277)="",0,'DDF Original'!P1277))</f>
        <v/>
      </c>
      <c r="H1277" s="20" t="str">
        <f t="shared" ref="H1277:H1340" si="142">IF(OR(D1277=0,D1277=""),G1277,F1277)</f>
        <v/>
      </c>
      <c r="I1277" s="25" t="str">
        <f t="shared" ref="I1277:I1340" si="143">IF(B1277="","",IF(OR(D1277=0,D1277=""),50,35))</f>
        <v/>
      </c>
      <c r="J1277" s="20" t="str">
        <f t="shared" ref="J1277:J1340" si="144">IF(B1277="","",ROUND(H1277*I1277/100,2))</f>
        <v/>
      </c>
      <c r="K1277" s="20" t="str">
        <f t="shared" ref="K1277:K1340" si="145">IF(B1277="","",SUMIFS($J$9:$J$508,$C$9:$C$508,"="&amp;C1277))</f>
        <v/>
      </c>
      <c r="L1277" s="20" t="str">
        <f>IF(B1277="","",70*'DDF Original'!$Q$4)</f>
        <v/>
      </c>
      <c r="M1277" s="20" t="str">
        <f t="shared" ref="M1277:M1340" si="146">IF(B1277="","",ROUND(J1277/K1277*L1277,2))</f>
        <v/>
      </c>
      <c r="N1277" s="20" t="str">
        <f>IF(AND(OR(B1277="",J1277&gt;G1277,M1277&gt;G1277),'DDF Original'!L1277&lt;&gt; "MI"),G1277,IF(M1277&gt;J1277,M1277,J1277))</f>
        <v/>
      </c>
    </row>
    <row r="1278" spans="2:14" x14ac:dyDescent="0.2">
      <c r="B1278" s="19" t="str">
        <f>IF('DDF Original'!B1278="","",'DDF Original'!B1278)</f>
        <v/>
      </c>
      <c r="C1278" s="19" t="e">
        <f t="shared" si="140"/>
        <v>#VALUE!</v>
      </c>
      <c r="D1278" s="20" t="str">
        <f>IF('DDF Original'!C1278="","",'DDF Original'!C1278)</f>
        <v/>
      </c>
      <c r="E1278" s="24" t="str">
        <f>IF('DDF Original'!B1278="","",IF(TRIM('DDF Original'!I1278)="",0,'DDF Original'!I1278))</f>
        <v/>
      </c>
      <c r="F1278" s="20" t="str">
        <f t="shared" si="141"/>
        <v/>
      </c>
      <c r="G1278" s="37" t="str">
        <f>IF('DDF Original'!B1278="","",IF(TRIM('DDF Original'!P1278)="",0,'DDF Original'!P1278))</f>
        <v/>
      </c>
      <c r="H1278" s="20" t="str">
        <f t="shared" si="142"/>
        <v/>
      </c>
      <c r="I1278" s="25" t="str">
        <f t="shared" si="143"/>
        <v/>
      </c>
      <c r="J1278" s="20" t="str">
        <f t="shared" si="144"/>
        <v/>
      </c>
      <c r="K1278" s="20" t="str">
        <f t="shared" si="145"/>
        <v/>
      </c>
      <c r="L1278" s="20" t="str">
        <f>IF(B1278="","",70*'DDF Original'!$Q$4)</f>
        <v/>
      </c>
      <c r="M1278" s="20" t="str">
        <f t="shared" si="146"/>
        <v/>
      </c>
      <c r="N1278" s="20" t="str">
        <f>IF(AND(OR(B1278="",J1278&gt;G1278,M1278&gt;G1278),'DDF Original'!L1278&lt;&gt; "MI"),G1278,IF(M1278&gt;J1278,M1278,J1278))</f>
        <v/>
      </c>
    </row>
    <row r="1279" spans="2:14" x14ac:dyDescent="0.2">
      <c r="B1279" s="19" t="str">
        <f>IF('DDF Original'!B1279="","",'DDF Original'!B1279)</f>
        <v/>
      </c>
      <c r="C1279" s="19" t="e">
        <f t="shared" si="140"/>
        <v>#VALUE!</v>
      </c>
      <c r="D1279" s="20" t="str">
        <f>IF('DDF Original'!C1279="","",'DDF Original'!C1279)</f>
        <v/>
      </c>
      <c r="E1279" s="24" t="str">
        <f>IF('DDF Original'!B1279="","",IF(TRIM('DDF Original'!I1279)="",0,'DDF Original'!I1279))</f>
        <v/>
      </c>
      <c r="F1279" s="20" t="str">
        <f t="shared" si="141"/>
        <v/>
      </c>
      <c r="G1279" s="37" t="str">
        <f>IF('DDF Original'!B1279="","",IF(TRIM('DDF Original'!P1279)="",0,'DDF Original'!P1279))</f>
        <v/>
      </c>
      <c r="H1279" s="20" t="str">
        <f t="shared" si="142"/>
        <v/>
      </c>
      <c r="I1279" s="25" t="str">
        <f t="shared" si="143"/>
        <v/>
      </c>
      <c r="J1279" s="20" t="str">
        <f t="shared" si="144"/>
        <v/>
      </c>
      <c r="K1279" s="20" t="str">
        <f t="shared" si="145"/>
        <v/>
      </c>
      <c r="L1279" s="20" t="str">
        <f>IF(B1279="","",70*'DDF Original'!$Q$4)</f>
        <v/>
      </c>
      <c r="M1279" s="20" t="str">
        <f t="shared" si="146"/>
        <v/>
      </c>
      <c r="N1279" s="20" t="str">
        <f>IF(AND(OR(B1279="",J1279&gt;G1279,M1279&gt;G1279),'DDF Original'!L1279&lt;&gt; "MI"),G1279,IF(M1279&gt;J1279,M1279,J1279))</f>
        <v/>
      </c>
    </row>
    <row r="1280" spans="2:14" x14ac:dyDescent="0.2">
      <c r="B1280" s="19" t="str">
        <f>IF('DDF Original'!B1280="","",'DDF Original'!B1280)</f>
        <v/>
      </c>
      <c r="C1280" s="19" t="e">
        <f t="shared" si="140"/>
        <v>#VALUE!</v>
      </c>
      <c r="D1280" s="20" t="str">
        <f>IF('DDF Original'!C1280="","",'DDF Original'!C1280)</f>
        <v/>
      </c>
      <c r="E1280" s="24" t="str">
        <f>IF('DDF Original'!B1280="","",IF(TRIM('DDF Original'!I1280)="",0,'DDF Original'!I1280))</f>
        <v/>
      </c>
      <c r="F1280" s="20" t="str">
        <f t="shared" si="141"/>
        <v/>
      </c>
      <c r="G1280" s="37" t="str">
        <f>IF('DDF Original'!B1280="","",IF(TRIM('DDF Original'!P1280)="",0,'DDF Original'!P1280))</f>
        <v/>
      </c>
      <c r="H1280" s="20" t="str">
        <f t="shared" si="142"/>
        <v/>
      </c>
      <c r="I1280" s="25" t="str">
        <f t="shared" si="143"/>
        <v/>
      </c>
      <c r="J1280" s="20" t="str">
        <f t="shared" si="144"/>
        <v/>
      </c>
      <c r="K1280" s="20" t="str">
        <f t="shared" si="145"/>
        <v/>
      </c>
      <c r="L1280" s="20" t="str">
        <f>IF(B1280="","",70*'DDF Original'!$Q$4)</f>
        <v/>
      </c>
      <c r="M1280" s="20" t="str">
        <f t="shared" si="146"/>
        <v/>
      </c>
      <c r="N1280" s="20" t="str">
        <f>IF(AND(OR(B1280="",J1280&gt;G1280,M1280&gt;G1280),'DDF Original'!L1280&lt;&gt; "MI"),G1280,IF(M1280&gt;J1280,M1280,J1280))</f>
        <v/>
      </c>
    </row>
    <row r="1281" spans="2:14" x14ac:dyDescent="0.2">
      <c r="B1281" s="19" t="str">
        <f>IF('DDF Original'!B1281="","",'DDF Original'!B1281)</f>
        <v/>
      </c>
      <c r="C1281" s="19" t="e">
        <f t="shared" si="140"/>
        <v>#VALUE!</v>
      </c>
      <c r="D1281" s="20" t="str">
        <f>IF('DDF Original'!C1281="","",'DDF Original'!C1281)</f>
        <v/>
      </c>
      <c r="E1281" s="24" t="str">
        <f>IF('DDF Original'!B1281="","",IF(TRIM('DDF Original'!I1281)="",0,'DDF Original'!I1281))</f>
        <v/>
      </c>
      <c r="F1281" s="20" t="str">
        <f t="shared" si="141"/>
        <v/>
      </c>
      <c r="G1281" s="37" t="str">
        <f>IF('DDF Original'!B1281="","",IF(TRIM('DDF Original'!P1281)="",0,'DDF Original'!P1281))</f>
        <v/>
      </c>
      <c r="H1281" s="20" t="str">
        <f t="shared" si="142"/>
        <v/>
      </c>
      <c r="I1281" s="25" t="str">
        <f t="shared" si="143"/>
        <v/>
      </c>
      <c r="J1281" s="20" t="str">
        <f t="shared" si="144"/>
        <v/>
      </c>
      <c r="K1281" s="20" t="str">
        <f t="shared" si="145"/>
        <v/>
      </c>
      <c r="L1281" s="20" t="str">
        <f>IF(B1281="","",70*'DDF Original'!$Q$4)</f>
        <v/>
      </c>
      <c r="M1281" s="20" t="str">
        <f t="shared" si="146"/>
        <v/>
      </c>
      <c r="N1281" s="20" t="str">
        <f>IF(AND(OR(B1281="",J1281&gt;G1281,M1281&gt;G1281),'DDF Original'!L1281&lt;&gt; "MI"),G1281,IF(M1281&gt;J1281,M1281,J1281))</f>
        <v/>
      </c>
    </row>
    <row r="1282" spans="2:14" x14ac:dyDescent="0.2">
      <c r="B1282" s="19" t="str">
        <f>IF('DDF Original'!B1282="","",'DDF Original'!B1282)</f>
        <v/>
      </c>
      <c r="C1282" s="19" t="e">
        <f t="shared" si="140"/>
        <v>#VALUE!</v>
      </c>
      <c r="D1282" s="20" t="str">
        <f>IF('DDF Original'!C1282="","",'DDF Original'!C1282)</f>
        <v/>
      </c>
      <c r="E1282" s="24" t="str">
        <f>IF('DDF Original'!B1282="","",IF(TRIM('DDF Original'!I1282)="",0,'DDF Original'!I1282))</f>
        <v/>
      </c>
      <c r="F1282" s="20" t="str">
        <f t="shared" si="141"/>
        <v/>
      </c>
      <c r="G1282" s="37" t="str">
        <f>IF('DDF Original'!B1282="","",IF(TRIM('DDF Original'!P1282)="",0,'DDF Original'!P1282))</f>
        <v/>
      </c>
      <c r="H1282" s="20" t="str">
        <f t="shared" si="142"/>
        <v/>
      </c>
      <c r="I1282" s="25" t="str">
        <f t="shared" si="143"/>
        <v/>
      </c>
      <c r="J1282" s="20" t="str">
        <f t="shared" si="144"/>
        <v/>
      </c>
      <c r="K1282" s="20" t="str">
        <f t="shared" si="145"/>
        <v/>
      </c>
      <c r="L1282" s="20" t="str">
        <f>IF(B1282="","",70*'DDF Original'!$Q$4)</f>
        <v/>
      </c>
      <c r="M1282" s="20" t="str">
        <f t="shared" si="146"/>
        <v/>
      </c>
      <c r="N1282" s="20" t="str">
        <f>IF(AND(OR(B1282="",J1282&gt;G1282,M1282&gt;G1282),'DDF Original'!L1282&lt;&gt; "MI"),G1282,IF(M1282&gt;J1282,M1282,J1282))</f>
        <v/>
      </c>
    </row>
    <row r="1283" spans="2:14" x14ac:dyDescent="0.2">
      <c r="B1283" s="19" t="str">
        <f>IF('DDF Original'!B1283="","",'DDF Original'!B1283)</f>
        <v/>
      </c>
      <c r="C1283" s="19" t="e">
        <f t="shared" si="140"/>
        <v>#VALUE!</v>
      </c>
      <c r="D1283" s="20" t="str">
        <f>IF('DDF Original'!C1283="","",'DDF Original'!C1283)</f>
        <v/>
      </c>
      <c r="E1283" s="24" t="str">
        <f>IF('DDF Original'!B1283="","",IF(TRIM('DDF Original'!I1283)="",0,'DDF Original'!I1283))</f>
        <v/>
      </c>
      <c r="F1283" s="20" t="str">
        <f t="shared" si="141"/>
        <v/>
      </c>
      <c r="G1283" s="37" t="str">
        <f>IF('DDF Original'!B1283="","",IF(TRIM('DDF Original'!P1283)="",0,'DDF Original'!P1283))</f>
        <v/>
      </c>
      <c r="H1283" s="20" t="str">
        <f t="shared" si="142"/>
        <v/>
      </c>
      <c r="I1283" s="25" t="str">
        <f t="shared" si="143"/>
        <v/>
      </c>
      <c r="J1283" s="20" t="str">
        <f t="shared" si="144"/>
        <v/>
      </c>
      <c r="K1283" s="20" t="str">
        <f t="shared" si="145"/>
        <v/>
      </c>
      <c r="L1283" s="20" t="str">
        <f>IF(B1283="","",70*'DDF Original'!$Q$4)</f>
        <v/>
      </c>
      <c r="M1283" s="20" t="str">
        <f t="shared" si="146"/>
        <v/>
      </c>
      <c r="N1283" s="20" t="str">
        <f>IF(AND(OR(B1283="",J1283&gt;G1283,M1283&gt;G1283),'DDF Original'!L1283&lt;&gt; "MI"),G1283,IF(M1283&gt;J1283,M1283,J1283))</f>
        <v/>
      </c>
    </row>
    <row r="1284" spans="2:14" x14ac:dyDescent="0.2">
      <c r="B1284" s="19" t="str">
        <f>IF('DDF Original'!B1284="","",'DDF Original'!B1284)</f>
        <v/>
      </c>
      <c r="C1284" s="19" t="e">
        <f t="shared" si="140"/>
        <v>#VALUE!</v>
      </c>
      <c r="D1284" s="20" t="str">
        <f>IF('DDF Original'!C1284="","",'DDF Original'!C1284)</f>
        <v/>
      </c>
      <c r="E1284" s="24" t="str">
        <f>IF('DDF Original'!B1284="","",IF(TRIM('DDF Original'!I1284)="",0,'DDF Original'!I1284))</f>
        <v/>
      </c>
      <c r="F1284" s="20" t="str">
        <f t="shared" si="141"/>
        <v/>
      </c>
      <c r="G1284" s="37" t="str">
        <f>IF('DDF Original'!B1284="","",IF(TRIM('DDF Original'!P1284)="",0,'DDF Original'!P1284))</f>
        <v/>
      </c>
      <c r="H1284" s="20" t="str">
        <f t="shared" si="142"/>
        <v/>
      </c>
      <c r="I1284" s="25" t="str">
        <f t="shared" si="143"/>
        <v/>
      </c>
      <c r="J1284" s="20" t="str">
        <f t="shared" si="144"/>
        <v/>
      </c>
      <c r="K1284" s="20" t="str">
        <f t="shared" si="145"/>
        <v/>
      </c>
      <c r="L1284" s="20" t="str">
        <f>IF(B1284="","",70*'DDF Original'!$Q$4)</f>
        <v/>
      </c>
      <c r="M1284" s="20" t="str">
        <f t="shared" si="146"/>
        <v/>
      </c>
      <c r="N1284" s="20" t="str">
        <f>IF(AND(OR(B1284="",J1284&gt;G1284,M1284&gt;G1284),'DDF Original'!L1284&lt;&gt; "MI"),G1284,IF(M1284&gt;J1284,M1284,J1284))</f>
        <v/>
      </c>
    </row>
    <row r="1285" spans="2:14" x14ac:dyDescent="0.2">
      <c r="B1285" s="19" t="str">
        <f>IF('DDF Original'!B1285="","",'DDF Original'!B1285)</f>
        <v/>
      </c>
      <c r="C1285" s="19" t="e">
        <f t="shared" si="140"/>
        <v>#VALUE!</v>
      </c>
      <c r="D1285" s="20" t="str">
        <f>IF('DDF Original'!C1285="","",'DDF Original'!C1285)</f>
        <v/>
      </c>
      <c r="E1285" s="24" t="str">
        <f>IF('DDF Original'!B1285="","",IF(TRIM('DDF Original'!I1285)="",0,'DDF Original'!I1285))</f>
        <v/>
      </c>
      <c r="F1285" s="20" t="str">
        <f t="shared" si="141"/>
        <v/>
      </c>
      <c r="G1285" s="37" t="str">
        <f>IF('DDF Original'!B1285="","",IF(TRIM('DDF Original'!P1285)="",0,'DDF Original'!P1285))</f>
        <v/>
      </c>
      <c r="H1285" s="20" t="str">
        <f t="shared" si="142"/>
        <v/>
      </c>
      <c r="I1285" s="25" t="str">
        <f t="shared" si="143"/>
        <v/>
      </c>
      <c r="J1285" s="20" t="str">
        <f t="shared" si="144"/>
        <v/>
      </c>
      <c r="K1285" s="20" t="str">
        <f t="shared" si="145"/>
        <v/>
      </c>
      <c r="L1285" s="20" t="str">
        <f>IF(B1285="","",70*'DDF Original'!$Q$4)</f>
        <v/>
      </c>
      <c r="M1285" s="20" t="str">
        <f t="shared" si="146"/>
        <v/>
      </c>
      <c r="N1285" s="20" t="str">
        <f>IF(AND(OR(B1285="",J1285&gt;G1285,M1285&gt;G1285),'DDF Original'!L1285&lt;&gt; "MI"),G1285,IF(M1285&gt;J1285,M1285,J1285))</f>
        <v/>
      </c>
    </row>
    <row r="1286" spans="2:14" x14ac:dyDescent="0.2">
      <c r="B1286" s="19" t="str">
        <f>IF('DDF Original'!B1286="","",'DDF Original'!B1286)</f>
        <v/>
      </c>
      <c r="C1286" s="19" t="e">
        <f t="shared" si="140"/>
        <v>#VALUE!</v>
      </c>
      <c r="D1286" s="20" t="str">
        <f>IF('DDF Original'!C1286="","",'DDF Original'!C1286)</f>
        <v/>
      </c>
      <c r="E1286" s="24" t="str">
        <f>IF('DDF Original'!B1286="","",IF(TRIM('DDF Original'!I1286)="",0,'DDF Original'!I1286))</f>
        <v/>
      </c>
      <c r="F1286" s="20" t="str">
        <f t="shared" si="141"/>
        <v/>
      </c>
      <c r="G1286" s="37" t="str">
        <f>IF('DDF Original'!B1286="","",IF(TRIM('DDF Original'!P1286)="",0,'DDF Original'!P1286))</f>
        <v/>
      </c>
      <c r="H1286" s="20" t="str">
        <f t="shared" si="142"/>
        <v/>
      </c>
      <c r="I1286" s="25" t="str">
        <f t="shared" si="143"/>
        <v/>
      </c>
      <c r="J1286" s="20" t="str">
        <f t="shared" si="144"/>
        <v/>
      </c>
      <c r="K1286" s="20" t="str">
        <f t="shared" si="145"/>
        <v/>
      </c>
      <c r="L1286" s="20" t="str">
        <f>IF(B1286="","",70*'DDF Original'!$Q$4)</f>
        <v/>
      </c>
      <c r="M1286" s="20" t="str">
        <f t="shared" si="146"/>
        <v/>
      </c>
      <c r="N1286" s="20" t="str">
        <f>IF(AND(OR(B1286="",J1286&gt;G1286,M1286&gt;G1286),'DDF Original'!L1286&lt;&gt; "MI"),G1286,IF(M1286&gt;J1286,M1286,J1286))</f>
        <v/>
      </c>
    </row>
    <row r="1287" spans="2:14" x14ac:dyDescent="0.2">
      <c r="B1287" s="19" t="str">
        <f>IF('DDF Original'!B1287="","",'DDF Original'!B1287)</f>
        <v/>
      </c>
      <c r="C1287" s="19" t="e">
        <f t="shared" si="140"/>
        <v>#VALUE!</v>
      </c>
      <c r="D1287" s="20" t="str">
        <f>IF('DDF Original'!C1287="","",'DDF Original'!C1287)</f>
        <v/>
      </c>
      <c r="E1287" s="24" t="str">
        <f>IF('DDF Original'!B1287="","",IF(TRIM('DDF Original'!I1287)="",0,'DDF Original'!I1287))</f>
        <v/>
      </c>
      <c r="F1287" s="20" t="str">
        <f t="shared" si="141"/>
        <v/>
      </c>
      <c r="G1287" s="37" t="str">
        <f>IF('DDF Original'!B1287="","",IF(TRIM('DDF Original'!P1287)="",0,'DDF Original'!P1287))</f>
        <v/>
      </c>
      <c r="H1287" s="20" t="str">
        <f t="shared" si="142"/>
        <v/>
      </c>
      <c r="I1287" s="25" t="str">
        <f t="shared" si="143"/>
        <v/>
      </c>
      <c r="J1287" s="20" t="str">
        <f t="shared" si="144"/>
        <v/>
      </c>
      <c r="K1287" s="20" t="str">
        <f t="shared" si="145"/>
        <v/>
      </c>
      <c r="L1287" s="20" t="str">
        <f>IF(B1287="","",70*'DDF Original'!$Q$4)</f>
        <v/>
      </c>
      <c r="M1287" s="20" t="str">
        <f t="shared" si="146"/>
        <v/>
      </c>
      <c r="N1287" s="20" t="str">
        <f>IF(AND(OR(B1287="",J1287&gt;G1287,M1287&gt;G1287),'DDF Original'!L1287&lt;&gt; "MI"),G1287,IF(M1287&gt;J1287,M1287,J1287))</f>
        <v/>
      </c>
    </row>
    <row r="1288" spans="2:14" x14ac:dyDescent="0.2">
      <c r="B1288" s="19" t="str">
        <f>IF('DDF Original'!B1288="","",'DDF Original'!B1288)</f>
        <v/>
      </c>
      <c r="C1288" s="19" t="e">
        <f t="shared" si="140"/>
        <v>#VALUE!</v>
      </c>
      <c r="D1288" s="20" t="str">
        <f>IF('DDF Original'!C1288="","",'DDF Original'!C1288)</f>
        <v/>
      </c>
      <c r="E1288" s="24" t="str">
        <f>IF('DDF Original'!B1288="","",IF(TRIM('DDF Original'!I1288)="",0,'DDF Original'!I1288))</f>
        <v/>
      </c>
      <c r="F1288" s="20" t="str">
        <f t="shared" si="141"/>
        <v/>
      </c>
      <c r="G1288" s="37" t="str">
        <f>IF('DDF Original'!B1288="","",IF(TRIM('DDF Original'!P1288)="",0,'DDF Original'!P1288))</f>
        <v/>
      </c>
      <c r="H1288" s="20" t="str">
        <f t="shared" si="142"/>
        <v/>
      </c>
      <c r="I1288" s="25" t="str">
        <f t="shared" si="143"/>
        <v/>
      </c>
      <c r="J1288" s="20" t="str">
        <f t="shared" si="144"/>
        <v/>
      </c>
      <c r="K1288" s="20" t="str">
        <f t="shared" si="145"/>
        <v/>
      </c>
      <c r="L1288" s="20" t="str">
        <f>IF(B1288="","",70*'DDF Original'!$Q$4)</f>
        <v/>
      </c>
      <c r="M1288" s="20" t="str">
        <f t="shared" si="146"/>
        <v/>
      </c>
      <c r="N1288" s="20" t="str">
        <f>IF(AND(OR(B1288="",J1288&gt;G1288,M1288&gt;G1288),'DDF Original'!L1288&lt;&gt; "MI"),G1288,IF(M1288&gt;J1288,M1288,J1288))</f>
        <v/>
      </c>
    </row>
    <row r="1289" spans="2:14" x14ac:dyDescent="0.2">
      <c r="B1289" s="19" t="str">
        <f>IF('DDF Original'!B1289="","",'DDF Original'!B1289)</f>
        <v/>
      </c>
      <c r="C1289" s="19" t="e">
        <f t="shared" si="140"/>
        <v>#VALUE!</v>
      </c>
      <c r="D1289" s="20" t="str">
        <f>IF('DDF Original'!C1289="","",'DDF Original'!C1289)</f>
        <v/>
      </c>
      <c r="E1289" s="24" t="str">
        <f>IF('DDF Original'!B1289="","",IF(TRIM('DDF Original'!I1289)="",0,'DDF Original'!I1289))</f>
        <v/>
      </c>
      <c r="F1289" s="20" t="str">
        <f t="shared" si="141"/>
        <v/>
      </c>
      <c r="G1289" s="37" t="str">
        <f>IF('DDF Original'!B1289="","",IF(TRIM('DDF Original'!P1289)="",0,'DDF Original'!P1289))</f>
        <v/>
      </c>
      <c r="H1289" s="20" t="str">
        <f t="shared" si="142"/>
        <v/>
      </c>
      <c r="I1289" s="25" t="str">
        <f t="shared" si="143"/>
        <v/>
      </c>
      <c r="J1289" s="20" t="str">
        <f t="shared" si="144"/>
        <v/>
      </c>
      <c r="K1289" s="20" t="str">
        <f t="shared" si="145"/>
        <v/>
      </c>
      <c r="L1289" s="20" t="str">
        <f>IF(B1289="","",70*'DDF Original'!$Q$4)</f>
        <v/>
      </c>
      <c r="M1289" s="20" t="str">
        <f t="shared" si="146"/>
        <v/>
      </c>
      <c r="N1289" s="20" t="str">
        <f>IF(AND(OR(B1289="",J1289&gt;G1289,M1289&gt;G1289),'DDF Original'!L1289&lt;&gt; "MI"),G1289,IF(M1289&gt;J1289,M1289,J1289))</f>
        <v/>
      </c>
    </row>
    <row r="1290" spans="2:14" x14ac:dyDescent="0.2">
      <c r="B1290" s="19" t="str">
        <f>IF('DDF Original'!B1290="","",'DDF Original'!B1290)</f>
        <v/>
      </c>
      <c r="C1290" s="19" t="e">
        <f t="shared" si="140"/>
        <v>#VALUE!</v>
      </c>
      <c r="D1290" s="20" t="str">
        <f>IF('DDF Original'!C1290="","",'DDF Original'!C1290)</f>
        <v/>
      </c>
      <c r="E1290" s="24" t="str">
        <f>IF('DDF Original'!B1290="","",IF(TRIM('DDF Original'!I1290)="",0,'DDF Original'!I1290))</f>
        <v/>
      </c>
      <c r="F1290" s="20" t="str">
        <f t="shared" si="141"/>
        <v/>
      </c>
      <c r="G1290" s="37" t="str">
        <f>IF('DDF Original'!B1290="","",IF(TRIM('DDF Original'!P1290)="",0,'DDF Original'!P1290))</f>
        <v/>
      </c>
      <c r="H1290" s="20" t="str">
        <f t="shared" si="142"/>
        <v/>
      </c>
      <c r="I1290" s="25" t="str">
        <f t="shared" si="143"/>
        <v/>
      </c>
      <c r="J1290" s="20" t="str">
        <f t="shared" si="144"/>
        <v/>
      </c>
      <c r="K1290" s="20" t="str">
        <f t="shared" si="145"/>
        <v/>
      </c>
      <c r="L1290" s="20" t="str">
        <f>IF(B1290="","",70*'DDF Original'!$Q$4)</f>
        <v/>
      </c>
      <c r="M1290" s="20" t="str">
        <f t="shared" si="146"/>
        <v/>
      </c>
      <c r="N1290" s="20" t="str">
        <f>IF(AND(OR(B1290="",J1290&gt;G1290,M1290&gt;G1290),'DDF Original'!L1290&lt;&gt; "MI"),G1290,IF(M1290&gt;J1290,M1290,J1290))</f>
        <v/>
      </c>
    </row>
    <row r="1291" spans="2:14" x14ac:dyDescent="0.2">
      <c r="B1291" s="19" t="str">
        <f>IF('DDF Original'!B1291="","",'DDF Original'!B1291)</f>
        <v/>
      </c>
      <c r="C1291" s="19" t="e">
        <f t="shared" si="140"/>
        <v>#VALUE!</v>
      </c>
      <c r="D1291" s="20" t="str">
        <f>IF('DDF Original'!C1291="","",'DDF Original'!C1291)</f>
        <v/>
      </c>
      <c r="E1291" s="24" t="str">
        <f>IF('DDF Original'!B1291="","",IF(TRIM('DDF Original'!I1291)="",0,'DDF Original'!I1291))</f>
        <v/>
      </c>
      <c r="F1291" s="20" t="str">
        <f t="shared" si="141"/>
        <v/>
      </c>
      <c r="G1291" s="37" t="str">
        <f>IF('DDF Original'!B1291="","",IF(TRIM('DDF Original'!P1291)="",0,'DDF Original'!P1291))</f>
        <v/>
      </c>
      <c r="H1291" s="20" t="str">
        <f t="shared" si="142"/>
        <v/>
      </c>
      <c r="I1291" s="25" t="str">
        <f t="shared" si="143"/>
        <v/>
      </c>
      <c r="J1291" s="20" t="str">
        <f t="shared" si="144"/>
        <v/>
      </c>
      <c r="K1291" s="20" t="str">
        <f t="shared" si="145"/>
        <v/>
      </c>
      <c r="L1291" s="20" t="str">
        <f>IF(B1291="","",70*'DDF Original'!$Q$4)</f>
        <v/>
      </c>
      <c r="M1291" s="20" t="str">
        <f t="shared" si="146"/>
        <v/>
      </c>
      <c r="N1291" s="20" t="str">
        <f>IF(AND(OR(B1291="",J1291&gt;G1291,M1291&gt;G1291),'DDF Original'!L1291&lt;&gt; "MI"),G1291,IF(M1291&gt;J1291,M1291,J1291))</f>
        <v/>
      </c>
    </row>
    <row r="1292" spans="2:14" x14ac:dyDescent="0.2">
      <c r="B1292" s="19" t="str">
        <f>IF('DDF Original'!B1292="","",'DDF Original'!B1292)</f>
        <v/>
      </c>
      <c r="C1292" s="19" t="e">
        <f t="shared" si="140"/>
        <v>#VALUE!</v>
      </c>
      <c r="D1292" s="20" t="str">
        <f>IF('DDF Original'!C1292="","",'DDF Original'!C1292)</f>
        <v/>
      </c>
      <c r="E1292" s="24" t="str">
        <f>IF('DDF Original'!B1292="","",IF(TRIM('DDF Original'!I1292)="",0,'DDF Original'!I1292))</f>
        <v/>
      </c>
      <c r="F1292" s="20" t="str">
        <f t="shared" si="141"/>
        <v/>
      </c>
      <c r="G1292" s="37" t="str">
        <f>IF('DDF Original'!B1292="","",IF(TRIM('DDF Original'!P1292)="",0,'DDF Original'!P1292))</f>
        <v/>
      </c>
      <c r="H1292" s="20" t="str">
        <f t="shared" si="142"/>
        <v/>
      </c>
      <c r="I1292" s="25" t="str">
        <f t="shared" si="143"/>
        <v/>
      </c>
      <c r="J1292" s="20" t="str">
        <f t="shared" si="144"/>
        <v/>
      </c>
      <c r="K1292" s="20" t="str">
        <f t="shared" si="145"/>
        <v/>
      </c>
      <c r="L1292" s="20" t="str">
        <f>IF(B1292="","",70*'DDF Original'!$Q$4)</f>
        <v/>
      </c>
      <c r="M1292" s="20" t="str">
        <f t="shared" si="146"/>
        <v/>
      </c>
      <c r="N1292" s="20" t="str">
        <f>IF(AND(OR(B1292="",J1292&gt;G1292,M1292&gt;G1292),'DDF Original'!L1292&lt;&gt; "MI"),G1292,IF(M1292&gt;J1292,M1292,J1292))</f>
        <v/>
      </c>
    </row>
    <row r="1293" spans="2:14" x14ac:dyDescent="0.2">
      <c r="B1293" s="19" t="str">
        <f>IF('DDF Original'!B1293="","",'DDF Original'!B1293)</f>
        <v/>
      </c>
      <c r="C1293" s="19" t="e">
        <f t="shared" si="140"/>
        <v>#VALUE!</v>
      </c>
      <c r="D1293" s="20" t="str">
        <f>IF('DDF Original'!C1293="","",'DDF Original'!C1293)</f>
        <v/>
      </c>
      <c r="E1293" s="24" t="str">
        <f>IF('DDF Original'!B1293="","",IF(TRIM('DDF Original'!I1293)="",0,'DDF Original'!I1293))</f>
        <v/>
      </c>
      <c r="F1293" s="20" t="str">
        <f t="shared" si="141"/>
        <v/>
      </c>
      <c r="G1293" s="37" t="str">
        <f>IF('DDF Original'!B1293="","",IF(TRIM('DDF Original'!P1293)="",0,'DDF Original'!P1293))</f>
        <v/>
      </c>
      <c r="H1293" s="20" t="str">
        <f t="shared" si="142"/>
        <v/>
      </c>
      <c r="I1293" s="25" t="str">
        <f t="shared" si="143"/>
        <v/>
      </c>
      <c r="J1293" s="20" t="str">
        <f t="shared" si="144"/>
        <v/>
      </c>
      <c r="K1293" s="20" t="str">
        <f t="shared" si="145"/>
        <v/>
      </c>
      <c r="L1293" s="20" t="str">
        <f>IF(B1293="","",70*'DDF Original'!$Q$4)</f>
        <v/>
      </c>
      <c r="M1293" s="20" t="str">
        <f t="shared" si="146"/>
        <v/>
      </c>
      <c r="N1293" s="20" t="str">
        <f>IF(AND(OR(B1293="",J1293&gt;G1293,M1293&gt;G1293),'DDF Original'!L1293&lt;&gt; "MI"),G1293,IF(M1293&gt;J1293,M1293,J1293))</f>
        <v/>
      </c>
    </row>
    <row r="1294" spans="2:14" x14ac:dyDescent="0.2">
      <c r="B1294" s="19" t="str">
        <f>IF('DDF Original'!B1294="","",'DDF Original'!B1294)</f>
        <v/>
      </c>
      <c r="C1294" s="19" t="e">
        <f t="shared" si="140"/>
        <v>#VALUE!</v>
      </c>
      <c r="D1294" s="20" t="str">
        <f>IF('DDF Original'!C1294="","",'DDF Original'!C1294)</f>
        <v/>
      </c>
      <c r="E1294" s="24" t="str">
        <f>IF('DDF Original'!B1294="","",IF(TRIM('DDF Original'!I1294)="",0,'DDF Original'!I1294))</f>
        <v/>
      </c>
      <c r="F1294" s="20" t="str">
        <f t="shared" si="141"/>
        <v/>
      </c>
      <c r="G1294" s="37" t="str">
        <f>IF('DDF Original'!B1294="","",IF(TRIM('DDF Original'!P1294)="",0,'DDF Original'!P1294))</f>
        <v/>
      </c>
      <c r="H1294" s="20" t="str">
        <f t="shared" si="142"/>
        <v/>
      </c>
      <c r="I1294" s="25" t="str">
        <f t="shared" si="143"/>
        <v/>
      </c>
      <c r="J1294" s="20" t="str">
        <f t="shared" si="144"/>
        <v/>
      </c>
      <c r="K1294" s="20" t="str">
        <f t="shared" si="145"/>
        <v/>
      </c>
      <c r="L1294" s="20" t="str">
        <f>IF(B1294="","",70*'DDF Original'!$Q$4)</f>
        <v/>
      </c>
      <c r="M1294" s="20" t="str">
        <f t="shared" si="146"/>
        <v/>
      </c>
      <c r="N1294" s="20" t="str">
        <f>IF(AND(OR(B1294="",J1294&gt;G1294,M1294&gt;G1294),'DDF Original'!L1294&lt;&gt; "MI"),G1294,IF(M1294&gt;J1294,M1294,J1294))</f>
        <v/>
      </c>
    </row>
    <row r="1295" spans="2:14" x14ac:dyDescent="0.2">
      <c r="B1295" s="19" t="str">
        <f>IF('DDF Original'!B1295="","",'DDF Original'!B1295)</f>
        <v/>
      </c>
      <c r="C1295" s="19" t="e">
        <f t="shared" si="140"/>
        <v>#VALUE!</v>
      </c>
      <c r="D1295" s="20" t="str">
        <f>IF('DDF Original'!C1295="","",'DDF Original'!C1295)</f>
        <v/>
      </c>
      <c r="E1295" s="24" t="str">
        <f>IF('DDF Original'!B1295="","",IF(TRIM('DDF Original'!I1295)="",0,'DDF Original'!I1295))</f>
        <v/>
      </c>
      <c r="F1295" s="20" t="str">
        <f t="shared" si="141"/>
        <v/>
      </c>
      <c r="G1295" s="37" t="str">
        <f>IF('DDF Original'!B1295="","",IF(TRIM('DDF Original'!P1295)="",0,'DDF Original'!P1295))</f>
        <v/>
      </c>
      <c r="H1295" s="20" t="str">
        <f t="shared" si="142"/>
        <v/>
      </c>
      <c r="I1295" s="25" t="str">
        <f t="shared" si="143"/>
        <v/>
      </c>
      <c r="J1295" s="20" t="str">
        <f t="shared" si="144"/>
        <v/>
      </c>
      <c r="K1295" s="20" t="str">
        <f t="shared" si="145"/>
        <v/>
      </c>
      <c r="L1295" s="20" t="str">
        <f>IF(B1295="","",70*'DDF Original'!$Q$4)</f>
        <v/>
      </c>
      <c r="M1295" s="20" t="str">
        <f t="shared" si="146"/>
        <v/>
      </c>
      <c r="N1295" s="20" t="str">
        <f>IF(AND(OR(B1295="",J1295&gt;G1295,M1295&gt;G1295),'DDF Original'!L1295&lt;&gt; "MI"),G1295,IF(M1295&gt;J1295,M1295,J1295))</f>
        <v/>
      </c>
    </row>
    <row r="1296" spans="2:14" x14ac:dyDescent="0.2">
      <c r="B1296" s="19" t="str">
        <f>IF('DDF Original'!B1296="","",'DDF Original'!B1296)</f>
        <v/>
      </c>
      <c r="C1296" s="19" t="e">
        <f t="shared" si="140"/>
        <v>#VALUE!</v>
      </c>
      <c r="D1296" s="20" t="str">
        <f>IF('DDF Original'!C1296="","",'DDF Original'!C1296)</f>
        <v/>
      </c>
      <c r="E1296" s="24" t="str">
        <f>IF('DDF Original'!B1296="","",IF(TRIM('DDF Original'!I1296)="",0,'DDF Original'!I1296))</f>
        <v/>
      </c>
      <c r="F1296" s="20" t="str">
        <f t="shared" si="141"/>
        <v/>
      </c>
      <c r="G1296" s="37" t="str">
        <f>IF('DDF Original'!B1296="","",IF(TRIM('DDF Original'!P1296)="",0,'DDF Original'!P1296))</f>
        <v/>
      </c>
      <c r="H1296" s="20" t="str">
        <f t="shared" si="142"/>
        <v/>
      </c>
      <c r="I1296" s="25" t="str">
        <f t="shared" si="143"/>
        <v/>
      </c>
      <c r="J1296" s="20" t="str">
        <f t="shared" si="144"/>
        <v/>
      </c>
      <c r="K1296" s="20" t="str">
        <f t="shared" si="145"/>
        <v/>
      </c>
      <c r="L1296" s="20" t="str">
        <f>IF(B1296="","",70*'DDF Original'!$Q$4)</f>
        <v/>
      </c>
      <c r="M1296" s="20" t="str">
        <f t="shared" si="146"/>
        <v/>
      </c>
      <c r="N1296" s="20" t="str">
        <f>IF(AND(OR(B1296="",J1296&gt;G1296,M1296&gt;G1296),'DDF Original'!L1296&lt;&gt; "MI"),G1296,IF(M1296&gt;J1296,M1296,J1296))</f>
        <v/>
      </c>
    </row>
    <row r="1297" spans="2:14" x14ac:dyDescent="0.2">
      <c r="B1297" s="19" t="str">
        <f>IF('DDF Original'!B1297="","",'DDF Original'!B1297)</f>
        <v/>
      </c>
      <c r="C1297" s="19" t="e">
        <f t="shared" si="140"/>
        <v>#VALUE!</v>
      </c>
      <c r="D1297" s="20" t="str">
        <f>IF('DDF Original'!C1297="","",'DDF Original'!C1297)</f>
        <v/>
      </c>
      <c r="E1297" s="24" t="str">
        <f>IF('DDF Original'!B1297="","",IF(TRIM('DDF Original'!I1297)="",0,'DDF Original'!I1297))</f>
        <v/>
      </c>
      <c r="F1297" s="20" t="str">
        <f t="shared" si="141"/>
        <v/>
      </c>
      <c r="G1297" s="37" t="str">
        <f>IF('DDF Original'!B1297="","",IF(TRIM('DDF Original'!P1297)="",0,'DDF Original'!P1297))</f>
        <v/>
      </c>
      <c r="H1297" s="20" t="str">
        <f t="shared" si="142"/>
        <v/>
      </c>
      <c r="I1297" s="25" t="str">
        <f t="shared" si="143"/>
        <v/>
      </c>
      <c r="J1297" s="20" t="str">
        <f t="shared" si="144"/>
        <v/>
      </c>
      <c r="K1297" s="20" t="str">
        <f t="shared" si="145"/>
        <v/>
      </c>
      <c r="L1297" s="20" t="str">
        <f>IF(B1297="","",70*'DDF Original'!$Q$4)</f>
        <v/>
      </c>
      <c r="M1297" s="20" t="str">
        <f t="shared" si="146"/>
        <v/>
      </c>
      <c r="N1297" s="20" t="str">
        <f>IF(AND(OR(B1297="",J1297&gt;G1297,M1297&gt;G1297),'DDF Original'!L1297&lt;&gt; "MI"),G1297,IF(M1297&gt;J1297,M1297,J1297))</f>
        <v/>
      </c>
    </row>
    <row r="1298" spans="2:14" x14ac:dyDescent="0.2">
      <c r="B1298" s="19" t="str">
        <f>IF('DDF Original'!B1298="","",'DDF Original'!B1298)</f>
        <v/>
      </c>
      <c r="C1298" s="19" t="e">
        <f t="shared" si="140"/>
        <v>#VALUE!</v>
      </c>
      <c r="D1298" s="20" t="str">
        <f>IF('DDF Original'!C1298="","",'DDF Original'!C1298)</f>
        <v/>
      </c>
      <c r="E1298" s="24" t="str">
        <f>IF('DDF Original'!B1298="","",IF(TRIM('DDF Original'!I1298)="",0,'DDF Original'!I1298))</f>
        <v/>
      </c>
      <c r="F1298" s="20" t="str">
        <f t="shared" si="141"/>
        <v/>
      </c>
      <c r="G1298" s="37" t="str">
        <f>IF('DDF Original'!B1298="","",IF(TRIM('DDF Original'!P1298)="",0,'DDF Original'!P1298))</f>
        <v/>
      </c>
      <c r="H1298" s="20" t="str">
        <f t="shared" si="142"/>
        <v/>
      </c>
      <c r="I1298" s="25" t="str">
        <f t="shared" si="143"/>
        <v/>
      </c>
      <c r="J1298" s="20" t="str">
        <f t="shared" si="144"/>
        <v/>
      </c>
      <c r="K1298" s="20" t="str">
        <f t="shared" si="145"/>
        <v/>
      </c>
      <c r="L1298" s="20" t="str">
        <f>IF(B1298="","",70*'DDF Original'!$Q$4)</f>
        <v/>
      </c>
      <c r="M1298" s="20" t="str">
        <f t="shared" si="146"/>
        <v/>
      </c>
      <c r="N1298" s="20" t="str">
        <f>IF(AND(OR(B1298="",J1298&gt;G1298,M1298&gt;G1298),'DDF Original'!L1298&lt;&gt; "MI"),G1298,IF(M1298&gt;J1298,M1298,J1298))</f>
        <v/>
      </c>
    </row>
    <row r="1299" spans="2:14" x14ac:dyDescent="0.2">
      <c r="B1299" s="19" t="str">
        <f>IF('DDF Original'!B1299="","",'DDF Original'!B1299)</f>
        <v/>
      </c>
      <c r="C1299" s="19" t="e">
        <f t="shared" si="140"/>
        <v>#VALUE!</v>
      </c>
      <c r="D1299" s="20" t="str">
        <f>IF('DDF Original'!C1299="","",'DDF Original'!C1299)</f>
        <v/>
      </c>
      <c r="E1299" s="24" t="str">
        <f>IF('DDF Original'!B1299="","",IF(TRIM('DDF Original'!I1299)="",0,'DDF Original'!I1299))</f>
        <v/>
      </c>
      <c r="F1299" s="20" t="str">
        <f t="shared" si="141"/>
        <v/>
      </c>
      <c r="G1299" s="37" t="str">
        <f>IF('DDF Original'!B1299="","",IF(TRIM('DDF Original'!P1299)="",0,'DDF Original'!P1299))</f>
        <v/>
      </c>
      <c r="H1299" s="20" t="str">
        <f t="shared" si="142"/>
        <v/>
      </c>
      <c r="I1299" s="25" t="str">
        <f t="shared" si="143"/>
        <v/>
      </c>
      <c r="J1299" s="20" t="str">
        <f t="shared" si="144"/>
        <v/>
      </c>
      <c r="K1299" s="20" t="str">
        <f t="shared" si="145"/>
        <v/>
      </c>
      <c r="L1299" s="20" t="str">
        <f>IF(B1299="","",70*'DDF Original'!$Q$4)</f>
        <v/>
      </c>
      <c r="M1299" s="20" t="str">
        <f t="shared" si="146"/>
        <v/>
      </c>
      <c r="N1299" s="20" t="str">
        <f>IF(AND(OR(B1299="",J1299&gt;G1299,M1299&gt;G1299),'DDF Original'!L1299&lt;&gt; "MI"),G1299,IF(M1299&gt;J1299,M1299,J1299))</f>
        <v/>
      </c>
    </row>
    <row r="1300" spans="2:14" x14ac:dyDescent="0.2">
      <c r="B1300" s="19" t="str">
        <f>IF('DDF Original'!B1300="","",'DDF Original'!B1300)</f>
        <v/>
      </c>
      <c r="C1300" s="19" t="e">
        <f t="shared" si="140"/>
        <v>#VALUE!</v>
      </c>
      <c r="D1300" s="20" t="str">
        <f>IF('DDF Original'!C1300="","",'DDF Original'!C1300)</f>
        <v/>
      </c>
      <c r="E1300" s="24" t="str">
        <f>IF('DDF Original'!B1300="","",IF(TRIM('DDF Original'!I1300)="",0,'DDF Original'!I1300))</f>
        <v/>
      </c>
      <c r="F1300" s="20" t="str">
        <f t="shared" si="141"/>
        <v/>
      </c>
      <c r="G1300" s="37" t="str">
        <f>IF('DDF Original'!B1300="","",IF(TRIM('DDF Original'!P1300)="",0,'DDF Original'!P1300))</f>
        <v/>
      </c>
      <c r="H1300" s="20" t="str">
        <f t="shared" si="142"/>
        <v/>
      </c>
      <c r="I1300" s="25" t="str">
        <f t="shared" si="143"/>
        <v/>
      </c>
      <c r="J1300" s="20" t="str">
        <f t="shared" si="144"/>
        <v/>
      </c>
      <c r="K1300" s="20" t="str">
        <f t="shared" si="145"/>
        <v/>
      </c>
      <c r="L1300" s="20" t="str">
        <f>IF(B1300="","",70*'DDF Original'!$Q$4)</f>
        <v/>
      </c>
      <c r="M1300" s="20" t="str">
        <f t="shared" si="146"/>
        <v/>
      </c>
      <c r="N1300" s="20" t="str">
        <f>IF(AND(OR(B1300="",J1300&gt;G1300,M1300&gt;G1300),'DDF Original'!L1300&lt;&gt; "MI"),G1300,IF(M1300&gt;J1300,M1300,J1300))</f>
        <v/>
      </c>
    </row>
    <row r="1301" spans="2:14" x14ac:dyDescent="0.2">
      <c r="B1301" s="19" t="str">
        <f>IF('DDF Original'!B1301="","",'DDF Original'!B1301)</f>
        <v/>
      </c>
      <c r="C1301" s="19" t="e">
        <f t="shared" si="140"/>
        <v>#VALUE!</v>
      </c>
      <c r="D1301" s="20" t="str">
        <f>IF('DDF Original'!C1301="","",'DDF Original'!C1301)</f>
        <v/>
      </c>
      <c r="E1301" s="24" t="str">
        <f>IF('DDF Original'!B1301="","",IF(TRIM('DDF Original'!I1301)="",0,'DDF Original'!I1301))</f>
        <v/>
      </c>
      <c r="F1301" s="20" t="str">
        <f t="shared" si="141"/>
        <v/>
      </c>
      <c r="G1301" s="37" t="str">
        <f>IF('DDF Original'!B1301="","",IF(TRIM('DDF Original'!P1301)="",0,'DDF Original'!P1301))</f>
        <v/>
      </c>
      <c r="H1301" s="20" t="str">
        <f t="shared" si="142"/>
        <v/>
      </c>
      <c r="I1301" s="25" t="str">
        <f t="shared" si="143"/>
        <v/>
      </c>
      <c r="J1301" s="20" t="str">
        <f t="shared" si="144"/>
        <v/>
      </c>
      <c r="K1301" s="20" t="str">
        <f t="shared" si="145"/>
        <v/>
      </c>
      <c r="L1301" s="20" t="str">
        <f>IF(B1301="","",70*'DDF Original'!$Q$4)</f>
        <v/>
      </c>
      <c r="M1301" s="20" t="str">
        <f t="shared" si="146"/>
        <v/>
      </c>
      <c r="N1301" s="20" t="str">
        <f>IF(AND(OR(B1301="",J1301&gt;G1301,M1301&gt;G1301),'DDF Original'!L1301&lt;&gt; "MI"),G1301,IF(M1301&gt;J1301,M1301,J1301))</f>
        <v/>
      </c>
    </row>
    <row r="1302" spans="2:14" x14ac:dyDescent="0.2">
      <c r="B1302" s="19" t="str">
        <f>IF('DDF Original'!B1302="","",'DDF Original'!B1302)</f>
        <v/>
      </c>
      <c r="C1302" s="19" t="e">
        <f t="shared" si="140"/>
        <v>#VALUE!</v>
      </c>
      <c r="D1302" s="20" t="str">
        <f>IF('DDF Original'!C1302="","",'DDF Original'!C1302)</f>
        <v/>
      </c>
      <c r="E1302" s="24" t="str">
        <f>IF('DDF Original'!B1302="","",IF(TRIM('DDF Original'!I1302)="",0,'DDF Original'!I1302))</f>
        <v/>
      </c>
      <c r="F1302" s="20" t="str">
        <f t="shared" si="141"/>
        <v/>
      </c>
      <c r="G1302" s="37" t="str">
        <f>IF('DDF Original'!B1302="","",IF(TRIM('DDF Original'!P1302)="",0,'DDF Original'!P1302))</f>
        <v/>
      </c>
      <c r="H1302" s="20" t="str">
        <f t="shared" si="142"/>
        <v/>
      </c>
      <c r="I1302" s="25" t="str">
        <f t="shared" si="143"/>
        <v/>
      </c>
      <c r="J1302" s="20" t="str">
        <f t="shared" si="144"/>
        <v/>
      </c>
      <c r="K1302" s="20" t="str">
        <f t="shared" si="145"/>
        <v/>
      </c>
      <c r="L1302" s="20" t="str">
        <f>IF(B1302="","",70*'DDF Original'!$Q$4)</f>
        <v/>
      </c>
      <c r="M1302" s="20" t="str">
        <f t="shared" si="146"/>
        <v/>
      </c>
      <c r="N1302" s="20" t="str">
        <f>IF(AND(OR(B1302="",J1302&gt;G1302,M1302&gt;G1302),'DDF Original'!L1302&lt;&gt; "MI"),G1302,IF(M1302&gt;J1302,M1302,J1302))</f>
        <v/>
      </c>
    </row>
    <row r="1303" spans="2:14" x14ac:dyDescent="0.2">
      <c r="B1303" s="19" t="str">
        <f>IF('DDF Original'!B1303="","",'DDF Original'!B1303)</f>
        <v/>
      </c>
      <c r="C1303" s="19" t="e">
        <f t="shared" si="140"/>
        <v>#VALUE!</v>
      </c>
      <c r="D1303" s="20" t="str">
        <f>IF('DDF Original'!C1303="","",'DDF Original'!C1303)</f>
        <v/>
      </c>
      <c r="E1303" s="24" t="str">
        <f>IF('DDF Original'!B1303="","",IF(TRIM('DDF Original'!I1303)="",0,'DDF Original'!I1303))</f>
        <v/>
      </c>
      <c r="F1303" s="20" t="str">
        <f t="shared" si="141"/>
        <v/>
      </c>
      <c r="G1303" s="37" t="str">
        <f>IF('DDF Original'!B1303="","",IF(TRIM('DDF Original'!P1303)="",0,'DDF Original'!P1303))</f>
        <v/>
      </c>
      <c r="H1303" s="20" t="str">
        <f t="shared" si="142"/>
        <v/>
      </c>
      <c r="I1303" s="25" t="str">
        <f t="shared" si="143"/>
        <v/>
      </c>
      <c r="J1303" s="20" t="str">
        <f t="shared" si="144"/>
        <v/>
      </c>
      <c r="K1303" s="20" t="str">
        <f t="shared" si="145"/>
        <v/>
      </c>
      <c r="L1303" s="20" t="str">
        <f>IF(B1303="","",70*'DDF Original'!$Q$4)</f>
        <v/>
      </c>
      <c r="M1303" s="20" t="str">
        <f t="shared" si="146"/>
        <v/>
      </c>
      <c r="N1303" s="20" t="str">
        <f>IF(AND(OR(B1303="",J1303&gt;G1303,M1303&gt;G1303),'DDF Original'!L1303&lt;&gt; "MI"),G1303,IF(M1303&gt;J1303,M1303,J1303))</f>
        <v/>
      </c>
    </row>
    <row r="1304" spans="2:14" x14ac:dyDescent="0.2">
      <c r="B1304" s="19" t="str">
        <f>IF('DDF Original'!B1304="","",'DDF Original'!B1304)</f>
        <v/>
      </c>
      <c r="C1304" s="19" t="e">
        <f t="shared" si="140"/>
        <v>#VALUE!</v>
      </c>
      <c r="D1304" s="20" t="str">
        <f>IF('DDF Original'!C1304="","",'DDF Original'!C1304)</f>
        <v/>
      </c>
      <c r="E1304" s="24" t="str">
        <f>IF('DDF Original'!B1304="","",IF(TRIM('DDF Original'!I1304)="",0,'DDF Original'!I1304))</f>
        <v/>
      </c>
      <c r="F1304" s="20" t="str">
        <f t="shared" si="141"/>
        <v/>
      </c>
      <c r="G1304" s="37" t="str">
        <f>IF('DDF Original'!B1304="","",IF(TRIM('DDF Original'!P1304)="",0,'DDF Original'!P1304))</f>
        <v/>
      </c>
      <c r="H1304" s="20" t="str">
        <f t="shared" si="142"/>
        <v/>
      </c>
      <c r="I1304" s="25" t="str">
        <f t="shared" si="143"/>
        <v/>
      </c>
      <c r="J1304" s="20" t="str">
        <f t="shared" si="144"/>
        <v/>
      </c>
      <c r="K1304" s="20" t="str">
        <f t="shared" si="145"/>
        <v/>
      </c>
      <c r="L1304" s="20" t="str">
        <f>IF(B1304="","",70*'DDF Original'!$Q$4)</f>
        <v/>
      </c>
      <c r="M1304" s="20" t="str">
        <f t="shared" si="146"/>
        <v/>
      </c>
      <c r="N1304" s="20" t="str">
        <f>IF(AND(OR(B1304="",J1304&gt;G1304,M1304&gt;G1304),'DDF Original'!L1304&lt;&gt; "MI"),G1304,IF(M1304&gt;J1304,M1304,J1304))</f>
        <v/>
      </c>
    </row>
    <row r="1305" spans="2:14" x14ac:dyDescent="0.2">
      <c r="B1305" s="19" t="str">
        <f>IF('DDF Original'!B1305="","",'DDF Original'!B1305)</f>
        <v/>
      </c>
      <c r="C1305" s="19" t="e">
        <f t="shared" si="140"/>
        <v>#VALUE!</v>
      </c>
      <c r="D1305" s="20" t="str">
        <f>IF('DDF Original'!C1305="","",'DDF Original'!C1305)</f>
        <v/>
      </c>
      <c r="E1305" s="24" t="str">
        <f>IF('DDF Original'!B1305="","",IF(TRIM('DDF Original'!I1305)="",0,'DDF Original'!I1305))</f>
        <v/>
      </c>
      <c r="F1305" s="20" t="str">
        <f t="shared" si="141"/>
        <v/>
      </c>
      <c r="G1305" s="37" t="str">
        <f>IF('DDF Original'!B1305="","",IF(TRIM('DDF Original'!P1305)="",0,'DDF Original'!P1305))</f>
        <v/>
      </c>
      <c r="H1305" s="20" t="str">
        <f t="shared" si="142"/>
        <v/>
      </c>
      <c r="I1305" s="25" t="str">
        <f t="shared" si="143"/>
        <v/>
      </c>
      <c r="J1305" s="20" t="str">
        <f t="shared" si="144"/>
        <v/>
      </c>
      <c r="K1305" s="20" t="str">
        <f t="shared" si="145"/>
        <v/>
      </c>
      <c r="L1305" s="20" t="str">
        <f>IF(B1305="","",70*'DDF Original'!$Q$4)</f>
        <v/>
      </c>
      <c r="M1305" s="20" t="str">
        <f t="shared" si="146"/>
        <v/>
      </c>
      <c r="N1305" s="20" t="str">
        <f>IF(AND(OR(B1305="",J1305&gt;G1305,M1305&gt;G1305),'DDF Original'!L1305&lt;&gt; "MI"),G1305,IF(M1305&gt;J1305,M1305,J1305))</f>
        <v/>
      </c>
    </row>
    <row r="1306" spans="2:14" x14ac:dyDescent="0.2">
      <c r="B1306" s="19" t="str">
        <f>IF('DDF Original'!B1306="","",'DDF Original'!B1306)</f>
        <v/>
      </c>
      <c r="C1306" s="19" t="e">
        <f t="shared" si="140"/>
        <v>#VALUE!</v>
      </c>
      <c r="D1306" s="20" t="str">
        <f>IF('DDF Original'!C1306="","",'DDF Original'!C1306)</f>
        <v/>
      </c>
      <c r="E1306" s="24" t="str">
        <f>IF('DDF Original'!B1306="","",IF(TRIM('DDF Original'!I1306)="",0,'DDF Original'!I1306))</f>
        <v/>
      </c>
      <c r="F1306" s="20" t="str">
        <f t="shared" si="141"/>
        <v/>
      </c>
      <c r="G1306" s="37" t="str">
        <f>IF('DDF Original'!B1306="","",IF(TRIM('DDF Original'!P1306)="",0,'DDF Original'!P1306))</f>
        <v/>
      </c>
      <c r="H1306" s="20" t="str">
        <f t="shared" si="142"/>
        <v/>
      </c>
      <c r="I1306" s="25" t="str">
        <f t="shared" si="143"/>
        <v/>
      </c>
      <c r="J1306" s="20" t="str">
        <f t="shared" si="144"/>
        <v/>
      </c>
      <c r="K1306" s="20" t="str">
        <f t="shared" si="145"/>
        <v/>
      </c>
      <c r="L1306" s="20" t="str">
        <f>IF(B1306="","",70*'DDF Original'!$Q$4)</f>
        <v/>
      </c>
      <c r="M1306" s="20" t="str">
        <f t="shared" si="146"/>
        <v/>
      </c>
      <c r="N1306" s="20" t="str">
        <f>IF(AND(OR(B1306="",J1306&gt;G1306,M1306&gt;G1306),'DDF Original'!L1306&lt;&gt; "MI"),G1306,IF(M1306&gt;J1306,M1306,J1306))</f>
        <v/>
      </c>
    </row>
    <row r="1307" spans="2:14" x14ac:dyDescent="0.2">
      <c r="B1307" s="19" t="str">
        <f>IF('DDF Original'!B1307="","",'DDF Original'!B1307)</f>
        <v/>
      </c>
      <c r="C1307" s="19" t="e">
        <f t="shared" si="140"/>
        <v>#VALUE!</v>
      </c>
      <c r="D1307" s="20" t="str">
        <f>IF('DDF Original'!C1307="","",'DDF Original'!C1307)</f>
        <v/>
      </c>
      <c r="E1307" s="24" t="str">
        <f>IF('DDF Original'!B1307="","",IF(TRIM('DDF Original'!I1307)="",0,'DDF Original'!I1307))</f>
        <v/>
      </c>
      <c r="F1307" s="20" t="str">
        <f t="shared" si="141"/>
        <v/>
      </c>
      <c r="G1307" s="37" t="str">
        <f>IF('DDF Original'!B1307="","",IF(TRIM('DDF Original'!P1307)="",0,'DDF Original'!P1307))</f>
        <v/>
      </c>
      <c r="H1307" s="20" t="str">
        <f t="shared" si="142"/>
        <v/>
      </c>
      <c r="I1307" s="25" t="str">
        <f t="shared" si="143"/>
        <v/>
      </c>
      <c r="J1307" s="20" t="str">
        <f t="shared" si="144"/>
        <v/>
      </c>
      <c r="K1307" s="20" t="str">
        <f t="shared" si="145"/>
        <v/>
      </c>
      <c r="L1307" s="20" t="str">
        <f>IF(B1307="","",70*'DDF Original'!$Q$4)</f>
        <v/>
      </c>
      <c r="M1307" s="20" t="str">
        <f t="shared" si="146"/>
        <v/>
      </c>
      <c r="N1307" s="20" t="str">
        <f>IF(AND(OR(B1307="",J1307&gt;G1307,M1307&gt;G1307),'DDF Original'!L1307&lt;&gt; "MI"),G1307,IF(M1307&gt;J1307,M1307,J1307))</f>
        <v/>
      </c>
    </row>
    <row r="1308" spans="2:14" x14ac:dyDescent="0.2">
      <c r="B1308" s="19" t="str">
        <f>IF('DDF Original'!B1308="","",'DDF Original'!B1308)</f>
        <v/>
      </c>
      <c r="C1308" s="19" t="e">
        <f t="shared" si="140"/>
        <v>#VALUE!</v>
      </c>
      <c r="D1308" s="20" t="str">
        <f>IF('DDF Original'!C1308="","",'DDF Original'!C1308)</f>
        <v/>
      </c>
      <c r="E1308" s="24" t="str">
        <f>IF('DDF Original'!B1308="","",IF(TRIM('DDF Original'!I1308)="",0,'DDF Original'!I1308))</f>
        <v/>
      </c>
      <c r="F1308" s="20" t="str">
        <f t="shared" si="141"/>
        <v/>
      </c>
      <c r="G1308" s="37" t="str">
        <f>IF('DDF Original'!B1308="","",IF(TRIM('DDF Original'!P1308)="",0,'DDF Original'!P1308))</f>
        <v/>
      </c>
      <c r="H1308" s="20" t="str">
        <f t="shared" si="142"/>
        <v/>
      </c>
      <c r="I1308" s="25" t="str">
        <f t="shared" si="143"/>
        <v/>
      </c>
      <c r="J1308" s="20" t="str">
        <f t="shared" si="144"/>
        <v/>
      </c>
      <c r="K1308" s="20" t="str">
        <f t="shared" si="145"/>
        <v/>
      </c>
      <c r="L1308" s="20" t="str">
        <f>IF(B1308="","",70*'DDF Original'!$Q$4)</f>
        <v/>
      </c>
      <c r="M1308" s="20" t="str">
        <f t="shared" si="146"/>
        <v/>
      </c>
      <c r="N1308" s="20" t="str">
        <f>IF(AND(OR(B1308="",J1308&gt;G1308,M1308&gt;G1308),'DDF Original'!L1308&lt;&gt; "MI"),G1308,IF(M1308&gt;J1308,M1308,J1308))</f>
        <v/>
      </c>
    </row>
    <row r="1309" spans="2:14" x14ac:dyDescent="0.2">
      <c r="B1309" s="19" t="str">
        <f>IF('DDF Original'!B1309="","",'DDF Original'!B1309)</f>
        <v/>
      </c>
      <c r="C1309" s="19" t="e">
        <f t="shared" si="140"/>
        <v>#VALUE!</v>
      </c>
      <c r="D1309" s="20" t="str">
        <f>IF('DDF Original'!C1309="","",'DDF Original'!C1309)</f>
        <v/>
      </c>
      <c r="E1309" s="24" t="str">
        <f>IF('DDF Original'!B1309="","",IF(TRIM('DDF Original'!I1309)="",0,'DDF Original'!I1309))</f>
        <v/>
      </c>
      <c r="F1309" s="20" t="str">
        <f t="shared" si="141"/>
        <v/>
      </c>
      <c r="G1309" s="37" t="str">
        <f>IF('DDF Original'!B1309="","",IF(TRIM('DDF Original'!P1309)="",0,'DDF Original'!P1309))</f>
        <v/>
      </c>
      <c r="H1309" s="20" t="str">
        <f t="shared" si="142"/>
        <v/>
      </c>
      <c r="I1309" s="25" t="str">
        <f t="shared" si="143"/>
        <v/>
      </c>
      <c r="J1309" s="20" t="str">
        <f t="shared" si="144"/>
        <v/>
      </c>
      <c r="K1309" s="20" t="str">
        <f t="shared" si="145"/>
        <v/>
      </c>
      <c r="L1309" s="20" t="str">
        <f>IF(B1309="","",70*'DDF Original'!$Q$4)</f>
        <v/>
      </c>
      <c r="M1309" s="20" t="str">
        <f t="shared" si="146"/>
        <v/>
      </c>
      <c r="N1309" s="20" t="str">
        <f>IF(AND(OR(B1309="",J1309&gt;G1309,M1309&gt;G1309),'DDF Original'!L1309&lt;&gt; "MI"),G1309,IF(M1309&gt;J1309,M1309,J1309))</f>
        <v/>
      </c>
    </row>
    <row r="1310" spans="2:14" x14ac:dyDescent="0.2">
      <c r="B1310" s="19" t="str">
        <f>IF('DDF Original'!B1310="","",'DDF Original'!B1310)</f>
        <v/>
      </c>
      <c r="C1310" s="19" t="e">
        <f t="shared" si="140"/>
        <v>#VALUE!</v>
      </c>
      <c r="D1310" s="20" t="str">
        <f>IF('DDF Original'!C1310="","",'DDF Original'!C1310)</f>
        <v/>
      </c>
      <c r="E1310" s="24" t="str">
        <f>IF('DDF Original'!B1310="","",IF(TRIM('DDF Original'!I1310)="",0,'DDF Original'!I1310))</f>
        <v/>
      </c>
      <c r="F1310" s="20" t="str">
        <f t="shared" si="141"/>
        <v/>
      </c>
      <c r="G1310" s="37" t="str">
        <f>IF('DDF Original'!B1310="","",IF(TRIM('DDF Original'!P1310)="",0,'DDF Original'!P1310))</f>
        <v/>
      </c>
      <c r="H1310" s="20" t="str">
        <f t="shared" si="142"/>
        <v/>
      </c>
      <c r="I1310" s="25" t="str">
        <f t="shared" si="143"/>
        <v/>
      </c>
      <c r="J1310" s="20" t="str">
        <f t="shared" si="144"/>
        <v/>
      </c>
      <c r="K1310" s="20" t="str">
        <f t="shared" si="145"/>
        <v/>
      </c>
      <c r="L1310" s="20" t="str">
        <f>IF(B1310="","",70*'DDF Original'!$Q$4)</f>
        <v/>
      </c>
      <c r="M1310" s="20" t="str">
        <f t="shared" si="146"/>
        <v/>
      </c>
      <c r="N1310" s="20" t="str">
        <f>IF(AND(OR(B1310="",J1310&gt;G1310,M1310&gt;G1310),'DDF Original'!L1310&lt;&gt; "MI"),G1310,IF(M1310&gt;J1310,M1310,J1310))</f>
        <v/>
      </c>
    </row>
    <row r="1311" spans="2:14" x14ac:dyDescent="0.2">
      <c r="B1311" s="19" t="str">
        <f>IF('DDF Original'!B1311="","",'DDF Original'!B1311)</f>
        <v/>
      </c>
      <c r="C1311" s="19" t="e">
        <f t="shared" si="140"/>
        <v>#VALUE!</v>
      </c>
      <c r="D1311" s="20" t="str">
        <f>IF('DDF Original'!C1311="","",'DDF Original'!C1311)</f>
        <v/>
      </c>
      <c r="E1311" s="24" t="str">
        <f>IF('DDF Original'!B1311="","",IF(TRIM('DDF Original'!I1311)="",0,'DDF Original'!I1311))</f>
        <v/>
      </c>
      <c r="F1311" s="20" t="str">
        <f t="shared" si="141"/>
        <v/>
      </c>
      <c r="G1311" s="37" t="str">
        <f>IF('DDF Original'!B1311="","",IF(TRIM('DDF Original'!P1311)="",0,'DDF Original'!P1311))</f>
        <v/>
      </c>
      <c r="H1311" s="20" t="str">
        <f t="shared" si="142"/>
        <v/>
      </c>
      <c r="I1311" s="25" t="str">
        <f t="shared" si="143"/>
        <v/>
      </c>
      <c r="J1311" s="20" t="str">
        <f t="shared" si="144"/>
        <v/>
      </c>
      <c r="K1311" s="20" t="str">
        <f t="shared" si="145"/>
        <v/>
      </c>
      <c r="L1311" s="20" t="str">
        <f>IF(B1311="","",70*'DDF Original'!$Q$4)</f>
        <v/>
      </c>
      <c r="M1311" s="20" t="str">
        <f t="shared" si="146"/>
        <v/>
      </c>
      <c r="N1311" s="20" t="str">
        <f>IF(AND(OR(B1311="",J1311&gt;G1311,M1311&gt;G1311),'DDF Original'!L1311&lt;&gt; "MI"),G1311,IF(M1311&gt;J1311,M1311,J1311))</f>
        <v/>
      </c>
    </row>
    <row r="1312" spans="2:14" x14ac:dyDescent="0.2">
      <c r="B1312" s="19" t="str">
        <f>IF('DDF Original'!B1312="","",'DDF Original'!B1312)</f>
        <v/>
      </c>
      <c r="C1312" s="19" t="e">
        <f t="shared" si="140"/>
        <v>#VALUE!</v>
      </c>
      <c r="D1312" s="20" t="str">
        <f>IF('DDF Original'!C1312="","",'DDF Original'!C1312)</f>
        <v/>
      </c>
      <c r="E1312" s="24" t="str">
        <f>IF('DDF Original'!B1312="","",IF(TRIM('DDF Original'!I1312)="",0,'DDF Original'!I1312))</f>
        <v/>
      </c>
      <c r="F1312" s="20" t="str">
        <f t="shared" si="141"/>
        <v/>
      </c>
      <c r="G1312" s="37" t="str">
        <f>IF('DDF Original'!B1312="","",IF(TRIM('DDF Original'!P1312)="",0,'DDF Original'!P1312))</f>
        <v/>
      </c>
      <c r="H1312" s="20" t="str">
        <f t="shared" si="142"/>
        <v/>
      </c>
      <c r="I1312" s="25" t="str">
        <f t="shared" si="143"/>
        <v/>
      </c>
      <c r="J1312" s="20" t="str">
        <f t="shared" si="144"/>
        <v/>
      </c>
      <c r="K1312" s="20" t="str">
        <f t="shared" si="145"/>
        <v/>
      </c>
      <c r="L1312" s="20" t="str">
        <f>IF(B1312="","",70*'DDF Original'!$Q$4)</f>
        <v/>
      </c>
      <c r="M1312" s="20" t="str">
        <f t="shared" si="146"/>
        <v/>
      </c>
      <c r="N1312" s="20" t="str">
        <f>IF(AND(OR(B1312="",J1312&gt;G1312,M1312&gt;G1312),'DDF Original'!L1312&lt;&gt; "MI"),G1312,IF(M1312&gt;J1312,M1312,J1312))</f>
        <v/>
      </c>
    </row>
    <row r="1313" spans="2:14" x14ac:dyDescent="0.2">
      <c r="B1313" s="19" t="str">
        <f>IF('DDF Original'!B1313="","",'DDF Original'!B1313)</f>
        <v/>
      </c>
      <c r="C1313" s="19" t="e">
        <f t="shared" si="140"/>
        <v>#VALUE!</v>
      </c>
      <c r="D1313" s="20" t="str">
        <f>IF('DDF Original'!C1313="","",'DDF Original'!C1313)</f>
        <v/>
      </c>
      <c r="E1313" s="24" t="str">
        <f>IF('DDF Original'!B1313="","",IF(TRIM('DDF Original'!I1313)="",0,'DDF Original'!I1313))</f>
        <v/>
      </c>
      <c r="F1313" s="20" t="str">
        <f t="shared" si="141"/>
        <v/>
      </c>
      <c r="G1313" s="37" t="str">
        <f>IF('DDF Original'!B1313="","",IF(TRIM('DDF Original'!P1313)="",0,'DDF Original'!P1313))</f>
        <v/>
      </c>
      <c r="H1313" s="20" t="str">
        <f t="shared" si="142"/>
        <v/>
      </c>
      <c r="I1313" s="25" t="str">
        <f t="shared" si="143"/>
        <v/>
      </c>
      <c r="J1313" s="20" t="str">
        <f t="shared" si="144"/>
        <v/>
      </c>
      <c r="K1313" s="20" t="str">
        <f t="shared" si="145"/>
        <v/>
      </c>
      <c r="L1313" s="20" t="str">
        <f>IF(B1313="","",70*'DDF Original'!$Q$4)</f>
        <v/>
      </c>
      <c r="M1313" s="20" t="str">
        <f t="shared" si="146"/>
        <v/>
      </c>
      <c r="N1313" s="20" t="str">
        <f>IF(AND(OR(B1313="",J1313&gt;G1313,M1313&gt;G1313),'DDF Original'!L1313&lt;&gt; "MI"),G1313,IF(M1313&gt;J1313,M1313,J1313))</f>
        <v/>
      </c>
    </row>
    <row r="1314" spans="2:14" x14ac:dyDescent="0.2">
      <c r="B1314" s="19" t="str">
        <f>IF('DDF Original'!B1314="","",'DDF Original'!B1314)</f>
        <v/>
      </c>
      <c r="C1314" s="19" t="e">
        <f t="shared" si="140"/>
        <v>#VALUE!</v>
      </c>
      <c r="D1314" s="20" t="str">
        <f>IF('DDF Original'!C1314="","",'DDF Original'!C1314)</f>
        <v/>
      </c>
      <c r="E1314" s="24" t="str">
        <f>IF('DDF Original'!B1314="","",IF(TRIM('DDF Original'!I1314)="",0,'DDF Original'!I1314))</f>
        <v/>
      </c>
      <c r="F1314" s="20" t="str">
        <f t="shared" si="141"/>
        <v/>
      </c>
      <c r="G1314" s="37" t="str">
        <f>IF('DDF Original'!B1314="","",IF(TRIM('DDF Original'!P1314)="",0,'DDF Original'!P1314))</f>
        <v/>
      </c>
      <c r="H1314" s="20" t="str">
        <f t="shared" si="142"/>
        <v/>
      </c>
      <c r="I1314" s="25" t="str">
        <f t="shared" si="143"/>
        <v/>
      </c>
      <c r="J1314" s="20" t="str">
        <f t="shared" si="144"/>
        <v/>
      </c>
      <c r="K1314" s="20" t="str">
        <f t="shared" si="145"/>
        <v/>
      </c>
      <c r="L1314" s="20" t="str">
        <f>IF(B1314="","",70*'DDF Original'!$Q$4)</f>
        <v/>
      </c>
      <c r="M1314" s="20" t="str">
        <f t="shared" si="146"/>
        <v/>
      </c>
      <c r="N1314" s="20" t="str">
        <f>IF(AND(OR(B1314="",J1314&gt;G1314,M1314&gt;G1314),'DDF Original'!L1314&lt;&gt; "MI"),G1314,IF(M1314&gt;J1314,M1314,J1314))</f>
        <v/>
      </c>
    </row>
    <row r="1315" spans="2:14" x14ac:dyDescent="0.2">
      <c r="B1315" s="19" t="str">
        <f>IF('DDF Original'!B1315="","",'DDF Original'!B1315)</f>
        <v/>
      </c>
      <c r="C1315" s="19" t="e">
        <f t="shared" si="140"/>
        <v>#VALUE!</v>
      </c>
      <c r="D1315" s="20" t="str">
        <f>IF('DDF Original'!C1315="","",'DDF Original'!C1315)</f>
        <v/>
      </c>
      <c r="E1315" s="24" t="str">
        <f>IF('DDF Original'!B1315="","",IF(TRIM('DDF Original'!I1315)="",0,'DDF Original'!I1315))</f>
        <v/>
      </c>
      <c r="F1315" s="20" t="str">
        <f t="shared" si="141"/>
        <v/>
      </c>
      <c r="G1315" s="37" t="str">
        <f>IF('DDF Original'!B1315="","",IF(TRIM('DDF Original'!P1315)="",0,'DDF Original'!P1315))</f>
        <v/>
      </c>
      <c r="H1315" s="20" t="str">
        <f t="shared" si="142"/>
        <v/>
      </c>
      <c r="I1315" s="25" t="str">
        <f t="shared" si="143"/>
        <v/>
      </c>
      <c r="J1315" s="20" t="str">
        <f t="shared" si="144"/>
        <v/>
      </c>
      <c r="K1315" s="20" t="str">
        <f t="shared" si="145"/>
        <v/>
      </c>
      <c r="L1315" s="20" t="str">
        <f>IF(B1315="","",70*'DDF Original'!$Q$4)</f>
        <v/>
      </c>
      <c r="M1315" s="20" t="str">
        <f t="shared" si="146"/>
        <v/>
      </c>
      <c r="N1315" s="20" t="str">
        <f>IF(AND(OR(B1315="",J1315&gt;G1315,M1315&gt;G1315),'DDF Original'!L1315&lt;&gt; "MI"),G1315,IF(M1315&gt;J1315,M1315,J1315))</f>
        <v/>
      </c>
    </row>
    <row r="1316" spans="2:14" x14ac:dyDescent="0.2">
      <c r="B1316" s="19" t="str">
        <f>IF('DDF Original'!B1316="","",'DDF Original'!B1316)</f>
        <v/>
      </c>
      <c r="C1316" s="19" t="e">
        <f t="shared" si="140"/>
        <v>#VALUE!</v>
      </c>
      <c r="D1316" s="20" t="str">
        <f>IF('DDF Original'!C1316="","",'DDF Original'!C1316)</f>
        <v/>
      </c>
      <c r="E1316" s="24" t="str">
        <f>IF('DDF Original'!B1316="","",IF(TRIM('DDF Original'!I1316)="",0,'DDF Original'!I1316))</f>
        <v/>
      </c>
      <c r="F1316" s="20" t="str">
        <f t="shared" si="141"/>
        <v/>
      </c>
      <c r="G1316" s="37" t="str">
        <f>IF('DDF Original'!B1316="","",IF(TRIM('DDF Original'!P1316)="",0,'DDF Original'!P1316))</f>
        <v/>
      </c>
      <c r="H1316" s="20" t="str">
        <f t="shared" si="142"/>
        <v/>
      </c>
      <c r="I1316" s="25" t="str">
        <f t="shared" si="143"/>
        <v/>
      </c>
      <c r="J1316" s="20" t="str">
        <f t="shared" si="144"/>
        <v/>
      </c>
      <c r="K1316" s="20" t="str">
        <f t="shared" si="145"/>
        <v/>
      </c>
      <c r="L1316" s="20" t="str">
        <f>IF(B1316="","",70*'DDF Original'!$Q$4)</f>
        <v/>
      </c>
      <c r="M1316" s="20" t="str">
        <f t="shared" si="146"/>
        <v/>
      </c>
      <c r="N1316" s="20" t="str">
        <f>IF(AND(OR(B1316="",J1316&gt;G1316,M1316&gt;G1316),'DDF Original'!L1316&lt;&gt; "MI"),G1316,IF(M1316&gt;J1316,M1316,J1316))</f>
        <v/>
      </c>
    </row>
    <row r="1317" spans="2:14" x14ac:dyDescent="0.2">
      <c r="B1317" s="19" t="str">
        <f>IF('DDF Original'!B1317="","",'DDF Original'!B1317)</f>
        <v/>
      </c>
      <c r="C1317" s="19" t="e">
        <f t="shared" si="140"/>
        <v>#VALUE!</v>
      </c>
      <c r="D1317" s="20" t="str">
        <f>IF('DDF Original'!C1317="","",'DDF Original'!C1317)</f>
        <v/>
      </c>
      <c r="E1317" s="24" t="str">
        <f>IF('DDF Original'!B1317="","",IF(TRIM('DDF Original'!I1317)="",0,'DDF Original'!I1317))</f>
        <v/>
      </c>
      <c r="F1317" s="20" t="str">
        <f t="shared" si="141"/>
        <v/>
      </c>
      <c r="G1317" s="37" t="str">
        <f>IF('DDF Original'!B1317="","",IF(TRIM('DDF Original'!P1317)="",0,'DDF Original'!P1317))</f>
        <v/>
      </c>
      <c r="H1317" s="20" t="str">
        <f t="shared" si="142"/>
        <v/>
      </c>
      <c r="I1317" s="25" t="str">
        <f t="shared" si="143"/>
        <v/>
      </c>
      <c r="J1317" s="20" t="str">
        <f t="shared" si="144"/>
        <v/>
      </c>
      <c r="K1317" s="20" t="str">
        <f t="shared" si="145"/>
        <v/>
      </c>
      <c r="L1317" s="20" t="str">
        <f>IF(B1317="","",70*'DDF Original'!$Q$4)</f>
        <v/>
      </c>
      <c r="M1317" s="20" t="str">
        <f t="shared" si="146"/>
        <v/>
      </c>
      <c r="N1317" s="20" t="str">
        <f>IF(AND(OR(B1317="",J1317&gt;G1317,M1317&gt;G1317),'DDF Original'!L1317&lt;&gt; "MI"),G1317,IF(M1317&gt;J1317,M1317,J1317))</f>
        <v/>
      </c>
    </row>
    <row r="1318" spans="2:14" x14ac:dyDescent="0.2">
      <c r="B1318" s="19" t="str">
        <f>IF('DDF Original'!B1318="","",'DDF Original'!B1318)</f>
        <v/>
      </c>
      <c r="C1318" s="19" t="e">
        <f t="shared" si="140"/>
        <v>#VALUE!</v>
      </c>
      <c r="D1318" s="20" t="str">
        <f>IF('DDF Original'!C1318="","",'DDF Original'!C1318)</f>
        <v/>
      </c>
      <c r="E1318" s="24" t="str">
        <f>IF('DDF Original'!B1318="","",IF(TRIM('DDF Original'!I1318)="",0,'DDF Original'!I1318))</f>
        <v/>
      </c>
      <c r="F1318" s="20" t="str">
        <f t="shared" si="141"/>
        <v/>
      </c>
      <c r="G1318" s="37" t="str">
        <f>IF('DDF Original'!B1318="","",IF(TRIM('DDF Original'!P1318)="",0,'DDF Original'!P1318))</f>
        <v/>
      </c>
      <c r="H1318" s="20" t="str">
        <f t="shared" si="142"/>
        <v/>
      </c>
      <c r="I1318" s="25" t="str">
        <f t="shared" si="143"/>
        <v/>
      </c>
      <c r="J1318" s="20" t="str">
        <f t="shared" si="144"/>
        <v/>
      </c>
      <c r="K1318" s="20" t="str">
        <f t="shared" si="145"/>
        <v/>
      </c>
      <c r="L1318" s="20" t="str">
        <f>IF(B1318="","",70*'DDF Original'!$Q$4)</f>
        <v/>
      </c>
      <c r="M1318" s="20" t="str">
        <f t="shared" si="146"/>
        <v/>
      </c>
      <c r="N1318" s="20" t="str">
        <f>IF(AND(OR(B1318="",J1318&gt;G1318,M1318&gt;G1318),'DDF Original'!L1318&lt;&gt; "MI"),G1318,IF(M1318&gt;J1318,M1318,J1318))</f>
        <v/>
      </c>
    </row>
    <row r="1319" spans="2:14" x14ac:dyDescent="0.2">
      <c r="B1319" s="19" t="str">
        <f>IF('DDF Original'!B1319="","",'DDF Original'!B1319)</f>
        <v/>
      </c>
      <c r="C1319" s="19" t="e">
        <f t="shared" si="140"/>
        <v>#VALUE!</v>
      </c>
      <c r="D1319" s="20" t="str">
        <f>IF('DDF Original'!C1319="","",'DDF Original'!C1319)</f>
        <v/>
      </c>
      <c r="E1319" s="24" t="str">
        <f>IF('DDF Original'!B1319="","",IF(TRIM('DDF Original'!I1319)="",0,'DDF Original'!I1319))</f>
        <v/>
      </c>
      <c r="F1319" s="20" t="str">
        <f t="shared" si="141"/>
        <v/>
      </c>
      <c r="G1319" s="37" t="str">
        <f>IF('DDF Original'!B1319="","",IF(TRIM('DDF Original'!P1319)="",0,'DDF Original'!P1319))</f>
        <v/>
      </c>
      <c r="H1319" s="20" t="str">
        <f t="shared" si="142"/>
        <v/>
      </c>
      <c r="I1319" s="25" t="str">
        <f t="shared" si="143"/>
        <v/>
      </c>
      <c r="J1319" s="20" t="str">
        <f t="shared" si="144"/>
        <v/>
      </c>
      <c r="K1319" s="20" t="str">
        <f t="shared" si="145"/>
        <v/>
      </c>
      <c r="L1319" s="20" t="str">
        <f>IF(B1319="","",70*'DDF Original'!$Q$4)</f>
        <v/>
      </c>
      <c r="M1319" s="20" t="str">
        <f t="shared" si="146"/>
        <v/>
      </c>
      <c r="N1319" s="20" t="str">
        <f>IF(AND(OR(B1319="",J1319&gt;G1319,M1319&gt;G1319),'DDF Original'!L1319&lt;&gt; "MI"),G1319,IF(M1319&gt;J1319,M1319,J1319))</f>
        <v/>
      </c>
    </row>
    <row r="1320" spans="2:14" x14ac:dyDescent="0.2">
      <c r="B1320" s="19" t="str">
        <f>IF('DDF Original'!B1320="","",'DDF Original'!B1320)</f>
        <v/>
      </c>
      <c r="C1320" s="19" t="e">
        <f t="shared" si="140"/>
        <v>#VALUE!</v>
      </c>
      <c r="D1320" s="20" t="str">
        <f>IF('DDF Original'!C1320="","",'DDF Original'!C1320)</f>
        <v/>
      </c>
      <c r="E1320" s="24" t="str">
        <f>IF('DDF Original'!B1320="","",IF(TRIM('DDF Original'!I1320)="",0,'DDF Original'!I1320))</f>
        <v/>
      </c>
      <c r="F1320" s="20" t="str">
        <f t="shared" si="141"/>
        <v/>
      </c>
      <c r="G1320" s="37" t="str">
        <f>IF('DDF Original'!B1320="","",IF(TRIM('DDF Original'!P1320)="",0,'DDF Original'!P1320))</f>
        <v/>
      </c>
      <c r="H1320" s="20" t="str">
        <f t="shared" si="142"/>
        <v/>
      </c>
      <c r="I1320" s="25" t="str">
        <f t="shared" si="143"/>
        <v/>
      </c>
      <c r="J1320" s="20" t="str">
        <f t="shared" si="144"/>
        <v/>
      </c>
      <c r="K1320" s="20" t="str">
        <f t="shared" si="145"/>
        <v/>
      </c>
      <c r="L1320" s="20" t="str">
        <f>IF(B1320="","",70*'DDF Original'!$Q$4)</f>
        <v/>
      </c>
      <c r="M1320" s="20" t="str">
        <f t="shared" si="146"/>
        <v/>
      </c>
      <c r="N1320" s="20" t="str">
        <f>IF(AND(OR(B1320="",J1320&gt;G1320,M1320&gt;G1320),'DDF Original'!L1320&lt;&gt; "MI"),G1320,IF(M1320&gt;J1320,M1320,J1320))</f>
        <v/>
      </c>
    </row>
    <row r="1321" spans="2:14" x14ac:dyDescent="0.2">
      <c r="B1321" s="19" t="str">
        <f>IF('DDF Original'!B1321="","",'DDF Original'!B1321)</f>
        <v/>
      </c>
      <c r="C1321" s="19" t="e">
        <f t="shared" si="140"/>
        <v>#VALUE!</v>
      </c>
      <c r="D1321" s="20" t="str">
        <f>IF('DDF Original'!C1321="","",'DDF Original'!C1321)</f>
        <v/>
      </c>
      <c r="E1321" s="24" t="str">
        <f>IF('DDF Original'!B1321="","",IF(TRIM('DDF Original'!I1321)="",0,'DDF Original'!I1321))</f>
        <v/>
      </c>
      <c r="F1321" s="20" t="str">
        <f t="shared" si="141"/>
        <v/>
      </c>
      <c r="G1321" s="37" t="str">
        <f>IF('DDF Original'!B1321="","",IF(TRIM('DDF Original'!P1321)="",0,'DDF Original'!P1321))</f>
        <v/>
      </c>
      <c r="H1321" s="20" t="str">
        <f t="shared" si="142"/>
        <v/>
      </c>
      <c r="I1321" s="25" t="str">
        <f t="shared" si="143"/>
        <v/>
      </c>
      <c r="J1321" s="20" t="str">
        <f t="shared" si="144"/>
        <v/>
      </c>
      <c r="K1321" s="20" t="str">
        <f t="shared" si="145"/>
        <v/>
      </c>
      <c r="L1321" s="20" t="str">
        <f>IF(B1321="","",70*'DDF Original'!$Q$4)</f>
        <v/>
      </c>
      <c r="M1321" s="20" t="str">
        <f t="shared" si="146"/>
        <v/>
      </c>
      <c r="N1321" s="20" t="str">
        <f>IF(AND(OR(B1321="",J1321&gt;G1321,M1321&gt;G1321),'DDF Original'!L1321&lt;&gt; "MI"),G1321,IF(M1321&gt;J1321,M1321,J1321))</f>
        <v/>
      </c>
    </row>
    <row r="1322" spans="2:14" x14ac:dyDescent="0.2">
      <c r="B1322" s="19" t="str">
        <f>IF('DDF Original'!B1322="","",'DDF Original'!B1322)</f>
        <v/>
      </c>
      <c r="C1322" s="19" t="e">
        <f t="shared" si="140"/>
        <v>#VALUE!</v>
      </c>
      <c r="D1322" s="20" t="str">
        <f>IF('DDF Original'!C1322="","",'DDF Original'!C1322)</f>
        <v/>
      </c>
      <c r="E1322" s="24" t="str">
        <f>IF('DDF Original'!B1322="","",IF(TRIM('DDF Original'!I1322)="",0,'DDF Original'!I1322))</f>
        <v/>
      </c>
      <c r="F1322" s="20" t="str">
        <f t="shared" si="141"/>
        <v/>
      </c>
      <c r="G1322" s="37" t="str">
        <f>IF('DDF Original'!B1322="","",IF(TRIM('DDF Original'!P1322)="",0,'DDF Original'!P1322))</f>
        <v/>
      </c>
      <c r="H1322" s="20" t="str">
        <f t="shared" si="142"/>
        <v/>
      </c>
      <c r="I1322" s="25" t="str">
        <f t="shared" si="143"/>
        <v/>
      </c>
      <c r="J1322" s="20" t="str">
        <f t="shared" si="144"/>
        <v/>
      </c>
      <c r="K1322" s="20" t="str">
        <f t="shared" si="145"/>
        <v/>
      </c>
      <c r="L1322" s="20" t="str">
        <f>IF(B1322="","",70*'DDF Original'!$Q$4)</f>
        <v/>
      </c>
      <c r="M1322" s="20" t="str">
        <f t="shared" si="146"/>
        <v/>
      </c>
      <c r="N1322" s="20" t="str">
        <f>IF(AND(OR(B1322="",J1322&gt;G1322,M1322&gt;G1322),'DDF Original'!L1322&lt;&gt; "MI"),G1322,IF(M1322&gt;J1322,M1322,J1322))</f>
        <v/>
      </c>
    </row>
    <row r="1323" spans="2:14" x14ac:dyDescent="0.2">
      <c r="B1323" s="19" t="str">
        <f>IF('DDF Original'!B1323="","",'DDF Original'!B1323)</f>
        <v/>
      </c>
      <c r="C1323" s="19" t="e">
        <f t="shared" si="140"/>
        <v>#VALUE!</v>
      </c>
      <c r="D1323" s="20" t="str">
        <f>IF('DDF Original'!C1323="","",'DDF Original'!C1323)</f>
        <v/>
      </c>
      <c r="E1323" s="24" t="str">
        <f>IF('DDF Original'!B1323="","",IF(TRIM('DDF Original'!I1323)="",0,'DDF Original'!I1323))</f>
        <v/>
      </c>
      <c r="F1323" s="20" t="str">
        <f t="shared" si="141"/>
        <v/>
      </c>
      <c r="G1323" s="37" t="str">
        <f>IF('DDF Original'!B1323="","",IF(TRIM('DDF Original'!P1323)="",0,'DDF Original'!P1323))</f>
        <v/>
      </c>
      <c r="H1323" s="20" t="str">
        <f t="shared" si="142"/>
        <v/>
      </c>
      <c r="I1323" s="25" t="str">
        <f t="shared" si="143"/>
        <v/>
      </c>
      <c r="J1323" s="20" t="str">
        <f t="shared" si="144"/>
        <v/>
      </c>
      <c r="K1323" s="20" t="str">
        <f t="shared" si="145"/>
        <v/>
      </c>
      <c r="L1323" s="20" t="str">
        <f>IF(B1323="","",70*'DDF Original'!$Q$4)</f>
        <v/>
      </c>
      <c r="M1323" s="20" t="str">
        <f t="shared" si="146"/>
        <v/>
      </c>
      <c r="N1323" s="20" t="str">
        <f>IF(AND(OR(B1323="",J1323&gt;G1323,M1323&gt;G1323),'DDF Original'!L1323&lt;&gt; "MI"),G1323,IF(M1323&gt;J1323,M1323,J1323))</f>
        <v/>
      </c>
    </row>
    <row r="1324" spans="2:14" x14ac:dyDescent="0.2">
      <c r="B1324" s="19" t="str">
        <f>IF('DDF Original'!B1324="","",'DDF Original'!B1324)</f>
        <v/>
      </c>
      <c r="C1324" s="19" t="e">
        <f t="shared" si="140"/>
        <v>#VALUE!</v>
      </c>
      <c r="D1324" s="20" t="str">
        <f>IF('DDF Original'!C1324="","",'DDF Original'!C1324)</f>
        <v/>
      </c>
      <c r="E1324" s="24" t="str">
        <f>IF('DDF Original'!B1324="","",IF(TRIM('DDF Original'!I1324)="",0,'DDF Original'!I1324))</f>
        <v/>
      </c>
      <c r="F1324" s="20" t="str">
        <f t="shared" si="141"/>
        <v/>
      </c>
      <c r="G1324" s="37" t="str">
        <f>IF('DDF Original'!B1324="","",IF(TRIM('DDF Original'!P1324)="",0,'DDF Original'!P1324))</f>
        <v/>
      </c>
      <c r="H1324" s="20" t="str">
        <f t="shared" si="142"/>
        <v/>
      </c>
      <c r="I1324" s="25" t="str">
        <f t="shared" si="143"/>
        <v/>
      </c>
      <c r="J1324" s="20" t="str">
        <f t="shared" si="144"/>
        <v/>
      </c>
      <c r="K1324" s="20" t="str">
        <f t="shared" si="145"/>
        <v/>
      </c>
      <c r="L1324" s="20" t="str">
        <f>IF(B1324="","",70*'DDF Original'!$Q$4)</f>
        <v/>
      </c>
      <c r="M1324" s="20" t="str">
        <f t="shared" si="146"/>
        <v/>
      </c>
      <c r="N1324" s="20" t="str">
        <f>IF(AND(OR(B1324="",J1324&gt;G1324,M1324&gt;G1324),'DDF Original'!L1324&lt;&gt; "MI"),G1324,IF(M1324&gt;J1324,M1324,J1324))</f>
        <v/>
      </c>
    </row>
    <row r="1325" spans="2:14" x14ac:dyDescent="0.2">
      <c r="B1325" s="19" t="str">
        <f>IF('DDF Original'!B1325="","",'DDF Original'!B1325)</f>
        <v/>
      </c>
      <c r="C1325" s="19" t="e">
        <f t="shared" si="140"/>
        <v>#VALUE!</v>
      </c>
      <c r="D1325" s="20" t="str">
        <f>IF('DDF Original'!C1325="","",'DDF Original'!C1325)</f>
        <v/>
      </c>
      <c r="E1325" s="24" t="str">
        <f>IF('DDF Original'!B1325="","",IF(TRIM('DDF Original'!I1325)="",0,'DDF Original'!I1325))</f>
        <v/>
      </c>
      <c r="F1325" s="20" t="str">
        <f t="shared" si="141"/>
        <v/>
      </c>
      <c r="G1325" s="37" t="str">
        <f>IF('DDF Original'!B1325="","",IF(TRIM('DDF Original'!P1325)="",0,'DDF Original'!P1325))</f>
        <v/>
      </c>
      <c r="H1325" s="20" t="str">
        <f t="shared" si="142"/>
        <v/>
      </c>
      <c r="I1325" s="25" t="str">
        <f t="shared" si="143"/>
        <v/>
      </c>
      <c r="J1325" s="20" t="str">
        <f t="shared" si="144"/>
        <v/>
      </c>
      <c r="K1325" s="20" t="str">
        <f t="shared" si="145"/>
        <v/>
      </c>
      <c r="L1325" s="20" t="str">
        <f>IF(B1325="","",70*'DDF Original'!$Q$4)</f>
        <v/>
      </c>
      <c r="M1325" s="20" t="str">
        <f t="shared" si="146"/>
        <v/>
      </c>
      <c r="N1325" s="20" t="str">
        <f>IF(AND(OR(B1325="",J1325&gt;G1325,M1325&gt;G1325),'DDF Original'!L1325&lt;&gt; "MI"),G1325,IF(M1325&gt;J1325,M1325,J1325))</f>
        <v/>
      </c>
    </row>
    <row r="1326" spans="2:14" x14ac:dyDescent="0.2">
      <c r="B1326" s="19" t="str">
        <f>IF('DDF Original'!B1326="","",'DDF Original'!B1326)</f>
        <v/>
      </c>
      <c r="C1326" s="19" t="e">
        <f t="shared" si="140"/>
        <v>#VALUE!</v>
      </c>
      <c r="D1326" s="20" t="str">
        <f>IF('DDF Original'!C1326="","",'DDF Original'!C1326)</f>
        <v/>
      </c>
      <c r="E1326" s="24" t="str">
        <f>IF('DDF Original'!B1326="","",IF(TRIM('DDF Original'!I1326)="",0,'DDF Original'!I1326))</f>
        <v/>
      </c>
      <c r="F1326" s="20" t="str">
        <f t="shared" si="141"/>
        <v/>
      </c>
      <c r="G1326" s="37" t="str">
        <f>IF('DDF Original'!B1326="","",IF(TRIM('DDF Original'!P1326)="",0,'DDF Original'!P1326))</f>
        <v/>
      </c>
      <c r="H1326" s="20" t="str">
        <f t="shared" si="142"/>
        <v/>
      </c>
      <c r="I1326" s="25" t="str">
        <f t="shared" si="143"/>
        <v/>
      </c>
      <c r="J1326" s="20" t="str">
        <f t="shared" si="144"/>
        <v/>
      </c>
      <c r="K1326" s="20" t="str">
        <f t="shared" si="145"/>
        <v/>
      </c>
      <c r="L1326" s="20" t="str">
        <f>IF(B1326="","",70*'DDF Original'!$Q$4)</f>
        <v/>
      </c>
      <c r="M1326" s="20" t="str">
        <f t="shared" si="146"/>
        <v/>
      </c>
      <c r="N1326" s="20" t="str">
        <f>IF(AND(OR(B1326="",J1326&gt;G1326,M1326&gt;G1326),'DDF Original'!L1326&lt;&gt; "MI"),G1326,IF(M1326&gt;J1326,M1326,J1326))</f>
        <v/>
      </c>
    </row>
    <row r="1327" spans="2:14" x14ac:dyDescent="0.2">
      <c r="B1327" s="19" t="str">
        <f>IF('DDF Original'!B1327="","",'DDF Original'!B1327)</f>
        <v/>
      </c>
      <c r="C1327" s="19" t="e">
        <f t="shared" si="140"/>
        <v>#VALUE!</v>
      </c>
      <c r="D1327" s="20" t="str">
        <f>IF('DDF Original'!C1327="","",'DDF Original'!C1327)</f>
        <v/>
      </c>
      <c r="E1327" s="24" t="str">
        <f>IF('DDF Original'!B1327="","",IF(TRIM('DDF Original'!I1327)="",0,'DDF Original'!I1327))</f>
        <v/>
      </c>
      <c r="F1327" s="20" t="str">
        <f t="shared" si="141"/>
        <v/>
      </c>
      <c r="G1327" s="37" t="str">
        <f>IF('DDF Original'!B1327="","",IF(TRIM('DDF Original'!P1327)="",0,'DDF Original'!P1327))</f>
        <v/>
      </c>
      <c r="H1327" s="20" t="str">
        <f t="shared" si="142"/>
        <v/>
      </c>
      <c r="I1327" s="25" t="str">
        <f t="shared" si="143"/>
        <v/>
      </c>
      <c r="J1327" s="20" t="str">
        <f t="shared" si="144"/>
        <v/>
      </c>
      <c r="K1327" s="20" t="str">
        <f t="shared" si="145"/>
        <v/>
      </c>
      <c r="L1327" s="20" t="str">
        <f>IF(B1327="","",70*'DDF Original'!$Q$4)</f>
        <v/>
      </c>
      <c r="M1327" s="20" t="str">
        <f t="shared" si="146"/>
        <v/>
      </c>
      <c r="N1327" s="20" t="str">
        <f>IF(AND(OR(B1327="",J1327&gt;G1327,M1327&gt;G1327),'DDF Original'!L1327&lt;&gt; "MI"),G1327,IF(M1327&gt;J1327,M1327,J1327))</f>
        <v/>
      </c>
    </row>
    <row r="1328" spans="2:14" x14ac:dyDescent="0.2">
      <c r="B1328" s="19" t="str">
        <f>IF('DDF Original'!B1328="","",'DDF Original'!B1328)</f>
        <v/>
      </c>
      <c r="C1328" s="19" t="e">
        <f t="shared" si="140"/>
        <v>#VALUE!</v>
      </c>
      <c r="D1328" s="20" t="str">
        <f>IF('DDF Original'!C1328="","",'DDF Original'!C1328)</f>
        <v/>
      </c>
      <c r="E1328" s="24" t="str">
        <f>IF('DDF Original'!B1328="","",IF(TRIM('DDF Original'!I1328)="",0,'DDF Original'!I1328))</f>
        <v/>
      </c>
      <c r="F1328" s="20" t="str">
        <f t="shared" si="141"/>
        <v/>
      </c>
      <c r="G1328" s="37" t="str">
        <f>IF('DDF Original'!B1328="","",IF(TRIM('DDF Original'!P1328)="",0,'DDF Original'!P1328))</f>
        <v/>
      </c>
      <c r="H1328" s="20" t="str">
        <f t="shared" si="142"/>
        <v/>
      </c>
      <c r="I1328" s="25" t="str">
        <f t="shared" si="143"/>
        <v/>
      </c>
      <c r="J1328" s="20" t="str">
        <f t="shared" si="144"/>
        <v/>
      </c>
      <c r="K1328" s="20" t="str">
        <f t="shared" si="145"/>
        <v/>
      </c>
      <c r="L1328" s="20" t="str">
        <f>IF(B1328="","",70*'DDF Original'!$Q$4)</f>
        <v/>
      </c>
      <c r="M1328" s="20" t="str">
        <f t="shared" si="146"/>
        <v/>
      </c>
      <c r="N1328" s="20" t="str">
        <f>IF(AND(OR(B1328="",J1328&gt;G1328,M1328&gt;G1328),'DDF Original'!L1328&lt;&gt; "MI"),G1328,IF(M1328&gt;J1328,M1328,J1328))</f>
        <v/>
      </c>
    </row>
    <row r="1329" spans="2:14" x14ac:dyDescent="0.2">
      <c r="B1329" s="19" t="str">
        <f>IF('DDF Original'!B1329="","",'DDF Original'!B1329)</f>
        <v/>
      </c>
      <c r="C1329" s="19" t="e">
        <f t="shared" si="140"/>
        <v>#VALUE!</v>
      </c>
      <c r="D1329" s="20" t="str">
        <f>IF('DDF Original'!C1329="","",'DDF Original'!C1329)</f>
        <v/>
      </c>
      <c r="E1329" s="24" t="str">
        <f>IF('DDF Original'!B1329="","",IF(TRIM('DDF Original'!I1329)="",0,'DDF Original'!I1329))</f>
        <v/>
      </c>
      <c r="F1329" s="20" t="str">
        <f t="shared" si="141"/>
        <v/>
      </c>
      <c r="G1329" s="37" t="str">
        <f>IF('DDF Original'!B1329="","",IF(TRIM('DDF Original'!P1329)="",0,'DDF Original'!P1329))</f>
        <v/>
      </c>
      <c r="H1329" s="20" t="str">
        <f t="shared" si="142"/>
        <v/>
      </c>
      <c r="I1329" s="25" t="str">
        <f t="shared" si="143"/>
        <v/>
      </c>
      <c r="J1329" s="20" t="str">
        <f t="shared" si="144"/>
        <v/>
      </c>
      <c r="K1329" s="20" t="str">
        <f t="shared" si="145"/>
        <v/>
      </c>
      <c r="L1329" s="20" t="str">
        <f>IF(B1329="","",70*'DDF Original'!$Q$4)</f>
        <v/>
      </c>
      <c r="M1329" s="20" t="str">
        <f t="shared" si="146"/>
        <v/>
      </c>
      <c r="N1329" s="20" t="str">
        <f>IF(AND(OR(B1329="",J1329&gt;G1329,M1329&gt;G1329),'DDF Original'!L1329&lt;&gt; "MI"),G1329,IF(M1329&gt;J1329,M1329,J1329))</f>
        <v/>
      </c>
    </row>
    <row r="1330" spans="2:14" x14ac:dyDescent="0.2">
      <c r="B1330" s="19" t="str">
        <f>IF('DDF Original'!B1330="","",'DDF Original'!B1330)</f>
        <v/>
      </c>
      <c r="C1330" s="19" t="e">
        <f t="shared" si="140"/>
        <v>#VALUE!</v>
      </c>
      <c r="D1330" s="20" t="str">
        <f>IF('DDF Original'!C1330="","",'DDF Original'!C1330)</f>
        <v/>
      </c>
      <c r="E1330" s="24" t="str">
        <f>IF('DDF Original'!B1330="","",IF(TRIM('DDF Original'!I1330)="",0,'DDF Original'!I1330))</f>
        <v/>
      </c>
      <c r="F1330" s="20" t="str">
        <f t="shared" si="141"/>
        <v/>
      </c>
      <c r="G1330" s="37" t="str">
        <f>IF('DDF Original'!B1330="","",IF(TRIM('DDF Original'!P1330)="",0,'DDF Original'!P1330))</f>
        <v/>
      </c>
      <c r="H1330" s="20" t="str">
        <f t="shared" si="142"/>
        <v/>
      </c>
      <c r="I1330" s="25" t="str">
        <f t="shared" si="143"/>
        <v/>
      </c>
      <c r="J1330" s="20" t="str">
        <f t="shared" si="144"/>
        <v/>
      </c>
      <c r="K1330" s="20" t="str">
        <f t="shared" si="145"/>
        <v/>
      </c>
      <c r="L1330" s="20" t="str">
        <f>IF(B1330="","",70*'DDF Original'!$Q$4)</f>
        <v/>
      </c>
      <c r="M1330" s="20" t="str">
        <f t="shared" si="146"/>
        <v/>
      </c>
      <c r="N1330" s="20" t="str">
        <f>IF(AND(OR(B1330="",J1330&gt;G1330,M1330&gt;G1330),'DDF Original'!L1330&lt;&gt; "MI"),G1330,IF(M1330&gt;J1330,M1330,J1330))</f>
        <v/>
      </c>
    </row>
    <row r="1331" spans="2:14" x14ac:dyDescent="0.2">
      <c r="B1331" s="19" t="str">
        <f>IF('DDF Original'!B1331="","",'DDF Original'!B1331)</f>
        <v/>
      </c>
      <c r="C1331" s="19" t="e">
        <f t="shared" si="140"/>
        <v>#VALUE!</v>
      </c>
      <c r="D1331" s="20" t="str">
        <f>IF('DDF Original'!C1331="","",'DDF Original'!C1331)</f>
        <v/>
      </c>
      <c r="E1331" s="24" t="str">
        <f>IF('DDF Original'!B1331="","",IF(TRIM('DDF Original'!I1331)="",0,'DDF Original'!I1331))</f>
        <v/>
      </c>
      <c r="F1331" s="20" t="str">
        <f t="shared" si="141"/>
        <v/>
      </c>
      <c r="G1331" s="37" t="str">
        <f>IF('DDF Original'!B1331="","",IF(TRIM('DDF Original'!P1331)="",0,'DDF Original'!P1331))</f>
        <v/>
      </c>
      <c r="H1331" s="20" t="str">
        <f t="shared" si="142"/>
        <v/>
      </c>
      <c r="I1331" s="25" t="str">
        <f t="shared" si="143"/>
        <v/>
      </c>
      <c r="J1331" s="20" t="str">
        <f t="shared" si="144"/>
        <v/>
      </c>
      <c r="K1331" s="20" t="str">
        <f t="shared" si="145"/>
        <v/>
      </c>
      <c r="L1331" s="20" t="str">
        <f>IF(B1331="","",70*'DDF Original'!$Q$4)</f>
        <v/>
      </c>
      <c r="M1331" s="20" t="str">
        <f t="shared" si="146"/>
        <v/>
      </c>
      <c r="N1331" s="20" t="str">
        <f>IF(AND(OR(B1331="",J1331&gt;G1331,M1331&gt;G1331),'DDF Original'!L1331&lt;&gt; "MI"),G1331,IF(M1331&gt;J1331,M1331,J1331))</f>
        <v/>
      </c>
    </row>
    <row r="1332" spans="2:14" x14ac:dyDescent="0.2">
      <c r="B1332" s="19" t="str">
        <f>IF('DDF Original'!B1332="","",'DDF Original'!B1332)</f>
        <v/>
      </c>
      <c r="C1332" s="19" t="e">
        <f t="shared" si="140"/>
        <v>#VALUE!</v>
      </c>
      <c r="D1332" s="20" t="str">
        <f>IF('DDF Original'!C1332="","",'DDF Original'!C1332)</f>
        <v/>
      </c>
      <c r="E1332" s="24" t="str">
        <f>IF('DDF Original'!B1332="","",IF(TRIM('DDF Original'!I1332)="",0,'DDF Original'!I1332))</f>
        <v/>
      </c>
      <c r="F1332" s="20" t="str">
        <f t="shared" si="141"/>
        <v/>
      </c>
      <c r="G1332" s="37" t="str">
        <f>IF('DDF Original'!B1332="","",IF(TRIM('DDF Original'!P1332)="",0,'DDF Original'!P1332))</f>
        <v/>
      </c>
      <c r="H1332" s="20" t="str">
        <f t="shared" si="142"/>
        <v/>
      </c>
      <c r="I1332" s="25" t="str">
        <f t="shared" si="143"/>
        <v/>
      </c>
      <c r="J1332" s="20" t="str">
        <f t="shared" si="144"/>
        <v/>
      </c>
      <c r="K1332" s="20" t="str">
        <f t="shared" si="145"/>
        <v/>
      </c>
      <c r="L1332" s="20" t="str">
        <f>IF(B1332="","",70*'DDF Original'!$Q$4)</f>
        <v/>
      </c>
      <c r="M1332" s="20" t="str">
        <f t="shared" si="146"/>
        <v/>
      </c>
      <c r="N1332" s="20" t="str">
        <f>IF(AND(OR(B1332="",J1332&gt;G1332,M1332&gt;G1332),'DDF Original'!L1332&lt;&gt; "MI"),G1332,IF(M1332&gt;J1332,M1332,J1332))</f>
        <v/>
      </c>
    </row>
    <row r="1333" spans="2:14" x14ac:dyDescent="0.2">
      <c r="B1333" s="19" t="str">
        <f>IF('DDF Original'!B1333="","",'DDF Original'!B1333)</f>
        <v/>
      </c>
      <c r="C1333" s="19" t="e">
        <f t="shared" si="140"/>
        <v>#VALUE!</v>
      </c>
      <c r="D1333" s="20" t="str">
        <f>IF('DDF Original'!C1333="","",'DDF Original'!C1333)</f>
        <v/>
      </c>
      <c r="E1333" s="24" t="str">
        <f>IF('DDF Original'!B1333="","",IF(TRIM('DDF Original'!I1333)="",0,'DDF Original'!I1333))</f>
        <v/>
      </c>
      <c r="F1333" s="20" t="str">
        <f t="shared" si="141"/>
        <v/>
      </c>
      <c r="G1333" s="37" t="str">
        <f>IF('DDF Original'!B1333="","",IF(TRIM('DDF Original'!P1333)="",0,'DDF Original'!P1333))</f>
        <v/>
      </c>
      <c r="H1333" s="20" t="str">
        <f t="shared" si="142"/>
        <v/>
      </c>
      <c r="I1333" s="25" t="str">
        <f t="shared" si="143"/>
        <v/>
      </c>
      <c r="J1333" s="20" t="str">
        <f t="shared" si="144"/>
        <v/>
      </c>
      <c r="K1333" s="20" t="str">
        <f t="shared" si="145"/>
        <v/>
      </c>
      <c r="L1333" s="20" t="str">
        <f>IF(B1333="","",70*'DDF Original'!$Q$4)</f>
        <v/>
      </c>
      <c r="M1333" s="20" t="str">
        <f t="shared" si="146"/>
        <v/>
      </c>
      <c r="N1333" s="20" t="str">
        <f>IF(AND(OR(B1333="",J1333&gt;G1333,M1333&gt;G1333),'DDF Original'!L1333&lt;&gt; "MI"),G1333,IF(M1333&gt;J1333,M1333,J1333))</f>
        <v/>
      </c>
    </row>
    <row r="1334" spans="2:14" x14ac:dyDescent="0.2">
      <c r="B1334" s="19" t="str">
        <f>IF('DDF Original'!B1334="","",'DDF Original'!B1334)</f>
        <v/>
      </c>
      <c r="C1334" s="19" t="e">
        <f t="shared" si="140"/>
        <v>#VALUE!</v>
      </c>
      <c r="D1334" s="20" t="str">
        <f>IF('DDF Original'!C1334="","",'DDF Original'!C1334)</f>
        <v/>
      </c>
      <c r="E1334" s="24" t="str">
        <f>IF('DDF Original'!B1334="","",IF(TRIM('DDF Original'!I1334)="",0,'DDF Original'!I1334))</f>
        <v/>
      </c>
      <c r="F1334" s="20" t="str">
        <f t="shared" si="141"/>
        <v/>
      </c>
      <c r="G1334" s="37" t="str">
        <f>IF('DDF Original'!B1334="","",IF(TRIM('DDF Original'!P1334)="",0,'DDF Original'!P1334))</f>
        <v/>
      </c>
      <c r="H1334" s="20" t="str">
        <f t="shared" si="142"/>
        <v/>
      </c>
      <c r="I1334" s="25" t="str">
        <f t="shared" si="143"/>
        <v/>
      </c>
      <c r="J1334" s="20" t="str">
        <f t="shared" si="144"/>
        <v/>
      </c>
      <c r="K1334" s="20" t="str">
        <f t="shared" si="145"/>
        <v/>
      </c>
      <c r="L1334" s="20" t="str">
        <f>IF(B1334="","",70*'DDF Original'!$Q$4)</f>
        <v/>
      </c>
      <c r="M1334" s="20" t="str">
        <f t="shared" si="146"/>
        <v/>
      </c>
      <c r="N1334" s="20" t="str">
        <f>IF(AND(OR(B1334="",J1334&gt;G1334,M1334&gt;G1334),'DDF Original'!L1334&lt;&gt; "MI"),G1334,IF(M1334&gt;J1334,M1334,J1334))</f>
        <v/>
      </c>
    </row>
    <row r="1335" spans="2:14" x14ac:dyDescent="0.2">
      <c r="B1335" s="19" t="str">
        <f>IF('DDF Original'!B1335="","",'DDF Original'!B1335)</f>
        <v/>
      </c>
      <c r="C1335" s="19" t="e">
        <f t="shared" si="140"/>
        <v>#VALUE!</v>
      </c>
      <c r="D1335" s="20" t="str">
        <f>IF('DDF Original'!C1335="","",'DDF Original'!C1335)</f>
        <v/>
      </c>
      <c r="E1335" s="24" t="str">
        <f>IF('DDF Original'!B1335="","",IF(TRIM('DDF Original'!I1335)="",0,'DDF Original'!I1335))</f>
        <v/>
      </c>
      <c r="F1335" s="20" t="str">
        <f t="shared" si="141"/>
        <v/>
      </c>
      <c r="G1335" s="37" t="str">
        <f>IF('DDF Original'!B1335="","",IF(TRIM('DDF Original'!P1335)="",0,'DDF Original'!P1335))</f>
        <v/>
      </c>
      <c r="H1335" s="20" t="str">
        <f t="shared" si="142"/>
        <v/>
      </c>
      <c r="I1335" s="25" t="str">
        <f t="shared" si="143"/>
        <v/>
      </c>
      <c r="J1335" s="20" t="str">
        <f t="shared" si="144"/>
        <v/>
      </c>
      <c r="K1335" s="20" t="str">
        <f t="shared" si="145"/>
        <v/>
      </c>
      <c r="L1335" s="20" t="str">
        <f>IF(B1335="","",70*'DDF Original'!$Q$4)</f>
        <v/>
      </c>
      <c r="M1335" s="20" t="str">
        <f t="shared" si="146"/>
        <v/>
      </c>
      <c r="N1335" s="20" t="str">
        <f>IF(AND(OR(B1335="",J1335&gt;G1335,M1335&gt;G1335),'DDF Original'!L1335&lt;&gt; "MI"),G1335,IF(M1335&gt;J1335,M1335,J1335))</f>
        <v/>
      </c>
    </row>
    <row r="1336" spans="2:14" x14ac:dyDescent="0.2">
      <c r="B1336" s="19" t="str">
        <f>IF('DDF Original'!B1336="","",'DDF Original'!B1336)</f>
        <v/>
      </c>
      <c r="C1336" s="19" t="e">
        <f t="shared" si="140"/>
        <v>#VALUE!</v>
      </c>
      <c r="D1336" s="20" t="str">
        <f>IF('DDF Original'!C1336="","",'DDF Original'!C1336)</f>
        <v/>
      </c>
      <c r="E1336" s="24" t="str">
        <f>IF('DDF Original'!B1336="","",IF(TRIM('DDF Original'!I1336)="",0,'DDF Original'!I1336))</f>
        <v/>
      </c>
      <c r="F1336" s="20" t="str">
        <f t="shared" si="141"/>
        <v/>
      </c>
      <c r="G1336" s="37" t="str">
        <f>IF('DDF Original'!B1336="","",IF(TRIM('DDF Original'!P1336)="",0,'DDF Original'!P1336))</f>
        <v/>
      </c>
      <c r="H1336" s="20" t="str">
        <f t="shared" si="142"/>
        <v/>
      </c>
      <c r="I1336" s="25" t="str">
        <f t="shared" si="143"/>
        <v/>
      </c>
      <c r="J1336" s="20" t="str">
        <f t="shared" si="144"/>
        <v/>
      </c>
      <c r="K1336" s="20" t="str">
        <f t="shared" si="145"/>
        <v/>
      </c>
      <c r="L1336" s="20" t="str">
        <f>IF(B1336="","",70*'DDF Original'!$Q$4)</f>
        <v/>
      </c>
      <c r="M1336" s="20" t="str">
        <f t="shared" si="146"/>
        <v/>
      </c>
      <c r="N1336" s="20" t="str">
        <f>IF(AND(OR(B1336="",J1336&gt;G1336,M1336&gt;G1336),'DDF Original'!L1336&lt;&gt; "MI"),G1336,IF(M1336&gt;J1336,M1336,J1336))</f>
        <v/>
      </c>
    </row>
    <row r="1337" spans="2:14" x14ac:dyDescent="0.2">
      <c r="B1337" s="19" t="str">
        <f>IF('DDF Original'!B1337="","",'DDF Original'!B1337)</f>
        <v/>
      </c>
      <c r="C1337" s="19" t="e">
        <f t="shared" si="140"/>
        <v>#VALUE!</v>
      </c>
      <c r="D1337" s="20" t="str">
        <f>IF('DDF Original'!C1337="","",'DDF Original'!C1337)</f>
        <v/>
      </c>
      <c r="E1337" s="24" t="str">
        <f>IF('DDF Original'!B1337="","",IF(TRIM('DDF Original'!I1337)="",0,'DDF Original'!I1337))</f>
        <v/>
      </c>
      <c r="F1337" s="20" t="str">
        <f t="shared" si="141"/>
        <v/>
      </c>
      <c r="G1337" s="37" t="str">
        <f>IF('DDF Original'!B1337="","",IF(TRIM('DDF Original'!P1337)="",0,'DDF Original'!P1337))</f>
        <v/>
      </c>
      <c r="H1337" s="20" t="str">
        <f t="shared" si="142"/>
        <v/>
      </c>
      <c r="I1337" s="25" t="str">
        <f t="shared" si="143"/>
        <v/>
      </c>
      <c r="J1337" s="20" t="str">
        <f t="shared" si="144"/>
        <v/>
      </c>
      <c r="K1337" s="20" t="str">
        <f t="shared" si="145"/>
        <v/>
      </c>
      <c r="L1337" s="20" t="str">
        <f>IF(B1337="","",70*'DDF Original'!$Q$4)</f>
        <v/>
      </c>
      <c r="M1337" s="20" t="str">
        <f t="shared" si="146"/>
        <v/>
      </c>
      <c r="N1337" s="20" t="str">
        <f>IF(AND(OR(B1337="",J1337&gt;G1337,M1337&gt;G1337),'DDF Original'!L1337&lt;&gt; "MI"),G1337,IF(M1337&gt;J1337,M1337,J1337))</f>
        <v/>
      </c>
    </row>
    <row r="1338" spans="2:14" x14ac:dyDescent="0.2">
      <c r="B1338" s="19" t="str">
        <f>IF('DDF Original'!B1338="","",'DDF Original'!B1338)</f>
        <v/>
      </c>
      <c r="C1338" s="19" t="e">
        <f t="shared" si="140"/>
        <v>#VALUE!</v>
      </c>
      <c r="D1338" s="20" t="str">
        <f>IF('DDF Original'!C1338="","",'DDF Original'!C1338)</f>
        <v/>
      </c>
      <c r="E1338" s="24" t="str">
        <f>IF('DDF Original'!B1338="","",IF(TRIM('DDF Original'!I1338)="",0,'DDF Original'!I1338))</f>
        <v/>
      </c>
      <c r="F1338" s="20" t="str">
        <f t="shared" si="141"/>
        <v/>
      </c>
      <c r="G1338" s="37" t="str">
        <f>IF('DDF Original'!B1338="","",IF(TRIM('DDF Original'!P1338)="",0,'DDF Original'!P1338))</f>
        <v/>
      </c>
      <c r="H1338" s="20" t="str">
        <f t="shared" si="142"/>
        <v/>
      </c>
      <c r="I1338" s="25" t="str">
        <f t="shared" si="143"/>
        <v/>
      </c>
      <c r="J1338" s="20" t="str">
        <f t="shared" si="144"/>
        <v/>
      </c>
      <c r="K1338" s="20" t="str">
        <f t="shared" si="145"/>
        <v/>
      </c>
      <c r="L1338" s="20" t="str">
        <f>IF(B1338="","",70*'DDF Original'!$Q$4)</f>
        <v/>
      </c>
      <c r="M1338" s="20" t="str">
        <f t="shared" si="146"/>
        <v/>
      </c>
      <c r="N1338" s="20" t="str">
        <f>IF(AND(OR(B1338="",J1338&gt;G1338,M1338&gt;G1338),'DDF Original'!L1338&lt;&gt; "MI"),G1338,IF(M1338&gt;J1338,M1338,J1338))</f>
        <v/>
      </c>
    </row>
    <row r="1339" spans="2:14" x14ac:dyDescent="0.2">
      <c r="B1339" s="19" t="str">
        <f>IF('DDF Original'!B1339="","",'DDF Original'!B1339)</f>
        <v/>
      </c>
      <c r="C1339" s="19" t="e">
        <f t="shared" si="140"/>
        <v>#VALUE!</v>
      </c>
      <c r="D1339" s="20" t="str">
        <f>IF('DDF Original'!C1339="","",'DDF Original'!C1339)</f>
        <v/>
      </c>
      <c r="E1339" s="24" t="str">
        <f>IF('DDF Original'!B1339="","",IF(TRIM('DDF Original'!I1339)="",0,'DDF Original'!I1339))</f>
        <v/>
      </c>
      <c r="F1339" s="20" t="str">
        <f t="shared" si="141"/>
        <v/>
      </c>
      <c r="G1339" s="37" t="str">
        <f>IF('DDF Original'!B1339="","",IF(TRIM('DDF Original'!P1339)="",0,'DDF Original'!P1339))</f>
        <v/>
      </c>
      <c r="H1339" s="20" t="str">
        <f t="shared" si="142"/>
        <v/>
      </c>
      <c r="I1339" s="25" t="str">
        <f t="shared" si="143"/>
        <v/>
      </c>
      <c r="J1339" s="20" t="str">
        <f t="shared" si="144"/>
        <v/>
      </c>
      <c r="K1339" s="20" t="str">
        <f t="shared" si="145"/>
        <v/>
      </c>
      <c r="L1339" s="20" t="str">
        <f>IF(B1339="","",70*'DDF Original'!$Q$4)</f>
        <v/>
      </c>
      <c r="M1339" s="20" t="str">
        <f t="shared" si="146"/>
        <v/>
      </c>
      <c r="N1339" s="20" t="str">
        <f>IF(AND(OR(B1339="",J1339&gt;G1339,M1339&gt;G1339),'DDF Original'!L1339&lt;&gt; "MI"),G1339,IF(M1339&gt;J1339,M1339,J1339))</f>
        <v/>
      </c>
    </row>
    <row r="1340" spans="2:14" x14ac:dyDescent="0.2">
      <c r="B1340" s="19" t="str">
        <f>IF('DDF Original'!B1340="","",'DDF Original'!B1340)</f>
        <v/>
      </c>
      <c r="C1340" s="19" t="e">
        <f t="shared" si="140"/>
        <v>#VALUE!</v>
      </c>
      <c r="D1340" s="20" t="str">
        <f>IF('DDF Original'!C1340="","",'DDF Original'!C1340)</f>
        <v/>
      </c>
      <c r="E1340" s="24" t="str">
        <f>IF('DDF Original'!B1340="","",IF(TRIM('DDF Original'!I1340)="",0,'DDF Original'!I1340))</f>
        <v/>
      </c>
      <c r="F1340" s="20" t="str">
        <f t="shared" si="141"/>
        <v/>
      </c>
      <c r="G1340" s="37" t="str">
        <f>IF('DDF Original'!B1340="","",IF(TRIM('DDF Original'!P1340)="",0,'DDF Original'!P1340))</f>
        <v/>
      </c>
      <c r="H1340" s="20" t="str">
        <f t="shared" si="142"/>
        <v/>
      </c>
      <c r="I1340" s="25" t="str">
        <f t="shared" si="143"/>
        <v/>
      </c>
      <c r="J1340" s="20" t="str">
        <f t="shared" si="144"/>
        <v/>
      </c>
      <c r="K1340" s="20" t="str">
        <f t="shared" si="145"/>
        <v/>
      </c>
      <c r="L1340" s="20" t="str">
        <f>IF(B1340="","",70*'DDF Original'!$Q$4)</f>
        <v/>
      </c>
      <c r="M1340" s="20" t="str">
        <f t="shared" si="146"/>
        <v/>
      </c>
      <c r="N1340" s="20" t="str">
        <f>IF(AND(OR(B1340="",J1340&gt;G1340,M1340&gt;G1340),'DDF Original'!L1340&lt;&gt; "MI"),G1340,IF(M1340&gt;J1340,M1340,J1340))</f>
        <v/>
      </c>
    </row>
    <row r="1341" spans="2:14" x14ac:dyDescent="0.2">
      <c r="B1341" s="19" t="str">
        <f>IF('DDF Original'!B1341="","",'DDF Original'!B1341)</f>
        <v/>
      </c>
      <c r="C1341" s="19" t="e">
        <f t="shared" ref="C1341:C1404" si="147">LEFT(B1341,FIND(".",B1341)-1)</f>
        <v>#VALUE!</v>
      </c>
      <c r="D1341" s="20" t="str">
        <f>IF('DDF Original'!C1341="","",'DDF Original'!C1341)</f>
        <v/>
      </c>
      <c r="E1341" s="24" t="str">
        <f>IF('DDF Original'!B1341="","",IF(TRIM('DDF Original'!I1341)="",0,'DDF Original'!I1341))</f>
        <v/>
      </c>
      <c r="F1341" s="20" t="str">
        <f t="shared" ref="F1341:F1404" si="148">IF(D1341="",D1341,ROUND(D1341*(1+E1341/100),2))</f>
        <v/>
      </c>
      <c r="G1341" s="37" t="str">
        <f>IF('DDF Original'!B1341="","",IF(TRIM('DDF Original'!P1341)="",0,'DDF Original'!P1341))</f>
        <v/>
      </c>
      <c r="H1341" s="20" t="str">
        <f t="shared" ref="H1341:H1404" si="149">IF(OR(D1341=0,D1341=""),G1341,F1341)</f>
        <v/>
      </c>
      <c r="I1341" s="25" t="str">
        <f t="shared" ref="I1341:I1404" si="150">IF(B1341="","",IF(OR(D1341=0,D1341=""),50,35))</f>
        <v/>
      </c>
      <c r="J1341" s="20" t="str">
        <f t="shared" ref="J1341:J1404" si="151">IF(B1341="","",ROUND(H1341*I1341/100,2))</f>
        <v/>
      </c>
      <c r="K1341" s="20" t="str">
        <f t="shared" ref="K1341:K1404" si="152">IF(B1341="","",SUMIFS($J$9:$J$508,$C$9:$C$508,"="&amp;C1341))</f>
        <v/>
      </c>
      <c r="L1341" s="20" t="str">
        <f>IF(B1341="","",70*'DDF Original'!$Q$4)</f>
        <v/>
      </c>
      <c r="M1341" s="20" t="str">
        <f t="shared" ref="M1341:M1404" si="153">IF(B1341="","",ROUND(J1341/K1341*L1341,2))</f>
        <v/>
      </c>
      <c r="N1341" s="20" t="str">
        <f>IF(AND(OR(B1341="",J1341&gt;G1341,M1341&gt;G1341),'DDF Original'!L1341&lt;&gt; "MI"),G1341,IF(M1341&gt;J1341,M1341,J1341))</f>
        <v/>
      </c>
    </row>
    <row r="1342" spans="2:14" x14ac:dyDescent="0.2">
      <c r="B1342" s="19" t="str">
        <f>IF('DDF Original'!B1342="","",'DDF Original'!B1342)</f>
        <v/>
      </c>
      <c r="C1342" s="19" t="e">
        <f t="shared" si="147"/>
        <v>#VALUE!</v>
      </c>
      <c r="D1342" s="20" t="str">
        <f>IF('DDF Original'!C1342="","",'DDF Original'!C1342)</f>
        <v/>
      </c>
      <c r="E1342" s="24" t="str">
        <f>IF('DDF Original'!B1342="","",IF(TRIM('DDF Original'!I1342)="",0,'DDF Original'!I1342))</f>
        <v/>
      </c>
      <c r="F1342" s="20" t="str">
        <f t="shared" si="148"/>
        <v/>
      </c>
      <c r="G1342" s="37" t="str">
        <f>IF('DDF Original'!B1342="","",IF(TRIM('DDF Original'!P1342)="",0,'DDF Original'!P1342))</f>
        <v/>
      </c>
      <c r="H1342" s="20" t="str">
        <f t="shared" si="149"/>
        <v/>
      </c>
      <c r="I1342" s="25" t="str">
        <f t="shared" si="150"/>
        <v/>
      </c>
      <c r="J1342" s="20" t="str">
        <f t="shared" si="151"/>
        <v/>
      </c>
      <c r="K1342" s="20" t="str">
        <f t="shared" si="152"/>
        <v/>
      </c>
      <c r="L1342" s="20" t="str">
        <f>IF(B1342="","",70*'DDF Original'!$Q$4)</f>
        <v/>
      </c>
      <c r="M1342" s="20" t="str">
        <f t="shared" si="153"/>
        <v/>
      </c>
      <c r="N1342" s="20" t="str">
        <f>IF(AND(OR(B1342="",J1342&gt;G1342,M1342&gt;G1342),'DDF Original'!L1342&lt;&gt; "MI"),G1342,IF(M1342&gt;J1342,M1342,J1342))</f>
        <v/>
      </c>
    </row>
    <row r="1343" spans="2:14" x14ac:dyDescent="0.2">
      <c r="B1343" s="19" t="str">
        <f>IF('DDF Original'!B1343="","",'DDF Original'!B1343)</f>
        <v/>
      </c>
      <c r="C1343" s="19" t="e">
        <f t="shared" si="147"/>
        <v>#VALUE!</v>
      </c>
      <c r="D1343" s="20" t="str">
        <f>IF('DDF Original'!C1343="","",'DDF Original'!C1343)</f>
        <v/>
      </c>
      <c r="E1343" s="24" t="str">
        <f>IF('DDF Original'!B1343="","",IF(TRIM('DDF Original'!I1343)="",0,'DDF Original'!I1343))</f>
        <v/>
      </c>
      <c r="F1343" s="20" t="str">
        <f t="shared" si="148"/>
        <v/>
      </c>
      <c r="G1343" s="37" t="str">
        <f>IF('DDF Original'!B1343="","",IF(TRIM('DDF Original'!P1343)="",0,'DDF Original'!P1343))</f>
        <v/>
      </c>
      <c r="H1343" s="20" t="str">
        <f t="shared" si="149"/>
        <v/>
      </c>
      <c r="I1343" s="25" t="str">
        <f t="shared" si="150"/>
        <v/>
      </c>
      <c r="J1343" s="20" t="str">
        <f t="shared" si="151"/>
        <v/>
      </c>
      <c r="K1343" s="20" t="str">
        <f t="shared" si="152"/>
        <v/>
      </c>
      <c r="L1343" s="20" t="str">
        <f>IF(B1343="","",70*'DDF Original'!$Q$4)</f>
        <v/>
      </c>
      <c r="M1343" s="20" t="str">
        <f t="shared" si="153"/>
        <v/>
      </c>
      <c r="N1343" s="20" t="str">
        <f>IF(AND(OR(B1343="",J1343&gt;G1343,M1343&gt;G1343),'DDF Original'!L1343&lt;&gt; "MI"),G1343,IF(M1343&gt;J1343,M1343,J1343))</f>
        <v/>
      </c>
    </row>
    <row r="1344" spans="2:14" x14ac:dyDescent="0.2">
      <c r="B1344" s="19" t="str">
        <f>IF('DDF Original'!B1344="","",'DDF Original'!B1344)</f>
        <v/>
      </c>
      <c r="C1344" s="19" t="e">
        <f t="shared" si="147"/>
        <v>#VALUE!</v>
      </c>
      <c r="D1344" s="20" t="str">
        <f>IF('DDF Original'!C1344="","",'DDF Original'!C1344)</f>
        <v/>
      </c>
      <c r="E1344" s="24" t="str">
        <f>IF('DDF Original'!B1344="","",IF(TRIM('DDF Original'!I1344)="",0,'DDF Original'!I1344))</f>
        <v/>
      </c>
      <c r="F1344" s="20" t="str">
        <f t="shared" si="148"/>
        <v/>
      </c>
      <c r="G1344" s="37" t="str">
        <f>IF('DDF Original'!B1344="","",IF(TRIM('DDF Original'!P1344)="",0,'DDF Original'!P1344))</f>
        <v/>
      </c>
      <c r="H1344" s="20" t="str">
        <f t="shared" si="149"/>
        <v/>
      </c>
      <c r="I1344" s="25" t="str">
        <f t="shared" si="150"/>
        <v/>
      </c>
      <c r="J1344" s="20" t="str">
        <f t="shared" si="151"/>
        <v/>
      </c>
      <c r="K1344" s="20" t="str">
        <f t="shared" si="152"/>
        <v/>
      </c>
      <c r="L1344" s="20" t="str">
        <f>IF(B1344="","",70*'DDF Original'!$Q$4)</f>
        <v/>
      </c>
      <c r="M1344" s="20" t="str">
        <f t="shared" si="153"/>
        <v/>
      </c>
      <c r="N1344" s="20" t="str">
        <f>IF(AND(OR(B1344="",J1344&gt;G1344,M1344&gt;G1344),'DDF Original'!L1344&lt;&gt; "MI"),G1344,IF(M1344&gt;J1344,M1344,J1344))</f>
        <v/>
      </c>
    </row>
    <row r="1345" spans="2:14" x14ac:dyDescent="0.2">
      <c r="B1345" s="19" t="str">
        <f>IF('DDF Original'!B1345="","",'DDF Original'!B1345)</f>
        <v/>
      </c>
      <c r="C1345" s="19" t="e">
        <f t="shared" si="147"/>
        <v>#VALUE!</v>
      </c>
      <c r="D1345" s="20" t="str">
        <f>IF('DDF Original'!C1345="","",'DDF Original'!C1345)</f>
        <v/>
      </c>
      <c r="E1345" s="24" t="str">
        <f>IF('DDF Original'!B1345="","",IF(TRIM('DDF Original'!I1345)="",0,'DDF Original'!I1345))</f>
        <v/>
      </c>
      <c r="F1345" s="20" t="str">
        <f t="shared" si="148"/>
        <v/>
      </c>
      <c r="G1345" s="37" t="str">
        <f>IF('DDF Original'!B1345="","",IF(TRIM('DDF Original'!P1345)="",0,'DDF Original'!P1345))</f>
        <v/>
      </c>
      <c r="H1345" s="20" t="str">
        <f t="shared" si="149"/>
        <v/>
      </c>
      <c r="I1345" s="25" t="str">
        <f t="shared" si="150"/>
        <v/>
      </c>
      <c r="J1345" s="20" t="str">
        <f t="shared" si="151"/>
        <v/>
      </c>
      <c r="K1345" s="20" t="str">
        <f t="shared" si="152"/>
        <v/>
      </c>
      <c r="L1345" s="20" t="str">
        <f>IF(B1345="","",70*'DDF Original'!$Q$4)</f>
        <v/>
      </c>
      <c r="M1345" s="20" t="str">
        <f t="shared" si="153"/>
        <v/>
      </c>
      <c r="N1345" s="20" t="str">
        <f>IF(AND(OR(B1345="",J1345&gt;G1345,M1345&gt;G1345),'DDF Original'!L1345&lt;&gt; "MI"),G1345,IF(M1345&gt;J1345,M1345,J1345))</f>
        <v/>
      </c>
    </row>
    <row r="1346" spans="2:14" x14ac:dyDescent="0.2">
      <c r="B1346" s="19" t="str">
        <f>IF('DDF Original'!B1346="","",'DDF Original'!B1346)</f>
        <v/>
      </c>
      <c r="C1346" s="19" t="e">
        <f t="shared" si="147"/>
        <v>#VALUE!</v>
      </c>
      <c r="D1346" s="20" t="str">
        <f>IF('DDF Original'!C1346="","",'DDF Original'!C1346)</f>
        <v/>
      </c>
      <c r="E1346" s="24" t="str">
        <f>IF('DDF Original'!B1346="","",IF(TRIM('DDF Original'!I1346)="",0,'DDF Original'!I1346))</f>
        <v/>
      </c>
      <c r="F1346" s="20" t="str">
        <f t="shared" si="148"/>
        <v/>
      </c>
      <c r="G1346" s="37" t="str">
        <f>IF('DDF Original'!B1346="","",IF(TRIM('DDF Original'!P1346)="",0,'DDF Original'!P1346))</f>
        <v/>
      </c>
      <c r="H1346" s="20" t="str">
        <f t="shared" si="149"/>
        <v/>
      </c>
      <c r="I1346" s="25" t="str">
        <f t="shared" si="150"/>
        <v/>
      </c>
      <c r="J1346" s="20" t="str">
        <f t="shared" si="151"/>
        <v/>
      </c>
      <c r="K1346" s="20" t="str">
        <f t="shared" si="152"/>
        <v/>
      </c>
      <c r="L1346" s="20" t="str">
        <f>IF(B1346="","",70*'DDF Original'!$Q$4)</f>
        <v/>
      </c>
      <c r="M1346" s="20" t="str">
        <f t="shared" si="153"/>
        <v/>
      </c>
      <c r="N1346" s="20" t="str">
        <f>IF(AND(OR(B1346="",J1346&gt;G1346,M1346&gt;G1346),'DDF Original'!L1346&lt;&gt; "MI"),G1346,IF(M1346&gt;J1346,M1346,J1346))</f>
        <v/>
      </c>
    </row>
    <row r="1347" spans="2:14" x14ac:dyDescent="0.2">
      <c r="B1347" s="19" t="str">
        <f>IF('DDF Original'!B1347="","",'DDF Original'!B1347)</f>
        <v/>
      </c>
      <c r="C1347" s="19" t="e">
        <f t="shared" si="147"/>
        <v>#VALUE!</v>
      </c>
      <c r="D1347" s="20" t="str">
        <f>IF('DDF Original'!C1347="","",'DDF Original'!C1347)</f>
        <v/>
      </c>
      <c r="E1347" s="24" t="str">
        <f>IF('DDF Original'!B1347="","",IF(TRIM('DDF Original'!I1347)="",0,'DDF Original'!I1347))</f>
        <v/>
      </c>
      <c r="F1347" s="20" t="str">
        <f t="shared" si="148"/>
        <v/>
      </c>
      <c r="G1347" s="37" t="str">
        <f>IF('DDF Original'!B1347="","",IF(TRIM('DDF Original'!P1347)="",0,'DDF Original'!P1347))</f>
        <v/>
      </c>
      <c r="H1347" s="20" t="str">
        <f t="shared" si="149"/>
        <v/>
      </c>
      <c r="I1347" s="25" t="str">
        <f t="shared" si="150"/>
        <v/>
      </c>
      <c r="J1347" s="20" t="str">
        <f t="shared" si="151"/>
        <v/>
      </c>
      <c r="K1347" s="20" t="str">
        <f t="shared" si="152"/>
        <v/>
      </c>
      <c r="L1347" s="20" t="str">
        <f>IF(B1347="","",70*'DDF Original'!$Q$4)</f>
        <v/>
      </c>
      <c r="M1347" s="20" t="str">
        <f t="shared" si="153"/>
        <v/>
      </c>
      <c r="N1347" s="20" t="str">
        <f>IF(AND(OR(B1347="",J1347&gt;G1347,M1347&gt;G1347),'DDF Original'!L1347&lt;&gt; "MI"),G1347,IF(M1347&gt;J1347,M1347,J1347))</f>
        <v/>
      </c>
    </row>
    <row r="1348" spans="2:14" x14ac:dyDescent="0.2">
      <c r="B1348" s="19" t="str">
        <f>IF('DDF Original'!B1348="","",'DDF Original'!B1348)</f>
        <v/>
      </c>
      <c r="C1348" s="19" t="e">
        <f t="shared" si="147"/>
        <v>#VALUE!</v>
      </c>
      <c r="D1348" s="20" t="str">
        <f>IF('DDF Original'!C1348="","",'DDF Original'!C1348)</f>
        <v/>
      </c>
      <c r="E1348" s="24" t="str">
        <f>IF('DDF Original'!B1348="","",IF(TRIM('DDF Original'!I1348)="",0,'DDF Original'!I1348))</f>
        <v/>
      </c>
      <c r="F1348" s="20" t="str">
        <f t="shared" si="148"/>
        <v/>
      </c>
      <c r="G1348" s="37" t="str">
        <f>IF('DDF Original'!B1348="","",IF(TRIM('DDF Original'!P1348)="",0,'DDF Original'!P1348))</f>
        <v/>
      </c>
      <c r="H1348" s="20" t="str">
        <f t="shared" si="149"/>
        <v/>
      </c>
      <c r="I1348" s="25" t="str">
        <f t="shared" si="150"/>
        <v/>
      </c>
      <c r="J1348" s="20" t="str">
        <f t="shared" si="151"/>
        <v/>
      </c>
      <c r="K1348" s="20" t="str">
        <f t="shared" si="152"/>
        <v/>
      </c>
      <c r="L1348" s="20" t="str">
        <f>IF(B1348="","",70*'DDF Original'!$Q$4)</f>
        <v/>
      </c>
      <c r="M1348" s="20" t="str">
        <f t="shared" si="153"/>
        <v/>
      </c>
      <c r="N1348" s="20" t="str">
        <f>IF(AND(OR(B1348="",J1348&gt;G1348,M1348&gt;G1348),'DDF Original'!L1348&lt;&gt; "MI"),G1348,IF(M1348&gt;J1348,M1348,J1348))</f>
        <v/>
      </c>
    </row>
    <row r="1349" spans="2:14" x14ac:dyDescent="0.2">
      <c r="B1349" s="19" t="str">
        <f>IF('DDF Original'!B1349="","",'DDF Original'!B1349)</f>
        <v/>
      </c>
      <c r="C1349" s="19" t="e">
        <f t="shared" si="147"/>
        <v>#VALUE!</v>
      </c>
      <c r="D1349" s="20" t="str">
        <f>IF('DDF Original'!C1349="","",'DDF Original'!C1349)</f>
        <v/>
      </c>
      <c r="E1349" s="24" t="str">
        <f>IF('DDF Original'!B1349="","",IF(TRIM('DDF Original'!I1349)="",0,'DDF Original'!I1349))</f>
        <v/>
      </c>
      <c r="F1349" s="20" t="str">
        <f t="shared" si="148"/>
        <v/>
      </c>
      <c r="G1349" s="37" t="str">
        <f>IF('DDF Original'!B1349="","",IF(TRIM('DDF Original'!P1349)="",0,'DDF Original'!P1349))</f>
        <v/>
      </c>
      <c r="H1349" s="20" t="str">
        <f t="shared" si="149"/>
        <v/>
      </c>
      <c r="I1349" s="25" t="str">
        <f t="shared" si="150"/>
        <v/>
      </c>
      <c r="J1349" s="20" t="str">
        <f t="shared" si="151"/>
        <v/>
      </c>
      <c r="K1349" s="20" t="str">
        <f t="shared" si="152"/>
        <v/>
      </c>
      <c r="L1349" s="20" t="str">
        <f>IF(B1349="","",70*'DDF Original'!$Q$4)</f>
        <v/>
      </c>
      <c r="M1349" s="20" t="str">
        <f t="shared" si="153"/>
        <v/>
      </c>
      <c r="N1349" s="20" t="str">
        <f>IF(AND(OR(B1349="",J1349&gt;G1349,M1349&gt;G1349),'DDF Original'!L1349&lt;&gt; "MI"),G1349,IF(M1349&gt;J1349,M1349,J1349))</f>
        <v/>
      </c>
    </row>
    <row r="1350" spans="2:14" x14ac:dyDescent="0.2">
      <c r="B1350" s="19" t="str">
        <f>IF('DDF Original'!B1350="","",'DDF Original'!B1350)</f>
        <v/>
      </c>
      <c r="C1350" s="19" t="e">
        <f t="shared" si="147"/>
        <v>#VALUE!</v>
      </c>
      <c r="D1350" s="20" t="str">
        <f>IF('DDF Original'!C1350="","",'DDF Original'!C1350)</f>
        <v/>
      </c>
      <c r="E1350" s="24" t="str">
        <f>IF('DDF Original'!B1350="","",IF(TRIM('DDF Original'!I1350)="",0,'DDF Original'!I1350))</f>
        <v/>
      </c>
      <c r="F1350" s="20" t="str">
        <f t="shared" si="148"/>
        <v/>
      </c>
      <c r="G1350" s="37" t="str">
        <f>IF('DDF Original'!B1350="","",IF(TRIM('DDF Original'!P1350)="",0,'DDF Original'!P1350))</f>
        <v/>
      </c>
      <c r="H1350" s="20" t="str">
        <f t="shared" si="149"/>
        <v/>
      </c>
      <c r="I1350" s="25" t="str">
        <f t="shared" si="150"/>
        <v/>
      </c>
      <c r="J1350" s="20" t="str">
        <f t="shared" si="151"/>
        <v/>
      </c>
      <c r="K1350" s="20" t="str">
        <f t="shared" si="152"/>
        <v/>
      </c>
      <c r="L1350" s="20" t="str">
        <f>IF(B1350="","",70*'DDF Original'!$Q$4)</f>
        <v/>
      </c>
      <c r="M1350" s="20" t="str">
        <f t="shared" si="153"/>
        <v/>
      </c>
      <c r="N1350" s="20" t="str">
        <f>IF(AND(OR(B1350="",J1350&gt;G1350,M1350&gt;G1350),'DDF Original'!L1350&lt;&gt; "MI"),G1350,IF(M1350&gt;J1350,M1350,J1350))</f>
        <v/>
      </c>
    </row>
    <row r="1351" spans="2:14" x14ac:dyDescent="0.2">
      <c r="B1351" s="19" t="str">
        <f>IF('DDF Original'!B1351="","",'DDF Original'!B1351)</f>
        <v/>
      </c>
      <c r="C1351" s="19" t="e">
        <f t="shared" si="147"/>
        <v>#VALUE!</v>
      </c>
      <c r="D1351" s="20" t="str">
        <f>IF('DDF Original'!C1351="","",'DDF Original'!C1351)</f>
        <v/>
      </c>
      <c r="E1351" s="24" t="str">
        <f>IF('DDF Original'!B1351="","",IF(TRIM('DDF Original'!I1351)="",0,'DDF Original'!I1351))</f>
        <v/>
      </c>
      <c r="F1351" s="20" t="str">
        <f t="shared" si="148"/>
        <v/>
      </c>
      <c r="G1351" s="37" t="str">
        <f>IF('DDF Original'!B1351="","",IF(TRIM('DDF Original'!P1351)="",0,'DDF Original'!P1351))</f>
        <v/>
      </c>
      <c r="H1351" s="20" t="str">
        <f t="shared" si="149"/>
        <v/>
      </c>
      <c r="I1351" s="25" t="str">
        <f t="shared" si="150"/>
        <v/>
      </c>
      <c r="J1351" s="20" t="str">
        <f t="shared" si="151"/>
        <v/>
      </c>
      <c r="K1351" s="20" t="str">
        <f t="shared" si="152"/>
        <v/>
      </c>
      <c r="L1351" s="20" t="str">
        <f>IF(B1351="","",70*'DDF Original'!$Q$4)</f>
        <v/>
      </c>
      <c r="M1351" s="20" t="str">
        <f t="shared" si="153"/>
        <v/>
      </c>
      <c r="N1351" s="20" t="str">
        <f>IF(AND(OR(B1351="",J1351&gt;G1351,M1351&gt;G1351),'DDF Original'!L1351&lt;&gt; "MI"),G1351,IF(M1351&gt;J1351,M1351,J1351))</f>
        <v/>
      </c>
    </row>
    <row r="1352" spans="2:14" x14ac:dyDescent="0.2">
      <c r="B1352" s="19" t="str">
        <f>IF('DDF Original'!B1352="","",'DDF Original'!B1352)</f>
        <v/>
      </c>
      <c r="C1352" s="19" t="e">
        <f t="shared" si="147"/>
        <v>#VALUE!</v>
      </c>
      <c r="D1352" s="20" t="str">
        <f>IF('DDF Original'!C1352="","",'DDF Original'!C1352)</f>
        <v/>
      </c>
      <c r="E1352" s="24" t="str">
        <f>IF('DDF Original'!B1352="","",IF(TRIM('DDF Original'!I1352)="",0,'DDF Original'!I1352))</f>
        <v/>
      </c>
      <c r="F1352" s="20" t="str">
        <f t="shared" si="148"/>
        <v/>
      </c>
      <c r="G1352" s="37" t="str">
        <f>IF('DDF Original'!B1352="","",IF(TRIM('DDF Original'!P1352)="",0,'DDF Original'!P1352))</f>
        <v/>
      </c>
      <c r="H1352" s="20" t="str">
        <f t="shared" si="149"/>
        <v/>
      </c>
      <c r="I1352" s="25" t="str">
        <f t="shared" si="150"/>
        <v/>
      </c>
      <c r="J1352" s="20" t="str">
        <f t="shared" si="151"/>
        <v/>
      </c>
      <c r="K1352" s="20" t="str">
        <f t="shared" si="152"/>
        <v/>
      </c>
      <c r="L1352" s="20" t="str">
        <f>IF(B1352="","",70*'DDF Original'!$Q$4)</f>
        <v/>
      </c>
      <c r="M1352" s="20" t="str">
        <f t="shared" si="153"/>
        <v/>
      </c>
      <c r="N1352" s="20" t="str">
        <f>IF(AND(OR(B1352="",J1352&gt;G1352,M1352&gt;G1352),'DDF Original'!L1352&lt;&gt; "MI"),G1352,IF(M1352&gt;J1352,M1352,J1352))</f>
        <v/>
      </c>
    </row>
    <row r="1353" spans="2:14" x14ac:dyDescent="0.2">
      <c r="B1353" s="19" t="str">
        <f>IF('DDF Original'!B1353="","",'DDF Original'!B1353)</f>
        <v/>
      </c>
      <c r="C1353" s="19" t="e">
        <f t="shared" si="147"/>
        <v>#VALUE!</v>
      </c>
      <c r="D1353" s="20" t="str">
        <f>IF('DDF Original'!C1353="","",'DDF Original'!C1353)</f>
        <v/>
      </c>
      <c r="E1353" s="24" t="str">
        <f>IF('DDF Original'!B1353="","",IF(TRIM('DDF Original'!I1353)="",0,'DDF Original'!I1353))</f>
        <v/>
      </c>
      <c r="F1353" s="20" t="str">
        <f t="shared" si="148"/>
        <v/>
      </c>
      <c r="G1353" s="37" t="str">
        <f>IF('DDF Original'!B1353="","",IF(TRIM('DDF Original'!P1353)="",0,'DDF Original'!P1353))</f>
        <v/>
      </c>
      <c r="H1353" s="20" t="str">
        <f t="shared" si="149"/>
        <v/>
      </c>
      <c r="I1353" s="25" t="str">
        <f t="shared" si="150"/>
        <v/>
      </c>
      <c r="J1353" s="20" t="str">
        <f t="shared" si="151"/>
        <v/>
      </c>
      <c r="K1353" s="20" t="str">
        <f t="shared" si="152"/>
        <v/>
      </c>
      <c r="L1353" s="20" t="str">
        <f>IF(B1353="","",70*'DDF Original'!$Q$4)</f>
        <v/>
      </c>
      <c r="M1353" s="20" t="str">
        <f t="shared" si="153"/>
        <v/>
      </c>
      <c r="N1353" s="20" t="str">
        <f>IF(AND(OR(B1353="",J1353&gt;G1353,M1353&gt;G1353),'DDF Original'!L1353&lt;&gt; "MI"),G1353,IF(M1353&gt;J1353,M1353,J1353))</f>
        <v/>
      </c>
    </row>
    <row r="1354" spans="2:14" x14ac:dyDescent="0.2">
      <c r="B1354" s="19" t="str">
        <f>IF('DDF Original'!B1354="","",'DDF Original'!B1354)</f>
        <v/>
      </c>
      <c r="C1354" s="19" t="e">
        <f t="shared" si="147"/>
        <v>#VALUE!</v>
      </c>
      <c r="D1354" s="20" t="str">
        <f>IF('DDF Original'!C1354="","",'DDF Original'!C1354)</f>
        <v/>
      </c>
      <c r="E1354" s="24" t="str">
        <f>IF('DDF Original'!B1354="","",IF(TRIM('DDF Original'!I1354)="",0,'DDF Original'!I1354))</f>
        <v/>
      </c>
      <c r="F1354" s="20" t="str">
        <f t="shared" si="148"/>
        <v/>
      </c>
      <c r="G1354" s="37" t="str">
        <f>IF('DDF Original'!B1354="","",IF(TRIM('DDF Original'!P1354)="",0,'DDF Original'!P1354))</f>
        <v/>
      </c>
      <c r="H1354" s="20" t="str">
        <f t="shared" si="149"/>
        <v/>
      </c>
      <c r="I1354" s="25" t="str">
        <f t="shared" si="150"/>
        <v/>
      </c>
      <c r="J1354" s="20" t="str">
        <f t="shared" si="151"/>
        <v/>
      </c>
      <c r="K1354" s="20" t="str">
        <f t="shared" si="152"/>
        <v/>
      </c>
      <c r="L1354" s="20" t="str">
        <f>IF(B1354="","",70*'DDF Original'!$Q$4)</f>
        <v/>
      </c>
      <c r="M1354" s="20" t="str">
        <f t="shared" si="153"/>
        <v/>
      </c>
      <c r="N1354" s="20" t="str">
        <f>IF(AND(OR(B1354="",J1354&gt;G1354,M1354&gt;G1354),'DDF Original'!L1354&lt;&gt; "MI"),G1354,IF(M1354&gt;J1354,M1354,J1354))</f>
        <v/>
      </c>
    </row>
    <row r="1355" spans="2:14" x14ac:dyDescent="0.2">
      <c r="B1355" s="19" t="str">
        <f>IF('DDF Original'!B1355="","",'DDF Original'!B1355)</f>
        <v/>
      </c>
      <c r="C1355" s="19" t="e">
        <f t="shared" si="147"/>
        <v>#VALUE!</v>
      </c>
      <c r="D1355" s="20" t="str">
        <f>IF('DDF Original'!C1355="","",'DDF Original'!C1355)</f>
        <v/>
      </c>
      <c r="E1355" s="24" t="str">
        <f>IF('DDF Original'!B1355="","",IF(TRIM('DDF Original'!I1355)="",0,'DDF Original'!I1355))</f>
        <v/>
      </c>
      <c r="F1355" s="20" t="str">
        <f t="shared" si="148"/>
        <v/>
      </c>
      <c r="G1355" s="37" t="str">
        <f>IF('DDF Original'!B1355="","",IF(TRIM('DDF Original'!P1355)="",0,'DDF Original'!P1355))</f>
        <v/>
      </c>
      <c r="H1355" s="20" t="str">
        <f t="shared" si="149"/>
        <v/>
      </c>
      <c r="I1355" s="25" t="str">
        <f t="shared" si="150"/>
        <v/>
      </c>
      <c r="J1355" s="20" t="str">
        <f t="shared" si="151"/>
        <v/>
      </c>
      <c r="K1355" s="20" t="str">
        <f t="shared" si="152"/>
        <v/>
      </c>
      <c r="L1355" s="20" t="str">
        <f>IF(B1355="","",70*'DDF Original'!$Q$4)</f>
        <v/>
      </c>
      <c r="M1355" s="20" t="str">
        <f t="shared" si="153"/>
        <v/>
      </c>
      <c r="N1355" s="20" t="str">
        <f>IF(AND(OR(B1355="",J1355&gt;G1355,M1355&gt;G1355),'DDF Original'!L1355&lt;&gt; "MI"),G1355,IF(M1355&gt;J1355,M1355,J1355))</f>
        <v/>
      </c>
    </row>
    <row r="1356" spans="2:14" x14ac:dyDescent="0.2">
      <c r="B1356" s="19" t="str">
        <f>IF('DDF Original'!B1356="","",'DDF Original'!B1356)</f>
        <v/>
      </c>
      <c r="C1356" s="19" t="e">
        <f t="shared" si="147"/>
        <v>#VALUE!</v>
      </c>
      <c r="D1356" s="20" t="str">
        <f>IF('DDF Original'!C1356="","",'DDF Original'!C1356)</f>
        <v/>
      </c>
      <c r="E1356" s="24" t="str">
        <f>IF('DDF Original'!B1356="","",IF(TRIM('DDF Original'!I1356)="",0,'DDF Original'!I1356))</f>
        <v/>
      </c>
      <c r="F1356" s="20" t="str">
        <f t="shared" si="148"/>
        <v/>
      </c>
      <c r="G1356" s="37" t="str">
        <f>IF('DDF Original'!B1356="","",IF(TRIM('DDF Original'!P1356)="",0,'DDF Original'!P1356))</f>
        <v/>
      </c>
      <c r="H1356" s="20" t="str">
        <f t="shared" si="149"/>
        <v/>
      </c>
      <c r="I1356" s="25" t="str">
        <f t="shared" si="150"/>
        <v/>
      </c>
      <c r="J1356" s="20" t="str">
        <f t="shared" si="151"/>
        <v/>
      </c>
      <c r="K1356" s="20" t="str">
        <f t="shared" si="152"/>
        <v/>
      </c>
      <c r="L1356" s="20" t="str">
        <f>IF(B1356="","",70*'DDF Original'!$Q$4)</f>
        <v/>
      </c>
      <c r="M1356" s="20" t="str">
        <f t="shared" si="153"/>
        <v/>
      </c>
      <c r="N1356" s="20" t="str">
        <f>IF(AND(OR(B1356="",J1356&gt;G1356,M1356&gt;G1356),'DDF Original'!L1356&lt;&gt; "MI"),G1356,IF(M1356&gt;J1356,M1356,J1356))</f>
        <v/>
      </c>
    </row>
    <row r="1357" spans="2:14" x14ac:dyDescent="0.2">
      <c r="B1357" s="19" t="str">
        <f>IF('DDF Original'!B1357="","",'DDF Original'!B1357)</f>
        <v/>
      </c>
      <c r="C1357" s="19" t="e">
        <f t="shared" si="147"/>
        <v>#VALUE!</v>
      </c>
      <c r="D1357" s="20" t="str">
        <f>IF('DDF Original'!C1357="","",'DDF Original'!C1357)</f>
        <v/>
      </c>
      <c r="E1357" s="24" t="str">
        <f>IF('DDF Original'!B1357="","",IF(TRIM('DDF Original'!I1357)="",0,'DDF Original'!I1357))</f>
        <v/>
      </c>
      <c r="F1357" s="20" t="str">
        <f t="shared" si="148"/>
        <v/>
      </c>
      <c r="G1357" s="37" t="str">
        <f>IF('DDF Original'!B1357="","",IF(TRIM('DDF Original'!P1357)="",0,'DDF Original'!P1357))</f>
        <v/>
      </c>
      <c r="H1357" s="20" t="str">
        <f t="shared" si="149"/>
        <v/>
      </c>
      <c r="I1357" s="25" t="str">
        <f t="shared" si="150"/>
        <v/>
      </c>
      <c r="J1357" s="20" t="str">
        <f t="shared" si="151"/>
        <v/>
      </c>
      <c r="K1357" s="20" t="str">
        <f t="shared" si="152"/>
        <v/>
      </c>
      <c r="L1357" s="20" t="str">
        <f>IF(B1357="","",70*'DDF Original'!$Q$4)</f>
        <v/>
      </c>
      <c r="M1357" s="20" t="str">
        <f t="shared" si="153"/>
        <v/>
      </c>
      <c r="N1357" s="20" t="str">
        <f>IF(AND(OR(B1357="",J1357&gt;G1357,M1357&gt;G1357),'DDF Original'!L1357&lt;&gt; "MI"),G1357,IF(M1357&gt;J1357,M1357,J1357))</f>
        <v/>
      </c>
    </row>
    <row r="1358" spans="2:14" x14ac:dyDescent="0.2">
      <c r="B1358" s="19" t="str">
        <f>IF('DDF Original'!B1358="","",'DDF Original'!B1358)</f>
        <v/>
      </c>
      <c r="C1358" s="19" t="e">
        <f t="shared" si="147"/>
        <v>#VALUE!</v>
      </c>
      <c r="D1358" s="20" t="str">
        <f>IF('DDF Original'!C1358="","",'DDF Original'!C1358)</f>
        <v/>
      </c>
      <c r="E1358" s="24" t="str">
        <f>IF('DDF Original'!B1358="","",IF(TRIM('DDF Original'!I1358)="",0,'DDF Original'!I1358))</f>
        <v/>
      </c>
      <c r="F1358" s="20" t="str">
        <f t="shared" si="148"/>
        <v/>
      </c>
      <c r="G1358" s="37" t="str">
        <f>IF('DDF Original'!B1358="","",IF(TRIM('DDF Original'!P1358)="",0,'DDF Original'!P1358))</f>
        <v/>
      </c>
      <c r="H1358" s="20" t="str">
        <f t="shared" si="149"/>
        <v/>
      </c>
      <c r="I1358" s="25" t="str">
        <f t="shared" si="150"/>
        <v/>
      </c>
      <c r="J1358" s="20" t="str">
        <f t="shared" si="151"/>
        <v/>
      </c>
      <c r="K1358" s="20" t="str">
        <f t="shared" si="152"/>
        <v/>
      </c>
      <c r="L1358" s="20" t="str">
        <f>IF(B1358="","",70*'DDF Original'!$Q$4)</f>
        <v/>
      </c>
      <c r="M1358" s="20" t="str">
        <f t="shared" si="153"/>
        <v/>
      </c>
      <c r="N1358" s="20" t="str">
        <f>IF(AND(OR(B1358="",J1358&gt;G1358,M1358&gt;G1358),'DDF Original'!L1358&lt;&gt; "MI"),G1358,IF(M1358&gt;J1358,M1358,J1358))</f>
        <v/>
      </c>
    </row>
    <row r="1359" spans="2:14" x14ac:dyDescent="0.2">
      <c r="B1359" s="19" t="str">
        <f>IF('DDF Original'!B1359="","",'DDF Original'!B1359)</f>
        <v/>
      </c>
      <c r="C1359" s="19" t="e">
        <f t="shared" si="147"/>
        <v>#VALUE!</v>
      </c>
      <c r="D1359" s="20" t="str">
        <f>IF('DDF Original'!C1359="","",'DDF Original'!C1359)</f>
        <v/>
      </c>
      <c r="E1359" s="24" t="str">
        <f>IF('DDF Original'!B1359="","",IF(TRIM('DDF Original'!I1359)="",0,'DDF Original'!I1359))</f>
        <v/>
      </c>
      <c r="F1359" s="20" t="str">
        <f t="shared" si="148"/>
        <v/>
      </c>
      <c r="G1359" s="37" t="str">
        <f>IF('DDF Original'!B1359="","",IF(TRIM('DDF Original'!P1359)="",0,'DDF Original'!P1359))</f>
        <v/>
      </c>
      <c r="H1359" s="20" t="str">
        <f t="shared" si="149"/>
        <v/>
      </c>
      <c r="I1359" s="25" t="str">
        <f t="shared" si="150"/>
        <v/>
      </c>
      <c r="J1359" s="20" t="str">
        <f t="shared" si="151"/>
        <v/>
      </c>
      <c r="K1359" s="20" t="str">
        <f t="shared" si="152"/>
        <v/>
      </c>
      <c r="L1359" s="20" t="str">
        <f>IF(B1359="","",70*'DDF Original'!$Q$4)</f>
        <v/>
      </c>
      <c r="M1359" s="20" t="str">
        <f t="shared" si="153"/>
        <v/>
      </c>
      <c r="N1359" s="20" t="str">
        <f>IF(AND(OR(B1359="",J1359&gt;G1359,M1359&gt;G1359),'DDF Original'!L1359&lt;&gt; "MI"),G1359,IF(M1359&gt;J1359,M1359,J1359))</f>
        <v/>
      </c>
    </row>
    <row r="1360" spans="2:14" x14ac:dyDescent="0.2">
      <c r="B1360" s="19" t="str">
        <f>IF('DDF Original'!B1360="","",'DDF Original'!B1360)</f>
        <v/>
      </c>
      <c r="C1360" s="19" t="e">
        <f t="shared" si="147"/>
        <v>#VALUE!</v>
      </c>
      <c r="D1360" s="20" t="str">
        <f>IF('DDF Original'!C1360="","",'DDF Original'!C1360)</f>
        <v/>
      </c>
      <c r="E1360" s="24" t="str">
        <f>IF('DDF Original'!B1360="","",IF(TRIM('DDF Original'!I1360)="",0,'DDF Original'!I1360))</f>
        <v/>
      </c>
      <c r="F1360" s="20" t="str">
        <f t="shared" si="148"/>
        <v/>
      </c>
      <c r="G1360" s="37" t="str">
        <f>IF('DDF Original'!B1360="","",IF(TRIM('DDF Original'!P1360)="",0,'DDF Original'!P1360))</f>
        <v/>
      </c>
      <c r="H1360" s="20" t="str">
        <f t="shared" si="149"/>
        <v/>
      </c>
      <c r="I1360" s="25" t="str">
        <f t="shared" si="150"/>
        <v/>
      </c>
      <c r="J1360" s="20" t="str">
        <f t="shared" si="151"/>
        <v/>
      </c>
      <c r="K1360" s="20" t="str">
        <f t="shared" si="152"/>
        <v/>
      </c>
      <c r="L1360" s="20" t="str">
        <f>IF(B1360="","",70*'DDF Original'!$Q$4)</f>
        <v/>
      </c>
      <c r="M1360" s="20" t="str">
        <f t="shared" si="153"/>
        <v/>
      </c>
      <c r="N1360" s="20" t="str">
        <f>IF(AND(OR(B1360="",J1360&gt;G1360,M1360&gt;G1360),'DDF Original'!L1360&lt;&gt; "MI"),G1360,IF(M1360&gt;J1360,M1360,J1360))</f>
        <v/>
      </c>
    </row>
    <row r="1361" spans="2:14" x14ac:dyDescent="0.2">
      <c r="B1361" s="19" t="str">
        <f>IF('DDF Original'!B1361="","",'DDF Original'!B1361)</f>
        <v/>
      </c>
      <c r="C1361" s="19" t="e">
        <f t="shared" si="147"/>
        <v>#VALUE!</v>
      </c>
      <c r="D1361" s="20" t="str">
        <f>IF('DDF Original'!C1361="","",'DDF Original'!C1361)</f>
        <v/>
      </c>
      <c r="E1361" s="24" t="str">
        <f>IF('DDF Original'!B1361="","",IF(TRIM('DDF Original'!I1361)="",0,'DDF Original'!I1361))</f>
        <v/>
      </c>
      <c r="F1361" s="20" t="str">
        <f t="shared" si="148"/>
        <v/>
      </c>
      <c r="G1361" s="37" t="str">
        <f>IF('DDF Original'!B1361="","",IF(TRIM('DDF Original'!P1361)="",0,'DDF Original'!P1361))</f>
        <v/>
      </c>
      <c r="H1361" s="20" t="str">
        <f t="shared" si="149"/>
        <v/>
      </c>
      <c r="I1361" s="25" t="str">
        <f t="shared" si="150"/>
        <v/>
      </c>
      <c r="J1361" s="20" t="str">
        <f t="shared" si="151"/>
        <v/>
      </c>
      <c r="K1361" s="20" t="str">
        <f t="shared" si="152"/>
        <v/>
      </c>
      <c r="L1361" s="20" t="str">
        <f>IF(B1361="","",70*'DDF Original'!$Q$4)</f>
        <v/>
      </c>
      <c r="M1361" s="20" t="str">
        <f t="shared" si="153"/>
        <v/>
      </c>
      <c r="N1361" s="20" t="str">
        <f>IF(AND(OR(B1361="",J1361&gt;G1361,M1361&gt;G1361),'DDF Original'!L1361&lt;&gt; "MI"),G1361,IF(M1361&gt;J1361,M1361,J1361))</f>
        <v/>
      </c>
    </row>
    <row r="1362" spans="2:14" x14ac:dyDescent="0.2">
      <c r="B1362" s="19" t="str">
        <f>IF('DDF Original'!B1362="","",'DDF Original'!B1362)</f>
        <v/>
      </c>
      <c r="C1362" s="19" t="e">
        <f t="shared" si="147"/>
        <v>#VALUE!</v>
      </c>
      <c r="D1362" s="20" t="str">
        <f>IF('DDF Original'!C1362="","",'DDF Original'!C1362)</f>
        <v/>
      </c>
      <c r="E1362" s="24" t="str">
        <f>IF('DDF Original'!B1362="","",IF(TRIM('DDF Original'!I1362)="",0,'DDF Original'!I1362))</f>
        <v/>
      </c>
      <c r="F1362" s="20" t="str">
        <f t="shared" si="148"/>
        <v/>
      </c>
      <c r="G1362" s="37" t="str">
        <f>IF('DDF Original'!B1362="","",IF(TRIM('DDF Original'!P1362)="",0,'DDF Original'!P1362))</f>
        <v/>
      </c>
      <c r="H1362" s="20" t="str">
        <f t="shared" si="149"/>
        <v/>
      </c>
      <c r="I1362" s="25" t="str">
        <f t="shared" si="150"/>
        <v/>
      </c>
      <c r="J1362" s="20" t="str">
        <f t="shared" si="151"/>
        <v/>
      </c>
      <c r="K1362" s="20" t="str">
        <f t="shared" si="152"/>
        <v/>
      </c>
      <c r="L1362" s="20" t="str">
        <f>IF(B1362="","",70*'DDF Original'!$Q$4)</f>
        <v/>
      </c>
      <c r="M1362" s="20" t="str">
        <f t="shared" si="153"/>
        <v/>
      </c>
      <c r="N1362" s="20" t="str">
        <f>IF(AND(OR(B1362="",J1362&gt;G1362,M1362&gt;G1362),'DDF Original'!L1362&lt;&gt; "MI"),G1362,IF(M1362&gt;J1362,M1362,J1362))</f>
        <v/>
      </c>
    </row>
    <row r="1363" spans="2:14" x14ac:dyDescent="0.2">
      <c r="B1363" s="19" t="str">
        <f>IF('DDF Original'!B1363="","",'DDF Original'!B1363)</f>
        <v/>
      </c>
      <c r="C1363" s="19" t="e">
        <f t="shared" si="147"/>
        <v>#VALUE!</v>
      </c>
      <c r="D1363" s="20" t="str">
        <f>IF('DDF Original'!C1363="","",'DDF Original'!C1363)</f>
        <v/>
      </c>
      <c r="E1363" s="24" t="str">
        <f>IF('DDF Original'!B1363="","",IF(TRIM('DDF Original'!I1363)="",0,'DDF Original'!I1363))</f>
        <v/>
      </c>
      <c r="F1363" s="20" t="str">
        <f t="shared" si="148"/>
        <v/>
      </c>
      <c r="G1363" s="37" t="str">
        <f>IF('DDF Original'!B1363="","",IF(TRIM('DDF Original'!P1363)="",0,'DDF Original'!P1363))</f>
        <v/>
      </c>
      <c r="H1363" s="20" t="str">
        <f t="shared" si="149"/>
        <v/>
      </c>
      <c r="I1363" s="25" t="str">
        <f t="shared" si="150"/>
        <v/>
      </c>
      <c r="J1363" s="20" t="str">
        <f t="shared" si="151"/>
        <v/>
      </c>
      <c r="K1363" s="20" t="str">
        <f t="shared" si="152"/>
        <v/>
      </c>
      <c r="L1363" s="20" t="str">
        <f>IF(B1363="","",70*'DDF Original'!$Q$4)</f>
        <v/>
      </c>
      <c r="M1363" s="20" t="str">
        <f t="shared" si="153"/>
        <v/>
      </c>
      <c r="N1363" s="20" t="str">
        <f>IF(AND(OR(B1363="",J1363&gt;G1363,M1363&gt;G1363),'DDF Original'!L1363&lt;&gt; "MI"),G1363,IF(M1363&gt;J1363,M1363,J1363))</f>
        <v/>
      </c>
    </row>
    <row r="1364" spans="2:14" x14ac:dyDescent="0.2">
      <c r="B1364" s="19" t="str">
        <f>IF('DDF Original'!B1364="","",'DDF Original'!B1364)</f>
        <v/>
      </c>
      <c r="C1364" s="19" t="e">
        <f t="shared" si="147"/>
        <v>#VALUE!</v>
      </c>
      <c r="D1364" s="20" t="str">
        <f>IF('DDF Original'!C1364="","",'DDF Original'!C1364)</f>
        <v/>
      </c>
      <c r="E1364" s="24" t="str">
        <f>IF('DDF Original'!B1364="","",IF(TRIM('DDF Original'!I1364)="",0,'DDF Original'!I1364))</f>
        <v/>
      </c>
      <c r="F1364" s="20" t="str">
        <f t="shared" si="148"/>
        <v/>
      </c>
      <c r="G1364" s="37" t="str">
        <f>IF('DDF Original'!B1364="","",IF(TRIM('DDF Original'!P1364)="",0,'DDF Original'!P1364))</f>
        <v/>
      </c>
      <c r="H1364" s="20" t="str">
        <f t="shared" si="149"/>
        <v/>
      </c>
      <c r="I1364" s="25" t="str">
        <f t="shared" si="150"/>
        <v/>
      </c>
      <c r="J1364" s="20" t="str">
        <f t="shared" si="151"/>
        <v/>
      </c>
      <c r="K1364" s="20" t="str">
        <f t="shared" si="152"/>
        <v/>
      </c>
      <c r="L1364" s="20" t="str">
        <f>IF(B1364="","",70*'DDF Original'!$Q$4)</f>
        <v/>
      </c>
      <c r="M1364" s="20" t="str">
        <f t="shared" si="153"/>
        <v/>
      </c>
      <c r="N1364" s="20" t="str">
        <f>IF(AND(OR(B1364="",J1364&gt;G1364,M1364&gt;G1364),'DDF Original'!L1364&lt;&gt; "MI"),G1364,IF(M1364&gt;J1364,M1364,J1364))</f>
        <v/>
      </c>
    </row>
    <row r="1365" spans="2:14" x14ac:dyDescent="0.2">
      <c r="B1365" s="19" t="str">
        <f>IF('DDF Original'!B1365="","",'DDF Original'!B1365)</f>
        <v/>
      </c>
      <c r="C1365" s="19" t="e">
        <f t="shared" si="147"/>
        <v>#VALUE!</v>
      </c>
      <c r="D1365" s="20" t="str">
        <f>IF('DDF Original'!C1365="","",'DDF Original'!C1365)</f>
        <v/>
      </c>
      <c r="E1365" s="24" t="str">
        <f>IF('DDF Original'!B1365="","",IF(TRIM('DDF Original'!I1365)="",0,'DDF Original'!I1365))</f>
        <v/>
      </c>
      <c r="F1365" s="20" t="str">
        <f t="shared" si="148"/>
        <v/>
      </c>
      <c r="G1365" s="37" t="str">
        <f>IF('DDF Original'!B1365="","",IF(TRIM('DDF Original'!P1365)="",0,'DDF Original'!P1365))</f>
        <v/>
      </c>
      <c r="H1365" s="20" t="str">
        <f t="shared" si="149"/>
        <v/>
      </c>
      <c r="I1365" s="25" t="str">
        <f t="shared" si="150"/>
        <v/>
      </c>
      <c r="J1365" s="20" t="str">
        <f t="shared" si="151"/>
        <v/>
      </c>
      <c r="K1365" s="20" t="str">
        <f t="shared" si="152"/>
        <v/>
      </c>
      <c r="L1365" s="20" t="str">
        <f>IF(B1365="","",70*'DDF Original'!$Q$4)</f>
        <v/>
      </c>
      <c r="M1365" s="20" t="str">
        <f t="shared" si="153"/>
        <v/>
      </c>
      <c r="N1365" s="20" t="str">
        <f>IF(AND(OR(B1365="",J1365&gt;G1365,M1365&gt;G1365),'DDF Original'!L1365&lt;&gt; "MI"),G1365,IF(M1365&gt;J1365,M1365,J1365))</f>
        <v/>
      </c>
    </row>
    <row r="1366" spans="2:14" x14ac:dyDescent="0.2">
      <c r="B1366" s="19" t="str">
        <f>IF('DDF Original'!B1366="","",'DDF Original'!B1366)</f>
        <v/>
      </c>
      <c r="C1366" s="19" t="e">
        <f t="shared" si="147"/>
        <v>#VALUE!</v>
      </c>
      <c r="D1366" s="20" t="str">
        <f>IF('DDF Original'!C1366="","",'DDF Original'!C1366)</f>
        <v/>
      </c>
      <c r="E1366" s="24" t="str">
        <f>IF('DDF Original'!B1366="","",IF(TRIM('DDF Original'!I1366)="",0,'DDF Original'!I1366))</f>
        <v/>
      </c>
      <c r="F1366" s="20" t="str">
        <f t="shared" si="148"/>
        <v/>
      </c>
      <c r="G1366" s="37" t="str">
        <f>IF('DDF Original'!B1366="","",IF(TRIM('DDF Original'!P1366)="",0,'DDF Original'!P1366))</f>
        <v/>
      </c>
      <c r="H1366" s="20" t="str">
        <f t="shared" si="149"/>
        <v/>
      </c>
      <c r="I1366" s="25" t="str">
        <f t="shared" si="150"/>
        <v/>
      </c>
      <c r="J1366" s="20" t="str">
        <f t="shared" si="151"/>
        <v/>
      </c>
      <c r="K1366" s="20" t="str">
        <f t="shared" si="152"/>
        <v/>
      </c>
      <c r="L1366" s="20" t="str">
        <f>IF(B1366="","",70*'DDF Original'!$Q$4)</f>
        <v/>
      </c>
      <c r="M1366" s="20" t="str">
        <f t="shared" si="153"/>
        <v/>
      </c>
      <c r="N1366" s="20" t="str">
        <f>IF(AND(OR(B1366="",J1366&gt;G1366,M1366&gt;G1366),'DDF Original'!L1366&lt;&gt; "MI"),G1366,IF(M1366&gt;J1366,M1366,J1366))</f>
        <v/>
      </c>
    </row>
    <row r="1367" spans="2:14" x14ac:dyDescent="0.2">
      <c r="B1367" s="19" t="str">
        <f>IF('DDF Original'!B1367="","",'DDF Original'!B1367)</f>
        <v/>
      </c>
      <c r="C1367" s="19" t="e">
        <f t="shared" si="147"/>
        <v>#VALUE!</v>
      </c>
      <c r="D1367" s="20" t="str">
        <f>IF('DDF Original'!C1367="","",'DDF Original'!C1367)</f>
        <v/>
      </c>
      <c r="E1367" s="24" t="str">
        <f>IF('DDF Original'!B1367="","",IF(TRIM('DDF Original'!I1367)="",0,'DDF Original'!I1367))</f>
        <v/>
      </c>
      <c r="F1367" s="20" t="str">
        <f t="shared" si="148"/>
        <v/>
      </c>
      <c r="G1367" s="37" t="str">
        <f>IF('DDF Original'!B1367="","",IF(TRIM('DDF Original'!P1367)="",0,'DDF Original'!P1367))</f>
        <v/>
      </c>
      <c r="H1367" s="20" t="str">
        <f t="shared" si="149"/>
        <v/>
      </c>
      <c r="I1367" s="25" t="str">
        <f t="shared" si="150"/>
        <v/>
      </c>
      <c r="J1367" s="20" t="str">
        <f t="shared" si="151"/>
        <v/>
      </c>
      <c r="K1367" s="20" t="str">
        <f t="shared" si="152"/>
        <v/>
      </c>
      <c r="L1367" s="20" t="str">
        <f>IF(B1367="","",70*'DDF Original'!$Q$4)</f>
        <v/>
      </c>
      <c r="M1367" s="20" t="str">
        <f t="shared" si="153"/>
        <v/>
      </c>
      <c r="N1367" s="20" t="str">
        <f>IF(AND(OR(B1367="",J1367&gt;G1367,M1367&gt;G1367),'DDF Original'!L1367&lt;&gt; "MI"),G1367,IF(M1367&gt;J1367,M1367,J1367))</f>
        <v/>
      </c>
    </row>
    <row r="1368" spans="2:14" x14ac:dyDescent="0.2">
      <c r="B1368" s="19" t="str">
        <f>IF('DDF Original'!B1368="","",'DDF Original'!B1368)</f>
        <v/>
      </c>
      <c r="C1368" s="19" t="e">
        <f t="shared" si="147"/>
        <v>#VALUE!</v>
      </c>
      <c r="D1368" s="20" t="str">
        <f>IF('DDF Original'!C1368="","",'DDF Original'!C1368)</f>
        <v/>
      </c>
      <c r="E1368" s="24" t="str">
        <f>IF('DDF Original'!B1368="","",IF(TRIM('DDF Original'!I1368)="",0,'DDF Original'!I1368))</f>
        <v/>
      </c>
      <c r="F1368" s="20" t="str">
        <f t="shared" si="148"/>
        <v/>
      </c>
      <c r="G1368" s="37" t="str">
        <f>IF('DDF Original'!B1368="","",IF(TRIM('DDF Original'!P1368)="",0,'DDF Original'!P1368))</f>
        <v/>
      </c>
      <c r="H1368" s="20" t="str">
        <f t="shared" si="149"/>
        <v/>
      </c>
      <c r="I1368" s="25" t="str">
        <f t="shared" si="150"/>
        <v/>
      </c>
      <c r="J1368" s="20" t="str">
        <f t="shared" si="151"/>
        <v/>
      </c>
      <c r="K1368" s="20" t="str">
        <f t="shared" si="152"/>
        <v/>
      </c>
      <c r="L1368" s="20" t="str">
        <f>IF(B1368="","",70*'DDF Original'!$Q$4)</f>
        <v/>
      </c>
      <c r="M1368" s="20" t="str">
        <f t="shared" si="153"/>
        <v/>
      </c>
      <c r="N1368" s="20" t="str">
        <f>IF(AND(OR(B1368="",J1368&gt;G1368,M1368&gt;G1368),'DDF Original'!L1368&lt;&gt; "MI"),G1368,IF(M1368&gt;J1368,M1368,J1368))</f>
        <v/>
      </c>
    </row>
    <row r="1369" spans="2:14" x14ac:dyDescent="0.2">
      <c r="B1369" s="19" t="str">
        <f>IF('DDF Original'!B1369="","",'DDF Original'!B1369)</f>
        <v/>
      </c>
      <c r="C1369" s="19" t="e">
        <f t="shared" si="147"/>
        <v>#VALUE!</v>
      </c>
      <c r="D1369" s="20" t="str">
        <f>IF('DDF Original'!C1369="","",'DDF Original'!C1369)</f>
        <v/>
      </c>
      <c r="E1369" s="24" t="str">
        <f>IF('DDF Original'!B1369="","",IF(TRIM('DDF Original'!I1369)="",0,'DDF Original'!I1369))</f>
        <v/>
      </c>
      <c r="F1369" s="20" t="str">
        <f t="shared" si="148"/>
        <v/>
      </c>
      <c r="G1369" s="37" t="str">
        <f>IF('DDF Original'!B1369="","",IF(TRIM('DDF Original'!P1369)="",0,'DDF Original'!P1369))</f>
        <v/>
      </c>
      <c r="H1369" s="20" t="str">
        <f t="shared" si="149"/>
        <v/>
      </c>
      <c r="I1369" s="25" t="str">
        <f t="shared" si="150"/>
        <v/>
      </c>
      <c r="J1369" s="20" t="str">
        <f t="shared" si="151"/>
        <v/>
      </c>
      <c r="K1369" s="20" t="str">
        <f t="shared" si="152"/>
        <v/>
      </c>
      <c r="L1369" s="20" t="str">
        <f>IF(B1369="","",70*'DDF Original'!$Q$4)</f>
        <v/>
      </c>
      <c r="M1369" s="20" t="str">
        <f t="shared" si="153"/>
        <v/>
      </c>
      <c r="N1369" s="20" t="str">
        <f>IF(AND(OR(B1369="",J1369&gt;G1369,M1369&gt;G1369),'DDF Original'!L1369&lt;&gt; "MI"),G1369,IF(M1369&gt;J1369,M1369,J1369))</f>
        <v/>
      </c>
    </row>
    <row r="1370" spans="2:14" x14ac:dyDescent="0.2">
      <c r="B1370" s="19" t="str">
        <f>IF('DDF Original'!B1370="","",'DDF Original'!B1370)</f>
        <v/>
      </c>
      <c r="C1370" s="19" t="e">
        <f t="shared" si="147"/>
        <v>#VALUE!</v>
      </c>
      <c r="D1370" s="20" t="str">
        <f>IF('DDF Original'!C1370="","",'DDF Original'!C1370)</f>
        <v/>
      </c>
      <c r="E1370" s="24" t="str">
        <f>IF('DDF Original'!B1370="","",IF(TRIM('DDF Original'!I1370)="",0,'DDF Original'!I1370))</f>
        <v/>
      </c>
      <c r="F1370" s="20" t="str">
        <f t="shared" si="148"/>
        <v/>
      </c>
      <c r="G1370" s="37" t="str">
        <f>IF('DDF Original'!B1370="","",IF(TRIM('DDF Original'!P1370)="",0,'DDF Original'!P1370))</f>
        <v/>
      </c>
      <c r="H1370" s="20" t="str">
        <f t="shared" si="149"/>
        <v/>
      </c>
      <c r="I1370" s="25" t="str">
        <f t="shared" si="150"/>
        <v/>
      </c>
      <c r="J1370" s="20" t="str">
        <f t="shared" si="151"/>
        <v/>
      </c>
      <c r="K1370" s="20" t="str">
        <f t="shared" si="152"/>
        <v/>
      </c>
      <c r="L1370" s="20" t="str">
        <f>IF(B1370="","",70*'DDF Original'!$Q$4)</f>
        <v/>
      </c>
      <c r="M1370" s="20" t="str">
        <f t="shared" si="153"/>
        <v/>
      </c>
      <c r="N1370" s="20" t="str">
        <f>IF(AND(OR(B1370="",J1370&gt;G1370,M1370&gt;G1370),'DDF Original'!L1370&lt;&gt; "MI"),G1370,IF(M1370&gt;J1370,M1370,J1370))</f>
        <v/>
      </c>
    </row>
    <row r="1371" spans="2:14" x14ac:dyDescent="0.2">
      <c r="B1371" s="19" t="str">
        <f>IF('DDF Original'!B1371="","",'DDF Original'!B1371)</f>
        <v/>
      </c>
      <c r="C1371" s="19" t="e">
        <f t="shared" si="147"/>
        <v>#VALUE!</v>
      </c>
      <c r="D1371" s="20" t="str">
        <f>IF('DDF Original'!C1371="","",'DDF Original'!C1371)</f>
        <v/>
      </c>
      <c r="E1371" s="24" t="str">
        <f>IF('DDF Original'!B1371="","",IF(TRIM('DDF Original'!I1371)="",0,'DDF Original'!I1371))</f>
        <v/>
      </c>
      <c r="F1371" s="20" t="str">
        <f t="shared" si="148"/>
        <v/>
      </c>
      <c r="G1371" s="37" t="str">
        <f>IF('DDF Original'!B1371="","",IF(TRIM('DDF Original'!P1371)="",0,'DDF Original'!P1371))</f>
        <v/>
      </c>
      <c r="H1371" s="20" t="str">
        <f t="shared" si="149"/>
        <v/>
      </c>
      <c r="I1371" s="25" t="str">
        <f t="shared" si="150"/>
        <v/>
      </c>
      <c r="J1371" s="20" t="str">
        <f t="shared" si="151"/>
        <v/>
      </c>
      <c r="K1371" s="20" t="str">
        <f t="shared" si="152"/>
        <v/>
      </c>
      <c r="L1371" s="20" t="str">
        <f>IF(B1371="","",70*'DDF Original'!$Q$4)</f>
        <v/>
      </c>
      <c r="M1371" s="20" t="str">
        <f t="shared" si="153"/>
        <v/>
      </c>
      <c r="N1371" s="20" t="str">
        <f>IF(AND(OR(B1371="",J1371&gt;G1371,M1371&gt;G1371),'DDF Original'!L1371&lt;&gt; "MI"),G1371,IF(M1371&gt;J1371,M1371,J1371))</f>
        <v/>
      </c>
    </row>
    <row r="1372" spans="2:14" x14ac:dyDescent="0.2">
      <c r="B1372" s="19" t="str">
        <f>IF('DDF Original'!B1372="","",'DDF Original'!B1372)</f>
        <v/>
      </c>
      <c r="C1372" s="19" t="e">
        <f t="shared" si="147"/>
        <v>#VALUE!</v>
      </c>
      <c r="D1372" s="20" t="str">
        <f>IF('DDF Original'!C1372="","",'DDF Original'!C1372)</f>
        <v/>
      </c>
      <c r="E1372" s="24" t="str">
        <f>IF('DDF Original'!B1372="","",IF(TRIM('DDF Original'!I1372)="",0,'DDF Original'!I1372))</f>
        <v/>
      </c>
      <c r="F1372" s="20" t="str">
        <f t="shared" si="148"/>
        <v/>
      </c>
      <c r="G1372" s="37" t="str">
        <f>IF('DDF Original'!B1372="","",IF(TRIM('DDF Original'!P1372)="",0,'DDF Original'!P1372))</f>
        <v/>
      </c>
      <c r="H1372" s="20" t="str">
        <f t="shared" si="149"/>
        <v/>
      </c>
      <c r="I1372" s="25" t="str">
        <f t="shared" si="150"/>
        <v/>
      </c>
      <c r="J1372" s="20" t="str">
        <f t="shared" si="151"/>
        <v/>
      </c>
      <c r="K1372" s="20" t="str">
        <f t="shared" si="152"/>
        <v/>
      </c>
      <c r="L1372" s="20" t="str">
        <f>IF(B1372="","",70*'DDF Original'!$Q$4)</f>
        <v/>
      </c>
      <c r="M1372" s="20" t="str">
        <f t="shared" si="153"/>
        <v/>
      </c>
      <c r="N1372" s="20" t="str">
        <f>IF(AND(OR(B1372="",J1372&gt;G1372,M1372&gt;G1372),'DDF Original'!L1372&lt;&gt; "MI"),G1372,IF(M1372&gt;J1372,M1372,J1372))</f>
        <v/>
      </c>
    </row>
    <row r="1373" spans="2:14" x14ac:dyDescent="0.2">
      <c r="B1373" s="19" t="str">
        <f>IF('DDF Original'!B1373="","",'DDF Original'!B1373)</f>
        <v/>
      </c>
      <c r="C1373" s="19" t="e">
        <f t="shared" si="147"/>
        <v>#VALUE!</v>
      </c>
      <c r="D1373" s="20" t="str">
        <f>IF('DDF Original'!C1373="","",'DDF Original'!C1373)</f>
        <v/>
      </c>
      <c r="E1373" s="24" t="str">
        <f>IF('DDF Original'!B1373="","",IF(TRIM('DDF Original'!I1373)="",0,'DDF Original'!I1373))</f>
        <v/>
      </c>
      <c r="F1373" s="20" t="str">
        <f t="shared" si="148"/>
        <v/>
      </c>
      <c r="G1373" s="37" t="str">
        <f>IF('DDF Original'!B1373="","",IF(TRIM('DDF Original'!P1373)="",0,'DDF Original'!P1373))</f>
        <v/>
      </c>
      <c r="H1373" s="20" t="str">
        <f t="shared" si="149"/>
        <v/>
      </c>
      <c r="I1373" s="25" t="str">
        <f t="shared" si="150"/>
        <v/>
      </c>
      <c r="J1373" s="20" t="str">
        <f t="shared" si="151"/>
        <v/>
      </c>
      <c r="K1373" s="20" t="str">
        <f t="shared" si="152"/>
        <v/>
      </c>
      <c r="L1373" s="20" t="str">
        <f>IF(B1373="","",70*'DDF Original'!$Q$4)</f>
        <v/>
      </c>
      <c r="M1373" s="20" t="str">
        <f t="shared" si="153"/>
        <v/>
      </c>
      <c r="N1373" s="20" t="str">
        <f>IF(AND(OR(B1373="",J1373&gt;G1373,M1373&gt;G1373),'DDF Original'!L1373&lt;&gt; "MI"),G1373,IF(M1373&gt;J1373,M1373,J1373))</f>
        <v/>
      </c>
    </row>
    <row r="1374" spans="2:14" x14ac:dyDescent="0.2">
      <c r="B1374" s="19" t="str">
        <f>IF('DDF Original'!B1374="","",'DDF Original'!B1374)</f>
        <v/>
      </c>
      <c r="C1374" s="19" t="e">
        <f t="shared" si="147"/>
        <v>#VALUE!</v>
      </c>
      <c r="D1374" s="20" t="str">
        <f>IF('DDF Original'!C1374="","",'DDF Original'!C1374)</f>
        <v/>
      </c>
      <c r="E1374" s="24" t="str">
        <f>IF('DDF Original'!B1374="","",IF(TRIM('DDF Original'!I1374)="",0,'DDF Original'!I1374))</f>
        <v/>
      </c>
      <c r="F1374" s="20" t="str">
        <f t="shared" si="148"/>
        <v/>
      </c>
      <c r="G1374" s="37" t="str">
        <f>IF('DDF Original'!B1374="","",IF(TRIM('DDF Original'!P1374)="",0,'DDF Original'!P1374))</f>
        <v/>
      </c>
      <c r="H1374" s="20" t="str">
        <f t="shared" si="149"/>
        <v/>
      </c>
      <c r="I1374" s="25" t="str">
        <f t="shared" si="150"/>
        <v/>
      </c>
      <c r="J1374" s="20" t="str">
        <f t="shared" si="151"/>
        <v/>
      </c>
      <c r="K1374" s="20" t="str">
        <f t="shared" si="152"/>
        <v/>
      </c>
      <c r="L1374" s="20" t="str">
        <f>IF(B1374="","",70*'DDF Original'!$Q$4)</f>
        <v/>
      </c>
      <c r="M1374" s="20" t="str">
        <f t="shared" si="153"/>
        <v/>
      </c>
      <c r="N1374" s="20" t="str">
        <f>IF(AND(OR(B1374="",J1374&gt;G1374,M1374&gt;G1374),'DDF Original'!L1374&lt;&gt; "MI"),G1374,IF(M1374&gt;J1374,M1374,J1374))</f>
        <v/>
      </c>
    </row>
    <row r="1375" spans="2:14" x14ac:dyDescent="0.2">
      <c r="B1375" s="19" t="str">
        <f>IF('DDF Original'!B1375="","",'DDF Original'!B1375)</f>
        <v/>
      </c>
      <c r="C1375" s="19" t="e">
        <f t="shared" si="147"/>
        <v>#VALUE!</v>
      </c>
      <c r="D1375" s="20" t="str">
        <f>IF('DDF Original'!C1375="","",'DDF Original'!C1375)</f>
        <v/>
      </c>
      <c r="E1375" s="24" t="str">
        <f>IF('DDF Original'!B1375="","",IF(TRIM('DDF Original'!I1375)="",0,'DDF Original'!I1375))</f>
        <v/>
      </c>
      <c r="F1375" s="20" t="str">
        <f t="shared" si="148"/>
        <v/>
      </c>
      <c r="G1375" s="37" t="str">
        <f>IF('DDF Original'!B1375="","",IF(TRIM('DDF Original'!P1375)="",0,'DDF Original'!P1375))</f>
        <v/>
      </c>
      <c r="H1375" s="20" t="str">
        <f t="shared" si="149"/>
        <v/>
      </c>
      <c r="I1375" s="25" t="str">
        <f t="shared" si="150"/>
        <v/>
      </c>
      <c r="J1375" s="20" t="str">
        <f t="shared" si="151"/>
        <v/>
      </c>
      <c r="K1375" s="20" t="str">
        <f t="shared" si="152"/>
        <v/>
      </c>
      <c r="L1375" s="20" t="str">
        <f>IF(B1375="","",70*'DDF Original'!$Q$4)</f>
        <v/>
      </c>
      <c r="M1375" s="20" t="str">
        <f t="shared" si="153"/>
        <v/>
      </c>
      <c r="N1375" s="20" t="str">
        <f>IF(AND(OR(B1375="",J1375&gt;G1375,M1375&gt;G1375),'DDF Original'!L1375&lt;&gt; "MI"),G1375,IF(M1375&gt;J1375,M1375,J1375))</f>
        <v/>
      </c>
    </row>
    <row r="1376" spans="2:14" x14ac:dyDescent="0.2">
      <c r="B1376" s="19" t="str">
        <f>IF('DDF Original'!B1376="","",'DDF Original'!B1376)</f>
        <v/>
      </c>
      <c r="C1376" s="19" t="e">
        <f t="shared" si="147"/>
        <v>#VALUE!</v>
      </c>
      <c r="D1376" s="20" t="str">
        <f>IF('DDF Original'!C1376="","",'DDF Original'!C1376)</f>
        <v/>
      </c>
      <c r="E1376" s="24" t="str">
        <f>IF('DDF Original'!B1376="","",IF(TRIM('DDF Original'!I1376)="",0,'DDF Original'!I1376))</f>
        <v/>
      </c>
      <c r="F1376" s="20" t="str">
        <f t="shared" si="148"/>
        <v/>
      </c>
      <c r="G1376" s="37" t="str">
        <f>IF('DDF Original'!B1376="","",IF(TRIM('DDF Original'!P1376)="",0,'DDF Original'!P1376))</f>
        <v/>
      </c>
      <c r="H1376" s="20" t="str">
        <f t="shared" si="149"/>
        <v/>
      </c>
      <c r="I1376" s="25" t="str">
        <f t="shared" si="150"/>
        <v/>
      </c>
      <c r="J1376" s="20" t="str">
        <f t="shared" si="151"/>
        <v/>
      </c>
      <c r="K1376" s="20" t="str">
        <f t="shared" si="152"/>
        <v/>
      </c>
      <c r="L1376" s="20" t="str">
        <f>IF(B1376="","",70*'DDF Original'!$Q$4)</f>
        <v/>
      </c>
      <c r="M1376" s="20" t="str">
        <f t="shared" si="153"/>
        <v/>
      </c>
      <c r="N1376" s="20" t="str">
        <f>IF(AND(OR(B1376="",J1376&gt;G1376,M1376&gt;G1376),'DDF Original'!L1376&lt;&gt; "MI"),G1376,IF(M1376&gt;J1376,M1376,J1376))</f>
        <v/>
      </c>
    </row>
    <row r="1377" spans="2:14" x14ac:dyDescent="0.2">
      <c r="B1377" s="19" t="str">
        <f>IF('DDF Original'!B1377="","",'DDF Original'!B1377)</f>
        <v/>
      </c>
      <c r="C1377" s="19" t="e">
        <f t="shared" si="147"/>
        <v>#VALUE!</v>
      </c>
      <c r="D1377" s="20" t="str">
        <f>IF('DDF Original'!C1377="","",'DDF Original'!C1377)</f>
        <v/>
      </c>
      <c r="E1377" s="24" t="str">
        <f>IF('DDF Original'!B1377="","",IF(TRIM('DDF Original'!I1377)="",0,'DDF Original'!I1377))</f>
        <v/>
      </c>
      <c r="F1377" s="20" t="str">
        <f t="shared" si="148"/>
        <v/>
      </c>
      <c r="G1377" s="37" t="str">
        <f>IF('DDF Original'!B1377="","",IF(TRIM('DDF Original'!P1377)="",0,'DDF Original'!P1377))</f>
        <v/>
      </c>
      <c r="H1377" s="20" t="str">
        <f t="shared" si="149"/>
        <v/>
      </c>
      <c r="I1377" s="25" t="str">
        <f t="shared" si="150"/>
        <v/>
      </c>
      <c r="J1377" s="20" t="str">
        <f t="shared" si="151"/>
        <v/>
      </c>
      <c r="K1377" s="20" t="str">
        <f t="shared" si="152"/>
        <v/>
      </c>
      <c r="L1377" s="20" t="str">
        <f>IF(B1377="","",70*'DDF Original'!$Q$4)</f>
        <v/>
      </c>
      <c r="M1377" s="20" t="str">
        <f t="shared" si="153"/>
        <v/>
      </c>
      <c r="N1377" s="20" t="str">
        <f>IF(AND(OR(B1377="",J1377&gt;G1377,M1377&gt;G1377),'DDF Original'!L1377&lt;&gt; "MI"),G1377,IF(M1377&gt;J1377,M1377,J1377))</f>
        <v/>
      </c>
    </row>
    <row r="1378" spans="2:14" x14ac:dyDescent="0.2">
      <c r="B1378" s="19" t="str">
        <f>IF('DDF Original'!B1378="","",'DDF Original'!B1378)</f>
        <v/>
      </c>
      <c r="C1378" s="19" t="e">
        <f t="shared" si="147"/>
        <v>#VALUE!</v>
      </c>
      <c r="D1378" s="20" t="str">
        <f>IF('DDF Original'!C1378="","",'DDF Original'!C1378)</f>
        <v/>
      </c>
      <c r="E1378" s="24" t="str">
        <f>IF('DDF Original'!B1378="","",IF(TRIM('DDF Original'!I1378)="",0,'DDF Original'!I1378))</f>
        <v/>
      </c>
      <c r="F1378" s="20" t="str">
        <f t="shared" si="148"/>
        <v/>
      </c>
      <c r="G1378" s="37" t="str">
        <f>IF('DDF Original'!B1378="","",IF(TRIM('DDF Original'!P1378)="",0,'DDF Original'!P1378))</f>
        <v/>
      </c>
      <c r="H1378" s="20" t="str">
        <f t="shared" si="149"/>
        <v/>
      </c>
      <c r="I1378" s="25" t="str">
        <f t="shared" si="150"/>
        <v/>
      </c>
      <c r="J1378" s="20" t="str">
        <f t="shared" si="151"/>
        <v/>
      </c>
      <c r="K1378" s="20" t="str">
        <f t="shared" si="152"/>
        <v/>
      </c>
      <c r="L1378" s="20" t="str">
        <f>IF(B1378="","",70*'DDF Original'!$Q$4)</f>
        <v/>
      </c>
      <c r="M1378" s="20" t="str">
        <f t="shared" si="153"/>
        <v/>
      </c>
      <c r="N1378" s="20" t="str">
        <f>IF(AND(OR(B1378="",J1378&gt;G1378,M1378&gt;G1378),'DDF Original'!L1378&lt;&gt; "MI"),G1378,IF(M1378&gt;J1378,M1378,J1378))</f>
        <v/>
      </c>
    </row>
    <row r="1379" spans="2:14" x14ac:dyDescent="0.2">
      <c r="B1379" s="19" t="str">
        <f>IF('DDF Original'!B1379="","",'DDF Original'!B1379)</f>
        <v/>
      </c>
      <c r="C1379" s="19" t="e">
        <f t="shared" si="147"/>
        <v>#VALUE!</v>
      </c>
      <c r="D1379" s="20" t="str">
        <f>IF('DDF Original'!C1379="","",'DDF Original'!C1379)</f>
        <v/>
      </c>
      <c r="E1379" s="24" t="str">
        <f>IF('DDF Original'!B1379="","",IF(TRIM('DDF Original'!I1379)="",0,'DDF Original'!I1379))</f>
        <v/>
      </c>
      <c r="F1379" s="20" t="str">
        <f t="shared" si="148"/>
        <v/>
      </c>
      <c r="G1379" s="37" t="str">
        <f>IF('DDF Original'!B1379="","",IF(TRIM('DDF Original'!P1379)="",0,'DDF Original'!P1379))</f>
        <v/>
      </c>
      <c r="H1379" s="20" t="str">
        <f t="shared" si="149"/>
        <v/>
      </c>
      <c r="I1379" s="25" t="str">
        <f t="shared" si="150"/>
        <v/>
      </c>
      <c r="J1379" s="20" t="str">
        <f t="shared" si="151"/>
        <v/>
      </c>
      <c r="K1379" s="20" t="str">
        <f t="shared" si="152"/>
        <v/>
      </c>
      <c r="L1379" s="20" t="str">
        <f>IF(B1379="","",70*'DDF Original'!$Q$4)</f>
        <v/>
      </c>
      <c r="M1379" s="20" t="str">
        <f t="shared" si="153"/>
        <v/>
      </c>
      <c r="N1379" s="20" t="str">
        <f>IF(AND(OR(B1379="",J1379&gt;G1379,M1379&gt;G1379),'DDF Original'!L1379&lt;&gt; "MI"),G1379,IF(M1379&gt;J1379,M1379,J1379))</f>
        <v/>
      </c>
    </row>
    <row r="1380" spans="2:14" x14ac:dyDescent="0.2">
      <c r="B1380" s="19" t="str">
        <f>IF('DDF Original'!B1380="","",'DDF Original'!B1380)</f>
        <v/>
      </c>
      <c r="C1380" s="19" t="e">
        <f t="shared" si="147"/>
        <v>#VALUE!</v>
      </c>
      <c r="D1380" s="20" t="str">
        <f>IF('DDF Original'!C1380="","",'DDF Original'!C1380)</f>
        <v/>
      </c>
      <c r="E1380" s="24" t="str">
        <f>IF('DDF Original'!B1380="","",IF(TRIM('DDF Original'!I1380)="",0,'DDF Original'!I1380))</f>
        <v/>
      </c>
      <c r="F1380" s="20" t="str">
        <f t="shared" si="148"/>
        <v/>
      </c>
      <c r="G1380" s="37" t="str">
        <f>IF('DDF Original'!B1380="","",IF(TRIM('DDF Original'!P1380)="",0,'DDF Original'!P1380))</f>
        <v/>
      </c>
      <c r="H1380" s="20" t="str">
        <f t="shared" si="149"/>
        <v/>
      </c>
      <c r="I1380" s="25" t="str">
        <f t="shared" si="150"/>
        <v/>
      </c>
      <c r="J1380" s="20" t="str">
        <f t="shared" si="151"/>
        <v/>
      </c>
      <c r="K1380" s="20" t="str">
        <f t="shared" si="152"/>
        <v/>
      </c>
      <c r="L1380" s="20" t="str">
        <f>IF(B1380="","",70*'DDF Original'!$Q$4)</f>
        <v/>
      </c>
      <c r="M1380" s="20" t="str">
        <f t="shared" si="153"/>
        <v/>
      </c>
      <c r="N1380" s="20" t="str">
        <f>IF(AND(OR(B1380="",J1380&gt;G1380,M1380&gt;G1380),'DDF Original'!L1380&lt;&gt; "MI"),G1380,IF(M1380&gt;J1380,M1380,J1380))</f>
        <v/>
      </c>
    </row>
    <row r="1381" spans="2:14" x14ac:dyDescent="0.2">
      <c r="B1381" s="19" t="str">
        <f>IF('DDF Original'!B1381="","",'DDF Original'!B1381)</f>
        <v/>
      </c>
      <c r="C1381" s="19" t="e">
        <f t="shared" si="147"/>
        <v>#VALUE!</v>
      </c>
      <c r="D1381" s="20" t="str">
        <f>IF('DDF Original'!C1381="","",'DDF Original'!C1381)</f>
        <v/>
      </c>
      <c r="E1381" s="24" t="str">
        <f>IF('DDF Original'!B1381="","",IF(TRIM('DDF Original'!I1381)="",0,'DDF Original'!I1381))</f>
        <v/>
      </c>
      <c r="F1381" s="20" t="str">
        <f t="shared" si="148"/>
        <v/>
      </c>
      <c r="G1381" s="37" t="str">
        <f>IF('DDF Original'!B1381="","",IF(TRIM('DDF Original'!P1381)="",0,'DDF Original'!P1381))</f>
        <v/>
      </c>
      <c r="H1381" s="20" t="str">
        <f t="shared" si="149"/>
        <v/>
      </c>
      <c r="I1381" s="25" t="str">
        <f t="shared" si="150"/>
        <v/>
      </c>
      <c r="J1381" s="20" t="str">
        <f t="shared" si="151"/>
        <v/>
      </c>
      <c r="K1381" s="20" t="str">
        <f t="shared" si="152"/>
        <v/>
      </c>
      <c r="L1381" s="20" t="str">
        <f>IF(B1381="","",70*'DDF Original'!$Q$4)</f>
        <v/>
      </c>
      <c r="M1381" s="20" t="str">
        <f t="shared" si="153"/>
        <v/>
      </c>
      <c r="N1381" s="20" t="str">
        <f>IF(AND(OR(B1381="",J1381&gt;G1381,M1381&gt;G1381),'DDF Original'!L1381&lt;&gt; "MI"),G1381,IF(M1381&gt;J1381,M1381,J1381))</f>
        <v/>
      </c>
    </row>
    <row r="1382" spans="2:14" x14ac:dyDescent="0.2">
      <c r="B1382" s="19" t="str">
        <f>IF('DDF Original'!B1382="","",'DDF Original'!B1382)</f>
        <v/>
      </c>
      <c r="C1382" s="19" t="e">
        <f t="shared" si="147"/>
        <v>#VALUE!</v>
      </c>
      <c r="D1382" s="20" t="str">
        <f>IF('DDF Original'!C1382="","",'DDF Original'!C1382)</f>
        <v/>
      </c>
      <c r="E1382" s="24" t="str">
        <f>IF('DDF Original'!B1382="","",IF(TRIM('DDF Original'!I1382)="",0,'DDF Original'!I1382))</f>
        <v/>
      </c>
      <c r="F1382" s="20" t="str">
        <f t="shared" si="148"/>
        <v/>
      </c>
      <c r="G1382" s="37" t="str">
        <f>IF('DDF Original'!B1382="","",IF(TRIM('DDF Original'!P1382)="",0,'DDF Original'!P1382))</f>
        <v/>
      </c>
      <c r="H1382" s="20" t="str">
        <f t="shared" si="149"/>
        <v/>
      </c>
      <c r="I1382" s="25" t="str">
        <f t="shared" si="150"/>
        <v/>
      </c>
      <c r="J1382" s="20" t="str">
        <f t="shared" si="151"/>
        <v/>
      </c>
      <c r="K1382" s="20" t="str">
        <f t="shared" si="152"/>
        <v/>
      </c>
      <c r="L1382" s="20" t="str">
        <f>IF(B1382="","",70*'DDF Original'!$Q$4)</f>
        <v/>
      </c>
      <c r="M1382" s="20" t="str">
        <f t="shared" si="153"/>
        <v/>
      </c>
      <c r="N1382" s="20" t="str">
        <f>IF(AND(OR(B1382="",J1382&gt;G1382,M1382&gt;G1382),'DDF Original'!L1382&lt;&gt; "MI"),G1382,IF(M1382&gt;J1382,M1382,J1382))</f>
        <v/>
      </c>
    </row>
    <row r="1383" spans="2:14" x14ac:dyDescent="0.2">
      <c r="B1383" s="19" t="str">
        <f>IF('DDF Original'!B1383="","",'DDF Original'!B1383)</f>
        <v/>
      </c>
      <c r="C1383" s="19" t="e">
        <f t="shared" si="147"/>
        <v>#VALUE!</v>
      </c>
      <c r="D1383" s="20" t="str">
        <f>IF('DDF Original'!C1383="","",'DDF Original'!C1383)</f>
        <v/>
      </c>
      <c r="E1383" s="24" t="str">
        <f>IF('DDF Original'!B1383="","",IF(TRIM('DDF Original'!I1383)="",0,'DDF Original'!I1383))</f>
        <v/>
      </c>
      <c r="F1383" s="20" t="str">
        <f t="shared" si="148"/>
        <v/>
      </c>
      <c r="G1383" s="37" t="str">
        <f>IF('DDF Original'!B1383="","",IF(TRIM('DDF Original'!P1383)="",0,'DDF Original'!P1383))</f>
        <v/>
      </c>
      <c r="H1383" s="20" t="str">
        <f t="shared" si="149"/>
        <v/>
      </c>
      <c r="I1383" s="25" t="str">
        <f t="shared" si="150"/>
        <v/>
      </c>
      <c r="J1383" s="20" t="str">
        <f t="shared" si="151"/>
        <v/>
      </c>
      <c r="K1383" s="20" t="str">
        <f t="shared" si="152"/>
        <v/>
      </c>
      <c r="L1383" s="20" t="str">
        <f>IF(B1383="","",70*'DDF Original'!$Q$4)</f>
        <v/>
      </c>
      <c r="M1383" s="20" t="str">
        <f t="shared" si="153"/>
        <v/>
      </c>
      <c r="N1383" s="20" t="str">
        <f>IF(AND(OR(B1383="",J1383&gt;G1383,M1383&gt;G1383),'DDF Original'!L1383&lt;&gt; "MI"),G1383,IF(M1383&gt;J1383,M1383,J1383))</f>
        <v/>
      </c>
    </row>
    <row r="1384" spans="2:14" x14ac:dyDescent="0.2">
      <c r="B1384" s="19" t="str">
        <f>IF('DDF Original'!B1384="","",'DDF Original'!B1384)</f>
        <v/>
      </c>
      <c r="C1384" s="19" t="e">
        <f t="shared" si="147"/>
        <v>#VALUE!</v>
      </c>
      <c r="D1384" s="20" t="str">
        <f>IF('DDF Original'!C1384="","",'DDF Original'!C1384)</f>
        <v/>
      </c>
      <c r="E1384" s="24" t="str">
        <f>IF('DDF Original'!B1384="","",IF(TRIM('DDF Original'!I1384)="",0,'DDF Original'!I1384))</f>
        <v/>
      </c>
      <c r="F1384" s="20" t="str">
        <f t="shared" si="148"/>
        <v/>
      </c>
      <c r="G1384" s="37" t="str">
        <f>IF('DDF Original'!B1384="","",IF(TRIM('DDF Original'!P1384)="",0,'DDF Original'!P1384))</f>
        <v/>
      </c>
      <c r="H1384" s="20" t="str">
        <f t="shared" si="149"/>
        <v/>
      </c>
      <c r="I1384" s="25" t="str">
        <f t="shared" si="150"/>
        <v/>
      </c>
      <c r="J1384" s="20" t="str">
        <f t="shared" si="151"/>
        <v/>
      </c>
      <c r="K1384" s="20" t="str">
        <f t="shared" si="152"/>
        <v/>
      </c>
      <c r="L1384" s="20" t="str">
        <f>IF(B1384="","",70*'DDF Original'!$Q$4)</f>
        <v/>
      </c>
      <c r="M1384" s="20" t="str">
        <f t="shared" si="153"/>
        <v/>
      </c>
      <c r="N1384" s="20" t="str">
        <f>IF(AND(OR(B1384="",J1384&gt;G1384,M1384&gt;G1384),'DDF Original'!L1384&lt;&gt; "MI"),G1384,IF(M1384&gt;J1384,M1384,J1384))</f>
        <v/>
      </c>
    </row>
    <row r="1385" spans="2:14" x14ac:dyDescent="0.2">
      <c r="B1385" s="19" t="str">
        <f>IF('DDF Original'!B1385="","",'DDF Original'!B1385)</f>
        <v/>
      </c>
      <c r="C1385" s="19" t="e">
        <f t="shared" si="147"/>
        <v>#VALUE!</v>
      </c>
      <c r="D1385" s="20" t="str">
        <f>IF('DDF Original'!C1385="","",'DDF Original'!C1385)</f>
        <v/>
      </c>
      <c r="E1385" s="24" t="str">
        <f>IF('DDF Original'!B1385="","",IF(TRIM('DDF Original'!I1385)="",0,'DDF Original'!I1385))</f>
        <v/>
      </c>
      <c r="F1385" s="20" t="str">
        <f t="shared" si="148"/>
        <v/>
      </c>
      <c r="G1385" s="37" t="str">
        <f>IF('DDF Original'!B1385="","",IF(TRIM('DDF Original'!P1385)="",0,'DDF Original'!P1385))</f>
        <v/>
      </c>
      <c r="H1385" s="20" t="str">
        <f t="shared" si="149"/>
        <v/>
      </c>
      <c r="I1385" s="25" t="str">
        <f t="shared" si="150"/>
        <v/>
      </c>
      <c r="J1385" s="20" t="str">
        <f t="shared" si="151"/>
        <v/>
      </c>
      <c r="K1385" s="20" t="str">
        <f t="shared" si="152"/>
        <v/>
      </c>
      <c r="L1385" s="20" t="str">
        <f>IF(B1385="","",70*'DDF Original'!$Q$4)</f>
        <v/>
      </c>
      <c r="M1385" s="20" t="str">
        <f t="shared" si="153"/>
        <v/>
      </c>
      <c r="N1385" s="20" t="str">
        <f>IF(AND(OR(B1385="",J1385&gt;G1385,M1385&gt;G1385),'DDF Original'!L1385&lt;&gt; "MI"),G1385,IF(M1385&gt;J1385,M1385,J1385))</f>
        <v/>
      </c>
    </row>
    <row r="1386" spans="2:14" x14ac:dyDescent="0.2">
      <c r="B1386" s="19" t="str">
        <f>IF('DDF Original'!B1386="","",'DDF Original'!B1386)</f>
        <v/>
      </c>
      <c r="C1386" s="19" t="e">
        <f t="shared" si="147"/>
        <v>#VALUE!</v>
      </c>
      <c r="D1386" s="20" t="str">
        <f>IF('DDF Original'!C1386="","",'DDF Original'!C1386)</f>
        <v/>
      </c>
      <c r="E1386" s="24" t="str">
        <f>IF('DDF Original'!B1386="","",IF(TRIM('DDF Original'!I1386)="",0,'DDF Original'!I1386))</f>
        <v/>
      </c>
      <c r="F1386" s="20" t="str">
        <f t="shared" si="148"/>
        <v/>
      </c>
      <c r="G1386" s="37" t="str">
        <f>IF('DDF Original'!B1386="","",IF(TRIM('DDF Original'!P1386)="",0,'DDF Original'!P1386))</f>
        <v/>
      </c>
      <c r="H1386" s="20" t="str">
        <f t="shared" si="149"/>
        <v/>
      </c>
      <c r="I1386" s="25" t="str">
        <f t="shared" si="150"/>
        <v/>
      </c>
      <c r="J1386" s="20" t="str">
        <f t="shared" si="151"/>
        <v/>
      </c>
      <c r="K1386" s="20" t="str">
        <f t="shared" si="152"/>
        <v/>
      </c>
      <c r="L1386" s="20" t="str">
        <f>IF(B1386="","",70*'DDF Original'!$Q$4)</f>
        <v/>
      </c>
      <c r="M1386" s="20" t="str">
        <f t="shared" si="153"/>
        <v/>
      </c>
      <c r="N1386" s="20" t="str">
        <f>IF(AND(OR(B1386="",J1386&gt;G1386,M1386&gt;G1386),'DDF Original'!L1386&lt;&gt; "MI"),G1386,IF(M1386&gt;J1386,M1386,J1386))</f>
        <v/>
      </c>
    </row>
    <row r="1387" spans="2:14" x14ac:dyDescent="0.2">
      <c r="B1387" s="19" t="str">
        <f>IF('DDF Original'!B1387="","",'DDF Original'!B1387)</f>
        <v/>
      </c>
      <c r="C1387" s="19" t="e">
        <f t="shared" si="147"/>
        <v>#VALUE!</v>
      </c>
      <c r="D1387" s="20" t="str">
        <f>IF('DDF Original'!C1387="","",'DDF Original'!C1387)</f>
        <v/>
      </c>
      <c r="E1387" s="24" t="str">
        <f>IF('DDF Original'!B1387="","",IF(TRIM('DDF Original'!I1387)="",0,'DDF Original'!I1387))</f>
        <v/>
      </c>
      <c r="F1387" s="20" t="str">
        <f t="shared" si="148"/>
        <v/>
      </c>
      <c r="G1387" s="37" t="str">
        <f>IF('DDF Original'!B1387="","",IF(TRIM('DDF Original'!P1387)="",0,'DDF Original'!P1387))</f>
        <v/>
      </c>
      <c r="H1387" s="20" t="str">
        <f t="shared" si="149"/>
        <v/>
      </c>
      <c r="I1387" s="25" t="str">
        <f t="shared" si="150"/>
        <v/>
      </c>
      <c r="J1387" s="20" t="str">
        <f t="shared" si="151"/>
        <v/>
      </c>
      <c r="K1387" s="20" t="str">
        <f t="shared" si="152"/>
        <v/>
      </c>
      <c r="L1387" s="20" t="str">
        <f>IF(B1387="","",70*'DDF Original'!$Q$4)</f>
        <v/>
      </c>
      <c r="M1387" s="20" t="str">
        <f t="shared" si="153"/>
        <v/>
      </c>
      <c r="N1387" s="20" t="str">
        <f>IF(AND(OR(B1387="",J1387&gt;G1387,M1387&gt;G1387),'DDF Original'!L1387&lt;&gt; "MI"),G1387,IF(M1387&gt;J1387,M1387,J1387))</f>
        <v/>
      </c>
    </row>
    <row r="1388" spans="2:14" x14ac:dyDescent="0.2">
      <c r="B1388" s="19" t="str">
        <f>IF('DDF Original'!B1388="","",'DDF Original'!B1388)</f>
        <v/>
      </c>
      <c r="C1388" s="19" t="e">
        <f t="shared" si="147"/>
        <v>#VALUE!</v>
      </c>
      <c r="D1388" s="20" t="str">
        <f>IF('DDF Original'!C1388="","",'DDF Original'!C1388)</f>
        <v/>
      </c>
      <c r="E1388" s="24" t="str">
        <f>IF('DDF Original'!B1388="","",IF(TRIM('DDF Original'!I1388)="",0,'DDF Original'!I1388))</f>
        <v/>
      </c>
      <c r="F1388" s="20" t="str">
        <f t="shared" si="148"/>
        <v/>
      </c>
      <c r="G1388" s="37" t="str">
        <f>IF('DDF Original'!B1388="","",IF(TRIM('DDF Original'!P1388)="",0,'DDF Original'!P1388))</f>
        <v/>
      </c>
      <c r="H1388" s="20" t="str">
        <f t="shared" si="149"/>
        <v/>
      </c>
      <c r="I1388" s="25" t="str">
        <f t="shared" si="150"/>
        <v/>
      </c>
      <c r="J1388" s="20" t="str">
        <f t="shared" si="151"/>
        <v/>
      </c>
      <c r="K1388" s="20" t="str">
        <f t="shared" si="152"/>
        <v/>
      </c>
      <c r="L1388" s="20" t="str">
        <f>IF(B1388="","",70*'DDF Original'!$Q$4)</f>
        <v/>
      </c>
      <c r="M1388" s="20" t="str">
        <f t="shared" si="153"/>
        <v/>
      </c>
      <c r="N1388" s="20" t="str">
        <f>IF(AND(OR(B1388="",J1388&gt;G1388,M1388&gt;G1388),'DDF Original'!L1388&lt;&gt; "MI"),G1388,IF(M1388&gt;J1388,M1388,J1388))</f>
        <v/>
      </c>
    </row>
    <row r="1389" spans="2:14" x14ac:dyDescent="0.2">
      <c r="B1389" s="19" t="str">
        <f>IF('DDF Original'!B1389="","",'DDF Original'!B1389)</f>
        <v/>
      </c>
      <c r="C1389" s="19" t="e">
        <f t="shared" si="147"/>
        <v>#VALUE!</v>
      </c>
      <c r="D1389" s="20" t="str">
        <f>IF('DDF Original'!C1389="","",'DDF Original'!C1389)</f>
        <v/>
      </c>
      <c r="E1389" s="24" t="str">
        <f>IF('DDF Original'!B1389="","",IF(TRIM('DDF Original'!I1389)="",0,'DDF Original'!I1389))</f>
        <v/>
      </c>
      <c r="F1389" s="20" t="str">
        <f t="shared" si="148"/>
        <v/>
      </c>
      <c r="G1389" s="37" t="str">
        <f>IF('DDF Original'!B1389="","",IF(TRIM('DDF Original'!P1389)="",0,'DDF Original'!P1389))</f>
        <v/>
      </c>
      <c r="H1389" s="20" t="str">
        <f t="shared" si="149"/>
        <v/>
      </c>
      <c r="I1389" s="25" t="str">
        <f t="shared" si="150"/>
        <v/>
      </c>
      <c r="J1389" s="20" t="str">
        <f t="shared" si="151"/>
        <v/>
      </c>
      <c r="K1389" s="20" t="str">
        <f t="shared" si="152"/>
        <v/>
      </c>
      <c r="L1389" s="20" t="str">
        <f>IF(B1389="","",70*'DDF Original'!$Q$4)</f>
        <v/>
      </c>
      <c r="M1389" s="20" t="str">
        <f t="shared" si="153"/>
        <v/>
      </c>
      <c r="N1389" s="20" t="str">
        <f>IF(AND(OR(B1389="",J1389&gt;G1389,M1389&gt;G1389),'DDF Original'!L1389&lt;&gt; "MI"),G1389,IF(M1389&gt;J1389,M1389,J1389))</f>
        <v/>
      </c>
    </row>
    <row r="1390" spans="2:14" x14ac:dyDescent="0.2">
      <c r="B1390" s="19" t="str">
        <f>IF('DDF Original'!B1390="","",'DDF Original'!B1390)</f>
        <v/>
      </c>
      <c r="C1390" s="19" t="e">
        <f t="shared" si="147"/>
        <v>#VALUE!</v>
      </c>
      <c r="D1390" s="20" t="str">
        <f>IF('DDF Original'!C1390="","",'DDF Original'!C1390)</f>
        <v/>
      </c>
      <c r="E1390" s="24" t="str">
        <f>IF('DDF Original'!B1390="","",IF(TRIM('DDF Original'!I1390)="",0,'DDF Original'!I1390))</f>
        <v/>
      </c>
      <c r="F1390" s="20" t="str">
        <f t="shared" si="148"/>
        <v/>
      </c>
      <c r="G1390" s="37" t="str">
        <f>IF('DDF Original'!B1390="","",IF(TRIM('DDF Original'!P1390)="",0,'DDF Original'!P1390))</f>
        <v/>
      </c>
      <c r="H1390" s="20" t="str">
        <f t="shared" si="149"/>
        <v/>
      </c>
      <c r="I1390" s="25" t="str">
        <f t="shared" si="150"/>
        <v/>
      </c>
      <c r="J1390" s="20" t="str">
        <f t="shared" si="151"/>
        <v/>
      </c>
      <c r="K1390" s="20" t="str">
        <f t="shared" si="152"/>
        <v/>
      </c>
      <c r="L1390" s="20" t="str">
        <f>IF(B1390="","",70*'DDF Original'!$Q$4)</f>
        <v/>
      </c>
      <c r="M1390" s="20" t="str">
        <f t="shared" si="153"/>
        <v/>
      </c>
      <c r="N1390" s="20" t="str">
        <f>IF(AND(OR(B1390="",J1390&gt;G1390,M1390&gt;G1390),'DDF Original'!L1390&lt;&gt; "MI"),G1390,IF(M1390&gt;J1390,M1390,J1390))</f>
        <v/>
      </c>
    </row>
    <row r="1391" spans="2:14" x14ac:dyDescent="0.2">
      <c r="B1391" s="19" t="str">
        <f>IF('DDF Original'!B1391="","",'DDF Original'!B1391)</f>
        <v/>
      </c>
      <c r="C1391" s="19" t="e">
        <f t="shared" si="147"/>
        <v>#VALUE!</v>
      </c>
      <c r="D1391" s="20" t="str">
        <f>IF('DDF Original'!C1391="","",'DDF Original'!C1391)</f>
        <v/>
      </c>
      <c r="E1391" s="24" t="str">
        <f>IF('DDF Original'!B1391="","",IF(TRIM('DDF Original'!I1391)="",0,'DDF Original'!I1391))</f>
        <v/>
      </c>
      <c r="F1391" s="20" t="str">
        <f t="shared" si="148"/>
        <v/>
      </c>
      <c r="G1391" s="37" t="str">
        <f>IF('DDF Original'!B1391="","",IF(TRIM('DDF Original'!P1391)="",0,'DDF Original'!P1391))</f>
        <v/>
      </c>
      <c r="H1391" s="20" t="str">
        <f t="shared" si="149"/>
        <v/>
      </c>
      <c r="I1391" s="25" t="str">
        <f t="shared" si="150"/>
        <v/>
      </c>
      <c r="J1391" s="20" t="str">
        <f t="shared" si="151"/>
        <v/>
      </c>
      <c r="K1391" s="20" t="str">
        <f t="shared" si="152"/>
        <v/>
      </c>
      <c r="L1391" s="20" t="str">
        <f>IF(B1391="","",70*'DDF Original'!$Q$4)</f>
        <v/>
      </c>
      <c r="M1391" s="20" t="str">
        <f t="shared" si="153"/>
        <v/>
      </c>
      <c r="N1391" s="20" t="str">
        <f>IF(AND(OR(B1391="",J1391&gt;G1391,M1391&gt;G1391),'DDF Original'!L1391&lt;&gt; "MI"),G1391,IF(M1391&gt;J1391,M1391,J1391))</f>
        <v/>
      </c>
    </row>
    <row r="1392" spans="2:14" x14ac:dyDescent="0.2">
      <c r="B1392" s="19" t="str">
        <f>IF('DDF Original'!B1392="","",'DDF Original'!B1392)</f>
        <v/>
      </c>
      <c r="C1392" s="19" t="e">
        <f t="shared" si="147"/>
        <v>#VALUE!</v>
      </c>
      <c r="D1392" s="20" t="str">
        <f>IF('DDF Original'!C1392="","",'DDF Original'!C1392)</f>
        <v/>
      </c>
      <c r="E1392" s="24" t="str">
        <f>IF('DDF Original'!B1392="","",IF(TRIM('DDF Original'!I1392)="",0,'DDF Original'!I1392))</f>
        <v/>
      </c>
      <c r="F1392" s="20" t="str">
        <f t="shared" si="148"/>
        <v/>
      </c>
      <c r="G1392" s="37" t="str">
        <f>IF('DDF Original'!B1392="","",IF(TRIM('DDF Original'!P1392)="",0,'DDF Original'!P1392))</f>
        <v/>
      </c>
      <c r="H1392" s="20" t="str">
        <f t="shared" si="149"/>
        <v/>
      </c>
      <c r="I1392" s="25" t="str">
        <f t="shared" si="150"/>
        <v/>
      </c>
      <c r="J1392" s="20" t="str">
        <f t="shared" si="151"/>
        <v/>
      </c>
      <c r="K1392" s="20" t="str">
        <f t="shared" si="152"/>
        <v/>
      </c>
      <c r="L1392" s="20" t="str">
        <f>IF(B1392="","",70*'DDF Original'!$Q$4)</f>
        <v/>
      </c>
      <c r="M1392" s="20" t="str">
        <f t="shared" si="153"/>
        <v/>
      </c>
      <c r="N1392" s="20" t="str">
        <f>IF(AND(OR(B1392="",J1392&gt;G1392,M1392&gt;G1392),'DDF Original'!L1392&lt;&gt; "MI"),G1392,IF(M1392&gt;J1392,M1392,J1392))</f>
        <v/>
      </c>
    </row>
    <row r="1393" spans="2:14" x14ac:dyDescent="0.2">
      <c r="B1393" s="19" t="str">
        <f>IF('DDF Original'!B1393="","",'DDF Original'!B1393)</f>
        <v/>
      </c>
      <c r="C1393" s="19" t="e">
        <f t="shared" si="147"/>
        <v>#VALUE!</v>
      </c>
      <c r="D1393" s="20" t="str">
        <f>IF('DDF Original'!C1393="","",'DDF Original'!C1393)</f>
        <v/>
      </c>
      <c r="E1393" s="24" t="str">
        <f>IF('DDF Original'!B1393="","",IF(TRIM('DDF Original'!I1393)="",0,'DDF Original'!I1393))</f>
        <v/>
      </c>
      <c r="F1393" s="20" t="str">
        <f t="shared" si="148"/>
        <v/>
      </c>
      <c r="G1393" s="37" t="str">
        <f>IF('DDF Original'!B1393="","",IF(TRIM('DDF Original'!P1393)="",0,'DDF Original'!P1393))</f>
        <v/>
      </c>
      <c r="H1393" s="20" t="str">
        <f t="shared" si="149"/>
        <v/>
      </c>
      <c r="I1393" s="25" t="str">
        <f t="shared" si="150"/>
        <v/>
      </c>
      <c r="J1393" s="20" t="str">
        <f t="shared" si="151"/>
        <v/>
      </c>
      <c r="K1393" s="20" t="str">
        <f t="shared" si="152"/>
        <v/>
      </c>
      <c r="L1393" s="20" t="str">
        <f>IF(B1393="","",70*'DDF Original'!$Q$4)</f>
        <v/>
      </c>
      <c r="M1393" s="20" t="str">
        <f t="shared" si="153"/>
        <v/>
      </c>
      <c r="N1393" s="20" t="str">
        <f>IF(AND(OR(B1393="",J1393&gt;G1393,M1393&gt;G1393),'DDF Original'!L1393&lt;&gt; "MI"),G1393,IF(M1393&gt;J1393,M1393,J1393))</f>
        <v/>
      </c>
    </row>
    <row r="1394" spans="2:14" x14ac:dyDescent="0.2">
      <c r="B1394" s="19" t="str">
        <f>IF('DDF Original'!B1394="","",'DDF Original'!B1394)</f>
        <v/>
      </c>
      <c r="C1394" s="19" t="e">
        <f t="shared" si="147"/>
        <v>#VALUE!</v>
      </c>
      <c r="D1394" s="20" t="str">
        <f>IF('DDF Original'!C1394="","",'DDF Original'!C1394)</f>
        <v/>
      </c>
      <c r="E1394" s="24" t="str">
        <f>IF('DDF Original'!B1394="","",IF(TRIM('DDF Original'!I1394)="",0,'DDF Original'!I1394))</f>
        <v/>
      </c>
      <c r="F1394" s="20" t="str">
        <f t="shared" si="148"/>
        <v/>
      </c>
      <c r="G1394" s="37" t="str">
        <f>IF('DDF Original'!B1394="","",IF(TRIM('DDF Original'!P1394)="",0,'DDF Original'!P1394))</f>
        <v/>
      </c>
      <c r="H1394" s="20" t="str">
        <f t="shared" si="149"/>
        <v/>
      </c>
      <c r="I1394" s="25" t="str">
        <f t="shared" si="150"/>
        <v/>
      </c>
      <c r="J1394" s="20" t="str">
        <f t="shared" si="151"/>
        <v/>
      </c>
      <c r="K1394" s="20" t="str">
        <f t="shared" si="152"/>
        <v/>
      </c>
      <c r="L1394" s="20" t="str">
        <f>IF(B1394="","",70*'DDF Original'!$Q$4)</f>
        <v/>
      </c>
      <c r="M1394" s="20" t="str">
        <f t="shared" si="153"/>
        <v/>
      </c>
      <c r="N1394" s="20" t="str">
        <f>IF(AND(OR(B1394="",J1394&gt;G1394,M1394&gt;G1394),'DDF Original'!L1394&lt;&gt; "MI"),G1394,IF(M1394&gt;J1394,M1394,J1394))</f>
        <v/>
      </c>
    </row>
    <row r="1395" spans="2:14" x14ac:dyDescent="0.2">
      <c r="B1395" s="19" t="str">
        <f>IF('DDF Original'!B1395="","",'DDF Original'!B1395)</f>
        <v/>
      </c>
      <c r="C1395" s="19" t="e">
        <f t="shared" si="147"/>
        <v>#VALUE!</v>
      </c>
      <c r="D1395" s="20" t="str">
        <f>IF('DDF Original'!C1395="","",'DDF Original'!C1395)</f>
        <v/>
      </c>
      <c r="E1395" s="24" t="str">
        <f>IF('DDF Original'!B1395="","",IF(TRIM('DDF Original'!I1395)="",0,'DDF Original'!I1395))</f>
        <v/>
      </c>
      <c r="F1395" s="20" t="str">
        <f t="shared" si="148"/>
        <v/>
      </c>
      <c r="G1395" s="37" t="str">
        <f>IF('DDF Original'!B1395="","",IF(TRIM('DDF Original'!P1395)="",0,'DDF Original'!P1395))</f>
        <v/>
      </c>
      <c r="H1395" s="20" t="str">
        <f t="shared" si="149"/>
        <v/>
      </c>
      <c r="I1395" s="25" t="str">
        <f t="shared" si="150"/>
        <v/>
      </c>
      <c r="J1395" s="20" t="str">
        <f t="shared" si="151"/>
        <v/>
      </c>
      <c r="K1395" s="20" t="str">
        <f t="shared" si="152"/>
        <v/>
      </c>
      <c r="L1395" s="20" t="str">
        <f>IF(B1395="","",70*'DDF Original'!$Q$4)</f>
        <v/>
      </c>
      <c r="M1395" s="20" t="str">
        <f t="shared" si="153"/>
        <v/>
      </c>
      <c r="N1395" s="20" t="str">
        <f>IF(AND(OR(B1395="",J1395&gt;G1395,M1395&gt;G1395),'DDF Original'!L1395&lt;&gt; "MI"),G1395,IF(M1395&gt;J1395,M1395,J1395))</f>
        <v/>
      </c>
    </row>
    <row r="1396" spans="2:14" x14ac:dyDescent="0.2">
      <c r="B1396" s="19" t="str">
        <f>IF('DDF Original'!B1396="","",'DDF Original'!B1396)</f>
        <v/>
      </c>
      <c r="C1396" s="19" t="e">
        <f t="shared" si="147"/>
        <v>#VALUE!</v>
      </c>
      <c r="D1396" s="20" t="str">
        <f>IF('DDF Original'!C1396="","",'DDF Original'!C1396)</f>
        <v/>
      </c>
      <c r="E1396" s="24" t="str">
        <f>IF('DDF Original'!B1396="","",IF(TRIM('DDF Original'!I1396)="",0,'DDF Original'!I1396))</f>
        <v/>
      </c>
      <c r="F1396" s="20" t="str">
        <f t="shared" si="148"/>
        <v/>
      </c>
      <c r="G1396" s="37" t="str">
        <f>IF('DDF Original'!B1396="","",IF(TRIM('DDF Original'!P1396)="",0,'DDF Original'!P1396))</f>
        <v/>
      </c>
      <c r="H1396" s="20" t="str">
        <f t="shared" si="149"/>
        <v/>
      </c>
      <c r="I1396" s="25" t="str">
        <f t="shared" si="150"/>
        <v/>
      </c>
      <c r="J1396" s="20" t="str">
        <f t="shared" si="151"/>
        <v/>
      </c>
      <c r="K1396" s="20" t="str">
        <f t="shared" si="152"/>
        <v/>
      </c>
      <c r="L1396" s="20" t="str">
        <f>IF(B1396="","",70*'DDF Original'!$Q$4)</f>
        <v/>
      </c>
      <c r="M1396" s="20" t="str">
        <f t="shared" si="153"/>
        <v/>
      </c>
      <c r="N1396" s="20" t="str">
        <f>IF(AND(OR(B1396="",J1396&gt;G1396,M1396&gt;G1396),'DDF Original'!L1396&lt;&gt; "MI"),G1396,IF(M1396&gt;J1396,M1396,J1396))</f>
        <v/>
      </c>
    </row>
    <row r="1397" spans="2:14" x14ac:dyDescent="0.2">
      <c r="B1397" s="19" t="str">
        <f>IF('DDF Original'!B1397="","",'DDF Original'!B1397)</f>
        <v/>
      </c>
      <c r="C1397" s="19" t="e">
        <f t="shared" si="147"/>
        <v>#VALUE!</v>
      </c>
      <c r="D1397" s="20" t="str">
        <f>IF('DDF Original'!C1397="","",'DDF Original'!C1397)</f>
        <v/>
      </c>
      <c r="E1397" s="24" t="str">
        <f>IF('DDF Original'!B1397="","",IF(TRIM('DDF Original'!I1397)="",0,'DDF Original'!I1397))</f>
        <v/>
      </c>
      <c r="F1397" s="20" t="str">
        <f t="shared" si="148"/>
        <v/>
      </c>
      <c r="G1397" s="37" t="str">
        <f>IF('DDF Original'!B1397="","",IF(TRIM('DDF Original'!P1397)="",0,'DDF Original'!P1397))</f>
        <v/>
      </c>
      <c r="H1397" s="20" t="str">
        <f t="shared" si="149"/>
        <v/>
      </c>
      <c r="I1397" s="25" t="str">
        <f t="shared" si="150"/>
        <v/>
      </c>
      <c r="J1397" s="20" t="str">
        <f t="shared" si="151"/>
        <v/>
      </c>
      <c r="K1397" s="20" t="str">
        <f t="shared" si="152"/>
        <v/>
      </c>
      <c r="L1397" s="20" t="str">
        <f>IF(B1397="","",70*'DDF Original'!$Q$4)</f>
        <v/>
      </c>
      <c r="M1397" s="20" t="str">
        <f t="shared" si="153"/>
        <v/>
      </c>
      <c r="N1397" s="20" t="str">
        <f>IF(AND(OR(B1397="",J1397&gt;G1397,M1397&gt;G1397),'DDF Original'!L1397&lt;&gt; "MI"),G1397,IF(M1397&gt;J1397,M1397,J1397))</f>
        <v/>
      </c>
    </row>
    <row r="1398" spans="2:14" x14ac:dyDescent="0.2">
      <c r="B1398" s="19" t="str">
        <f>IF('DDF Original'!B1398="","",'DDF Original'!B1398)</f>
        <v/>
      </c>
      <c r="C1398" s="19" t="e">
        <f t="shared" si="147"/>
        <v>#VALUE!</v>
      </c>
      <c r="D1398" s="20" t="str">
        <f>IF('DDF Original'!C1398="","",'DDF Original'!C1398)</f>
        <v/>
      </c>
      <c r="E1398" s="24" t="str">
        <f>IF('DDF Original'!B1398="","",IF(TRIM('DDF Original'!I1398)="",0,'DDF Original'!I1398))</f>
        <v/>
      </c>
      <c r="F1398" s="20" t="str">
        <f t="shared" si="148"/>
        <v/>
      </c>
      <c r="G1398" s="37" t="str">
        <f>IF('DDF Original'!B1398="","",IF(TRIM('DDF Original'!P1398)="",0,'DDF Original'!P1398))</f>
        <v/>
      </c>
      <c r="H1398" s="20" t="str">
        <f t="shared" si="149"/>
        <v/>
      </c>
      <c r="I1398" s="25" t="str">
        <f t="shared" si="150"/>
        <v/>
      </c>
      <c r="J1398" s="20" t="str">
        <f t="shared" si="151"/>
        <v/>
      </c>
      <c r="K1398" s="20" t="str">
        <f t="shared" si="152"/>
        <v/>
      </c>
      <c r="L1398" s="20" t="str">
        <f>IF(B1398="","",70*'DDF Original'!$Q$4)</f>
        <v/>
      </c>
      <c r="M1398" s="20" t="str">
        <f t="shared" si="153"/>
        <v/>
      </c>
      <c r="N1398" s="20" t="str">
        <f>IF(AND(OR(B1398="",J1398&gt;G1398,M1398&gt;G1398),'DDF Original'!L1398&lt;&gt; "MI"),G1398,IF(M1398&gt;J1398,M1398,J1398))</f>
        <v/>
      </c>
    </row>
    <row r="1399" spans="2:14" x14ac:dyDescent="0.2">
      <c r="B1399" s="19" t="str">
        <f>IF('DDF Original'!B1399="","",'DDF Original'!B1399)</f>
        <v/>
      </c>
      <c r="C1399" s="19" t="e">
        <f t="shared" si="147"/>
        <v>#VALUE!</v>
      </c>
      <c r="D1399" s="20" t="str">
        <f>IF('DDF Original'!C1399="","",'DDF Original'!C1399)</f>
        <v/>
      </c>
      <c r="E1399" s="24" t="str">
        <f>IF('DDF Original'!B1399="","",IF(TRIM('DDF Original'!I1399)="",0,'DDF Original'!I1399))</f>
        <v/>
      </c>
      <c r="F1399" s="20" t="str">
        <f t="shared" si="148"/>
        <v/>
      </c>
      <c r="G1399" s="37" t="str">
        <f>IF('DDF Original'!B1399="","",IF(TRIM('DDF Original'!P1399)="",0,'DDF Original'!P1399))</f>
        <v/>
      </c>
      <c r="H1399" s="20" t="str">
        <f t="shared" si="149"/>
        <v/>
      </c>
      <c r="I1399" s="25" t="str">
        <f t="shared" si="150"/>
        <v/>
      </c>
      <c r="J1399" s="20" t="str">
        <f t="shared" si="151"/>
        <v/>
      </c>
      <c r="K1399" s="20" t="str">
        <f t="shared" si="152"/>
        <v/>
      </c>
      <c r="L1399" s="20" t="str">
        <f>IF(B1399="","",70*'DDF Original'!$Q$4)</f>
        <v/>
      </c>
      <c r="M1399" s="20" t="str">
        <f t="shared" si="153"/>
        <v/>
      </c>
      <c r="N1399" s="20" t="str">
        <f>IF(AND(OR(B1399="",J1399&gt;G1399,M1399&gt;G1399),'DDF Original'!L1399&lt;&gt; "MI"),G1399,IF(M1399&gt;J1399,M1399,J1399))</f>
        <v/>
      </c>
    </row>
    <row r="1400" spans="2:14" x14ac:dyDescent="0.2">
      <c r="B1400" s="19" t="str">
        <f>IF('DDF Original'!B1400="","",'DDF Original'!B1400)</f>
        <v/>
      </c>
      <c r="C1400" s="19" t="e">
        <f t="shared" si="147"/>
        <v>#VALUE!</v>
      </c>
      <c r="D1400" s="20" t="str">
        <f>IF('DDF Original'!C1400="","",'DDF Original'!C1400)</f>
        <v/>
      </c>
      <c r="E1400" s="24" t="str">
        <f>IF('DDF Original'!B1400="","",IF(TRIM('DDF Original'!I1400)="",0,'DDF Original'!I1400))</f>
        <v/>
      </c>
      <c r="F1400" s="20" t="str">
        <f t="shared" si="148"/>
        <v/>
      </c>
      <c r="G1400" s="37" t="str">
        <f>IF('DDF Original'!B1400="","",IF(TRIM('DDF Original'!P1400)="",0,'DDF Original'!P1400))</f>
        <v/>
      </c>
      <c r="H1400" s="20" t="str">
        <f t="shared" si="149"/>
        <v/>
      </c>
      <c r="I1400" s="25" t="str">
        <f t="shared" si="150"/>
        <v/>
      </c>
      <c r="J1400" s="20" t="str">
        <f t="shared" si="151"/>
        <v/>
      </c>
      <c r="K1400" s="20" t="str">
        <f t="shared" si="152"/>
        <v/>
      </c>
      <c r="L1400" s="20" t="str">
        <f>IF(B1400="","",70*'DDF Original'!$Q$4)</f>
        <v/>
      </c>
      <c r="M1400" s="20" t="str">
        <f t="shared" si="153"/>
        <v/>
      </c>
      <c r="N1400" s="20" t="str">
        <f>IF(AND(OR(B1400="",J1400&gt;G1400,M1400&gt;G1400),'DDF Original'!L1400&lt;&gt; "MI"),G1400,IF(M1400&gt;J1400,M1400,J1400))</f>
        <v/>
      </c>
    </row>
    <row r="1401" spans="2:14" x14ac:dyDescent="0.2">
      <c r="B1401" s="19" t="str">
        <f>IF('DDF Original'!B1401="","",'DDF Original'!B1401)</f>
        <v/>
      </c>
      <c r="C1401" s="19" t="e">
        <f t="shared" si="147"/>
        <v>#VALUE!</v>
      </c>
      <c r="D1401" s="20" t="str">
        <f>IF('DDF Original'!C1401="","",'DDF Original'!C1401)</f>
        <v/>
      </c>
      <c r="E1401" s="24" t="str">
        <f>IF('DDF Original'!B1401="","",IF(TRIM('DDF Original'!I1401)="",0,'DDF Original'!I1401))</f>
        <v/>
      </c>
      <c r="F1401" s="20" t="str">
        <f t="shared" si="148"/>
        <v/>
      </c>
      <c r="G1401" s="37" t="str">
        <f>IF('DDF Original'!B1401="","",IF(TRIM('DDF Original'!P1401)="",0,'DDF Original'!P1401))</f>
        <v/>
      </c>
      <c r="H1401" s="20" t="str">
        <f t="shared" si="149"/>
        <v/>
      </c>
      <c r="I1401" s="25" t="str">
        <f t="shared" si="150"/>
        <v/>
      </c>
      <c r="J1401" s="20" t="str">
        <f t="shared" si="151"/>
        <v/>
      </c>
      <c r="K1401" s="20" t="str">
        <f t="shared" si="152"/>
        <v/>
      </c>
      <c r="L1401" s="20" t="str">
        <f>IF(B1401="","",70*'DDF Original'!$Q$4)</f>
        <v/>
      </c>
      <c r="M1401" s="20" t="str">
        <f t="shared" si="153"/>
        <v/>
      </c>
      <c r="N1401" s="20" t="str">
        <f>IF(AND(OR(B1401="",J1401&gt;G1401,M1401&gt;G1401),'DDF Original'!L1401&lt;&gt; "MI"),G1401,IF(M1401&gt;J1401,M1401,J1401))</f>
        <v/>
      </c>
    </row>
    <row r="1402" spans="2:14" x14ac:dyDescent="0.2">
      <c r="B1402" s="19" t="str">
        <f>IF('DDF Original'!B1402="","",'DDF Original'!B1402)</f>
        <v/>
      </c>
      <c r="C1402" s="19" t="e">
        <f t="shared" si="147"/>
        <v>#VALUE!</v>
      </c>
      <c r="D1402" s="20" t="str">
        <f>IF('DDF Original'!C1402="","",'DDF Original'!C1402)</f>
        <v/>
      </c>
      <c r="E1402" s="24" t="str">
        <f>IF('DDF Original'!B1402="","",IF(TRIM('DDF Original'!I1402)="",0,'DDF Original'!I1402))</f>
        <v/>
      </c>
      <c r="F1402" s="20" t="str">
        <f t="shared" si="148"/>
        <v/>
      </c>
      <c r="G1402" s="37" t="str">
        <f>IF('DDF Original'!B1402="","",IF(TRIM('DDF Original'!P1402)="",0,'DDF Original'!P1402))</f>
        <v/>
      </c>
      <c r="H1402" s="20" t="str">
        <f t="shared" si="149"/>
        <v/>
      </c>
      <c r="I1402" s="25" t="str">
        <f t="shared" si="150"/>
        <v/>
      </c>
      <c r="J1402" s="20" t="str">
        <f t="shared" si="151"/>
        <v/>
      </c>
      <c r="K1402" s="20" t="str">
        <f t="shared" si="152"/>
        <v/>
      </c>
      <c r="L1402" s="20" t="str">
        <f>IF(B1402="","",70*'DDF Original'!$Q$4)</f>
        <v/>
      </c>
      <c r="M1402" s="20" t="str">
        <f t="shared" si="153"/>
        <v/>
      </c>
      <c r="N1402" s="20" t="str">
        <f>IF(AND(OR(B1402="",J1402&gt;G1402,M1402&gt;G1402),'DDF Original'!L1402&lt;&gt; "MI"),G1402,IF(M1402&gt;J1402,M1402,J1402))</f>
        <v/>
      </c>
    </row>
    <row r="1403" spans="2:14" x14ac:dyDescent="0.2">
      <c r="B1403" s="19" t="str">
        <f>IF('DDF Original'!B1403="","",'DDF Original'!B1403)</f>
        <v/>
      </c>
      <c r="C1403" s="19" t="e">
        <f t="shared" si="147"/>
        <v>#VALUE!</v>
      </c>
      <c r="D1403" s="20" t="str">
        <f>IF('DDF Original'!C1403="","",'DDF Original'!C1403)</f>
        <v/>
      </c>
      <c r="E1403" s="24" t="str">
        <f>IF('DDF Original'!B1403="","",IF(TRIM('DDF Original'!I1403)="",0,'DDF Original'!I1403))</f>
        <v/>
      </c>
      <c r="F1403" s="20" t="str">
        <f t="shared" si="148"/>
        <v/>
      </c>
      <c r="G1403" s="37" t="str">
        <f>IF('DDF Original'!B1403="","",IF(TRIM('DDF Original'!P1403)="",0,'DDF Original'!P1403))</f>
        <v/>
      </c>
      <c r="H1403" s="20" t="str">
        <f t="shared" si="149"/>
        <v/>
      </c>
      <c r="I1403" s="25" t="str">
        <f t="shared" si="150"/>
        <v/>
      </c>
      <c r="J1403" s="20" t="str">
        <f t="shared" si="151"/>
        <v/>
      </c>
      <c r="K1403" s="20" t="str">
        <f t="shared" si="152"/>
        <v/>
      </c>
      <c r="L1403" s="20" t="str">
        <f>IF(B1403="","",70*'DDF Original'!$Q$4)</f>
        <v/>
      </c>
      <c r="M1403" s="20" t="str">
        <f t="shared" si="153"/>
        <v/>
      </c>
      <c r="N1403" s="20" t="str">
        <f>IF(AND(OR(B1403="",J1403&gt;G1403,M1403&gt;G1403),'DDF Original'!L1403&lt;&gt; "MI"),G1403,IF(M1403&gt;J1403,M1403,J1403))</f>
        <v/>
      </c>
    </row>
    <row r="1404" spans="2:14" x14ac:dyDescent="0.2">
      <c r="B1404" s="19" t="str">
        <f>IF('DDF Original'!B1404="","",'DDF Original'!B1404)</f>
        <v/>
      </c>
      <c r="C1404" s="19" t="e">
        <f t="shared" si="147"/>
        <v>#VALUE!</v>
      </c>
      <c r="D1404" s="20" t="str">
        <f>IF('DDF Original'!C1404="","",'DDF Original'!C1404)</f>
        <v/>
      </c>
      <c r="E1404" s="24" t="str">
        <f>IF('DDF Original'!B1404="","",IF(TRIM('DDF Original'!I1404)="",0,'DDF Original'!I1404))</f>
        <v/>
      </c>
      <c r="F1404" s="20" t="str">
        <f t="shared" si="148"/>
        <v/>
      </c>
      <c r="G1404" s="37" t="str">
        <f>IF('DDF Original'!B1404="","",IF(TRIM('DDF Original'!P1404)="",0,'DDF Original'!P1404))</f>
        <v/>
      </c>
      <c r="H1404" s="20" t="str">
        <f t="shared" si="149"/>
        <v/>
      </c>
      <c r="I1404" s="25" t="str">
        <f t="shared" si="150"/>
        <v/>
      </c>
      <c r="J1404" s="20" t="str">
        <f t="shared" si="151"/>
        <v/>
      </c>
      <c r="K1404" s="20" t="str">
        <f t="shared" si="152"/>
        <v/>
      </c>
      <c r="L1404" s="20" t="str">
        <f>IF(B1404="","",70*'DDF Original'!$Q$4)</f>
        <v/>
      </c>
      <c r="M1404" s="20" t="str">
        <f t="shared" si="153"/>
        <v/>
      </c>
      <c r="N1404" s="20" t="str">
        <f>IF(AND(OR(B1404="",J1404&gt;G1404,M1404&gt;G1404),'DDF Original'!L1404&lt;&gt; "MI"),G1404,IF(M1404&gt;J1404,M1404,J1404))</f>
        <v/>
      </c>
    </row>
    <row r="1405" spans="2:14" x14ac:dyDescent="0.2">
      <c r="B1405" s="19" t="str">
        <f>IF('DDF Original'!B1405="","",'DDF Original'!B1405)</f>
        <v/>
      </c>
      <c r="C1405" s="19" t="e">
        <f t="shared" ref="C1405:C1468" si="154">LEFT(B1405,FIND(".",B1405)-1)</f>
        <v>#VALUE!</v>
      </c>
      <c r="D1405" s="20" t="str">
        <f>IF('DDF Original'!C1405="","",'DDF Original'!C1405)</f>
        <v/>
      </c>
      <c r="E1405" s="24" t="str">
        <f>IF('DDF Original'!B1405="","",IF(TRIM('DDF Original'!I1405)="",0,'DDF Original'!I1405))</f>
        <v/>
      </c>
      <c r="F1405" s="20" t="str">
        <f t="shared" ref="F1405:F1468" si="155">IF(D1405="",D1405,ROUND(D1405*(1+E1405/100),2))</f>
        <v/>
      </c>
      <c r="G1405" s="37" t="str">
        <f>IF('DDF Original'!B1405="","",IF(TRIM('DDF Original'!P1405)="",0,'DDF Original'!P1405))</f>
        <v/>
      </c>
      <c r="H1405" s="20" t="str">
        <f t="shared" ref="H1405:H1468" si="156">IF(OR(D1405=0,D1405=""),G1405,F1405)</f>
        <v/>
      </c>
      <c r="I1405" s="25" t="str">
        <f t="shared" ref="I1405:I1468" si="157">IF(B1405="","",IF(OR(D1405=0,D1405=""),50,35))</f>
        <v/>
      </c>
      <c r="J1405" s="20" t="str">
        <f t="shared" ref="J1405:J1468" si="158">IF(B1405="","",ROUND(H1405*I1405/100,2))</f>
        <v/>
      </c>
      <c r="K1405" s="20" t="str">
        <f t="shared" ref="K1405:K1468" si="159">IF(B1405="","",SUMIFS($J$9:$J$508,$C$9:$C$508,"="&amp;C1405))</f>
        <v/>
      </c>
      <c r="L1405" s="20" t="str">
        <f>IF(B1405="","",70*'DDF Original'!$Q$4)</f>
        <v/>
      </c>
      <c r="M1405" s="20" t="str">
        <f t="shared" ref="M1405:M1468" si="160">IF(B1405="","",ROUND(J1405/K1405*L1405,2))</f>
        <v/>
      </c>
      <c r="N1405" s="20" t="str">
        <f>IF(AND(OR(B1405="",J1405&gt;G1405,M1405&gt;G1405),'DDF Original'!L1405&lt;&gt; "MI"),G1405,IF(M1405&gt;J1405,M1405,J1405))</f>
        <v/>
      </c>
    </row>
    <row r="1406" spans="2:14" x14ac:dyDescent="0.2">
      <c r="B1406" s="19" t="str">
        <f>IF('DDF Original'!B1406="","",'DDF Original'!B1406)</f>
        <v/>
      </c>
      <c r="C1406" s="19" t="e">
        <f t="shared" si="154"/>
        <v>#VALUE!</v>
      </c>
      <c r="D1406" s="20" t="str">
        <f>IF('DDF Original'!C1406="","",'DDF Original'!C1406)</f>
        <v/>
      </c>
      <c r="E1406" s="24" t="str">
        <f>IF('DDF Original'!B1406="","",IF(TRIM('DDF Original'!I1406)="",0,'DDF Original'!I1406))</f>
        <v/>
      </c>
      <c r="F1406" s="20" t="str">
        <f t="shared" si="155"/>
        <v/>
      </c>
      <c r="G1406" s="37" t="str">
        <f>IF('DDF Original'!B1406="","",IF(TRIM('DDF Original'!P1406)="",0,'DDF Original'!P1406))</f>
        <v/>
      </c>
      <c r="H1406" s="20" t="str">
        <f t="shared" si="156"/>
        <v/>
      </c>
      <c r="I1406" s="25" t="str">
        <f t="shared" si="157"/>
        <v/>
      </c>
      <c r="J1406" s="20" t="str">
        <f t="shared" si="158"/>
        <v/>
      </c>
      <c r="K1406" s="20" t="str">
        <f t="shared" si="159"/>
        <v/>
      </c>
      <c r="L1406" s="20" t="str">
        <f>IF(B1406="","",70*'DDF Original'!$Q$4)</f>
        <v/>
      </c>
      <c r="M1406" s="20" t="str">
        <f t="shared" si="160"/>
        <v/>
      </c>
      <c r="N1406" s="20" t="str">
        <f>IF(AND(OR(B1406="",J1406&gt;G1406,M1406&gt;G1406),'DDF Original'!L1406&lt;&gt; "MI"),G1406,IF(M1406&gt;J1406,M1406,J1406))</f>
        <v/>
      </c>
    </row>
    <row r="1407" spans="2:14" x14ac:dyDescent="0.2">
      <c r="B1407" s="19" t="str">
        <f>IF('DDF Original'!B1407="","",'DDF Original'!B1407)</f>
        <v/>
      </c>
      <c r="C1407" s="19" t="e">
        <f t="shared" si="154"/>
        <v>#VALUE!</v>
      </c>
      <c r="D1407" s="20" t="str">
        <f>IF('DDF Original'!C1407="","",'DDF Original'!C1407)</f>
        <v/>
      </c>
      <c r="E1407" s="24" t="str">
        <f>IF('DDF Original'!B1407="","",IF(TRIM('DDF Original'!I1407)="",0,'DDF Original'!I1407))</f>
        <v/>
      </c>
      <c r="F1407" s="20" t="str">
        <f t="shared" si="155"/>
        <v/>
      </c>
      <c r="G1407" s="37" t="str">
        <f>IF('DDF Original'!B1407="","",IF(TRIM('DDF Original'!P1407)="",0,'DDF Original'!P1407))</f>
        <v/>
      </c>
      <c r="H1407" s="20" t="str">
        <f t="shared" si="156"/>
        <v/>
      </c>
      <c r="I1407" s="25" t="str">
        <f t="shared" si="157"/>
        <v/>
      </c>
      <c r="J1407" s="20" t="str">
        <f t="shared" si="158"/>
        <v/>
      </c>
      <c r="K1407" s="20" t="str">
        <f t="shared" si="159"/>
        <v/>
      </c>
      <c r="L1407" s="20" t="str">
        <f>IF(B1407="","",70*'DDF Original'!$Q$4)</f>
        <v/>
      </c>
      <c r="M1407" s="20" t="str">
        <f t="shared" si="160"/>
        <v/>
      </c>
      <c r="N1407" s="20" t="str">
        <f>IF(AND(OR(B1407="",J1407&gt;G1407,M1407&gt;G1407),'DDF Original'!L1407&lt;&gt; "MI"),G1407,IF(M1407&gt;J1407,M1407,J1407))</f>
        <v/>
      </c>
    </row>
    <row r="1408" spans="2:14" x14ac:dyDescent="0.2">
      <c r="B1408" s="19" t="str">
        <f>IF('DDF Original'!B1408="","",'DDF Original'!B1408)</f>
        <v/>
      </c>
      <c r="C1408" s="19" t="e">
        <f t="shared" si="154"/>
        <v>#VALUE!</v>
      </c>
      <c r="D1408" s="20" t="str">
        <f>IF('DDF Original'!C1408="","",'DDF Original'!C1408)</f>
        <v/>
      </c>
      <c r="E1408" s="24" t="str">
        <f>IF('DDF Original'!B1408="","",IF(TRIM('DDF Original'!I1408)="",0,'DDF Original'!I1408))</f>
        <v/>
      </c>
      <c r="F1408" s="20" t="str">
        <f t="shared" si="155"/>
        <v/>
      </c>
      <c r="G1408" s="37" t="str">
        <f>IF('DDF Original'!B1408="","",IF(TRIM('DDF Original'!P1408)="",0,'DDF Original'!P1408))</f>
        <v/>
      </c>
      <c r="H1408" s="20" t="str">
        <f t="shared" si="156"/>
        <v/>
      </c>
      <c r="I1408" s="25" t="str">
        <f t="shared" si="157"/>
        <v/>
      </c>
      <c r="J1408" s="20" t="str">
        <f t="shared" si="158"/>
        <v/>
      </c>
      <c r="K1408" s="20" t="str">
        <f t="shared" si="159"/>
        <v/>
      </c>
      <c r="L1408" s="20" t="str">
        <f>IF(B1408="","",70*'DDF Original'!$Q$4)</f>
        <v/>
      </c>
      <c r="M1408" s="20" t="str">
        <f t="shared" si="160"/>
        <v/>
      </c>
      <c r="N1408" s="20" t="str">
        <f>IF(AND(OR(B1408="",J1408&gt;G1408,M1408&gt;G1408),'DDF Original'!L1408&lt;&gt; "MI"),G1408,IF(M1408&gt;J1408,M1408,J1408))</f>
        <v/>
      </c>
    </row>
    <row r="1409" spans="2:14" x14ac:dyDescent="0.2">
      <c r="B1409" s="19" t="str">
        <f>IF('DDF Original'!B1409="","",'DDF Original'!B1409)</f>
        <v/>
      </c>
      <c r="C1409" s="19" t="e">
        <f t="shared" si="154"/>
        <v>#VALUE!</v>
      </c>
      <c r="D1409" s="20" t="str">
        <f>IF('DDF Original'!C1409="","",'DDF Original'!C1409)</f>
        <v/>
      </c>
      <c r="E1409" s="24" t="str">
        <f>IF('DDF Original'!B1409="","",IF(TRIM('DDF Original'!I1409)="",0,'DDF Original'!I1409))</f>
        <v/>
      </c>
      <c r="F1409" s="20" t="str">
        <f t="shared" si="155"/>
        <v/>
      </c>
      <c r="G1409" s="37" t="str">
        <f>IF('DDF Original'!B1409="","",IF(TRIM('DDF Original'!P1409)="",0,'DDF Original'!P1409))</f>
        <v/>
      </c>
      <c r="H1409" s="20" t="str">
        <f t="shared" si="156"/>
        <v/>
      </c>
      <c r="I1409" s="25" t="str">
        <f t="shared" si="157"/>
        <v/>
      </c>
      <c r="J1409" s="20" t="str">
        <f t="shared" si="158"/>
        <v/>
      </c>
      <c r="K1409" s="20" t="str">
        <f t="shared" si="159"/>
        <v/>
      </c>
      <c r="L1409" s="20" t="str">
        <f>IF(B1409="","",70*'DDF Original'!$Q$4)</f>
        <v/>
      </c>
      <c r="M1409" s="20" t="str">
        <f t="shared" si="160"/>
        <v/>
      </c>
      <c r="N1409" s="20" t="str">
        <f>IF(AND(OR(B1409="",J1409&gt;G1409,M1409&gt;G1409),'DDF Original'!L1409&lt;&gt; "MI"),G1409,IF(M1409&gt;J1409,M1409,J1409))</f>
        <v/>
      </c>
    </row>
    <row r="1410" spans="2:14" x14ac:dyDescent="0.2">
      <c r="B1410" s="19" t="str">
        <f>IF('DDF Original'!B1410="","",'DDF Original'!B1410)</f>
        <v/>
      </c>
      <c r="C1410" s="19" t="e">
        <f t="shared" si="154"/>
        <v>#VALUE!</v>
      </c>
      <c r="D1410" s="20" t="str">
        <f>IF('DDF Original'!C1410="","",'DDF Original'!C1410)</f>
        <v/>
      </c>
      <c r="E1410" s="24" t="str">
        <f>IF('DDF Original'!B1410="","",IF(TRIM('DDF Original'!I1410)="",0,'DDF Original'!I1410))</f>
        <v/>
      </c>
      <c r="F1410" s="20" t="str">
        <f t="shared" si="155"/>
        <v/>
      </c>
      <c r="G1410" s="37" t="str">
        <f>IF('DDF Original'!B1410="","",IF(TRIM('DDF Original'!P1410)="",0,'DDF Original'!P1410))</f>
        <v/>
      </c>
      <c r="H1410" s="20" t="str">
        <f t="shared" si="156"/>
        <v/>
      </c>
      <c r="I1410" s="25" t="str">
        <f t="shared" si="157"/>
        <v/>
      </c>
      <c r="J1410" s="20" t="str">
        <f t="shared" si="158"/>
        <v/>
      </c>
      <c r="K1410" s="20" t="str">
        <f t="shared" si="159"/>
        <v/>
      </c>
      <c r="L1410" s="20" t="str">
        <f>IF(B1410="","",70*'DDF Original'!$Q$4)</f>
        <v/>
      </c>
      <c r="M1410" s="20" t="str">
        <f t="shared" si="160"/>
        <v/>
      </c>
      <c r="N1410" s="20" t="str">
        <f>IF(AND(OR(B1410="",J1410&gt;G1410,M1410&gt;G1410),'DDF Original'!L1410&lt;&gt; "MI"),G1410,IF(M1410&gt;J1410,M1410,J1410))</f>
        <v/>
      </c>
    </row>
    <row r="1411" spans="2:14" x14ac:dyDescent="0.2">
      <c r="B1411" s="19" t="str">
        <f>IF('DDF Original'!B1411="","",'DDF Original'!B1411)</f>
        <v/>
      </c>
      <c r="C1411" s="19" t="e">
        <f t="shared" si="154"/>
        <v>#VALUE!</v>
      </c>
      <c r="D1411" s="20" t="str">
        <f>IF('DDF Original'!C1411="","",'DDF Original'!C1411)</f>
        <v/>
      </c>
      <c r="E1411" s="24" t="str">
        <f>IF('DDF Original'!B1411="","",IF(TRIM('DDF Original'!I1411)="",0,'DDF Original'!I1411))</f>
        <v/>
      </c>
      <c r="F1411" s="20" t="str">
        <f t="shared" si="155"/>
        <v/>
      </c>
      <c r="G1411" s="37" t="str">
        <f>IF('DDF Original'!B1411="","",IF(TRIM('DDF Original'!P1411)="",0,'DDF Original'!P1411))</f>
        <v/>
      </c>
      <c r="H1411" s="20" t="str">
        <f t="shared" si="156"/>
        <v/>
      </c>
      <c r="I1411" s="25" t="str">
        <f t="shared" si="157"/>
        <v/>
      </c>
      <c r="J1411" s="20" t="str">
        <f t="shared" si="158"/>
        <v/>
      </c>
      <c r="K1411" s="20" t="str">
        <f t="shared" si="159"/>
        <v/>
      </c>
      <c r="L1411" s="20" t="str">
        <f>IF(B1411="","",70*'DDF Original'!$Q$4)</f>
        <v/>
      </c>
      <c r="M1411" s="20" t="str">
        <f t="shared" si="160"/>
        <v/>
      </c>
      <c r="N1411" s="20" t="str">
        <f>IF(AND(OR(B1411="",J1411&gt;G1411,M1411&gt;G1411),'DDF Original'!L1411&lt;&gt; "MI"),G1411,IF(M1411&gt;J1411,M1411,J1411))</f>
        <v/>
      </c>
    </row>
    <row r="1412" spans="2:14" x14ac:dyDescent="0.2">
      <c r="B1412" s="19" t="str">
        <f>IF('DDF Original'!B1412="","",'DDF Original'!B1412)</f>
        <v/>
      </c>
      <c r="C1412" s="19" t="e">
        <f t="shared" si="154"/>
        <v>#VALUE!</v>
      </c>
      <c r="D1412" s="20" t="str">
        <f>IF('DDF Original'!C1412="","",'DDF Original'!C1412)</f>
        <v/>
      </c>
      <c r="E1412" s="24" t="str">
        <f>IF('DDF Original'!B1412="","",IF(TRIM('DDF Original'!I1412)="",0,'DDF Original'!I1412))</f>
        <v/>
      </c>
      <c r="F1412" s="20" t="str">
        <f t="shared" si="155"/>
        <v/>
      </c>
      <c r="G1412" s="37" t="str">
        <f>IF('DDF Original'!B1412="","",IF(TRIM('DDF Original'!P1412)="",0,'DDF Original'!P1412))</f>
        <v/>
      </c>
      <c r="H1412" s="20" t="str">
        <f t="shared" si="156"/>
        <v/>
      </c>
      <c r="I1412" s="25" t="str">
        <f t="shared" si="157"/>
        <v/>
      </c>
      <c r="J1412" s="20" t="str">
        <f t="shared" si="158"/>
        <v/>
      </c>
      <c r="K1412" s="20" t="str">
        <f t="shared" si="159"/>
        <v/>
      </c>
      <c r="L1412" s="20" t="str">
        <f>IF(B1412="","",70*'DDF Original'!$Q$4)</f>
        <v/>
      </c>
      <c r="M1412" s="20" t="str">
        <f t="shared" si="160"/>
        <v/>
      </c>
      <c r="N1412" s="20" t="str">
        <f>IF(AND(OR(B1412="",J1412&gt;G1412,M1412&gt;G1412),'DDF Original'!L1412&lt;&gt; "MI"),G1412,IF(M1412&gt;J1412,M1412,J1412))</f>
        <v/>
      </c>
    </row>
    <row r="1413" spans="2:14" x14ac:dyDescent="0.2">
      <c r="B1413" s="19" t="str">
        <f>IF('DDF Original'!B1413="","",'DDF Original'!B1413)</f>
        <v/>
      </c>
      <c r="C1413" s="19" t="e">
        <f t="shared" si="154"/>
        <v>#VALUE!</v>
      </c>
      <c r="D1413" s="20" t="str">
        <f>IF('DDF Original'!C1413="","",'DDF Original'!C1413)</f>
        <v/>
      </c>
      <c r="E1413" s="24" t="str">
        <f>IF('DDF Original'!B1413="","",IF(TRIM('DDF Original'!I1413)="",0,'DDF Original'!I1413))</f>
        <v/>
      </c>
      <c r="F1413" s="20" t="str">
        <f t="shared" si="155"/>
        <v/>
      </c>
      <c r="G1413" s="37" t="str">
        <f>IF('DDF Original'!B1413="","",IF(TRIM('DDF Original'!P1413)="",0,'DDF Original'!P1413))</f>
        <v/>
      </c>
      <c r="H1413" s="20" t="str">
        <f t="shared" si="156"/>
        <v/>
      </c>
      <c r="I1413" s="25" t="str">
        <f t="shared" si="157"/>
        <v/>
      </c>
      <c r="J1413" s="20" t="str">
        <f t="shared" si="158"/>
        <v/>
      </c>
      <c r="K1413" s="20" t="str">
        <f t="shared" si="159"/>
        <v/>
      </c>
      <c r="L1413" s="20" t="str">
        <f>IF(B1413="","",70*'DDF Original'!$Q$4)</f>
        <v/>
      </c>
      <c r="M1413" s="20" t="str">
        <f t="shared" si="160"/>
        <v/>
      </c>
      <c r="N1413" s="20" t="str">
        <f>IF(AND(OR(B1413="",J1413&gt;G1413,M1413&gt;G1413),'DDF Original'!L1413&lt;&gt; "MI"),G1413,IF(M1413&gt;J1413,M1413,J1413))</f>
        <v/>
      </c>
    </row>
    <row r="1414" spans="2:14" x14ac:dyDescent="0.2">
      <c r="B1414" s="19" t="str">
        <f>IF('DDF Original'!B1414="","",'DDF Original'!B1414)</f>
        <v/>
      </c>
      <c r="C1414" s="19" t="e">
        <f t="shared" si="154"/>
        <v>#VALUE!</v>
      </c>
      <c r="D1414" s="20" t="str">
        <f>IF('DDF Original'!C1414="","",'DDF Original'!C1414)</f>
        <v/>
      </c>
      <c r="E1414" s="24" t="str">
        <f>IF('DDF Original'!B1414="","",IF(TRIM('DDF Original'!I1414)="",0,'DDF Original'!I1414))</f>
        <v/>
      </c>
      <c r="F1414" s="20" t="str">
        <f t="shared" si="155"/>
        <v/>
      </c>
      <c r="G1414" s="37" t="str">
        <f>IF('DDF Original'!B1414="","",IF(TRIM('DDF Original'!P1414)="",0,'DDF Original'!P1414))</f>
        <v/>
      </c>
      <c r="H1414" s="20" t="str">
        <f t="shared" si="156"/>
        <v/>
      </c>
      <c r="I1414" s="25" t="str">
        <f t="shared" si="157"/>
        <v/>
      </c>
      <c r="J1414" s="20" t="str">
        <f t="shared" si="158"/>
        <v/>
      </c>
      <c r="K1414" s="20" t="str">
        <f t="shared" si="159"/>
        <v/>
      </c>
      <c r="L1414" s="20" t="str">
        <f>IF(B1414="","",70*'DDF Original'!$Q$4)</f>
        <v/>
      </c>
      <c r="M1414" s="20" t="str">
        <f t="shared" si="160"/>
        <v/>
      </c>
      <c r="N1414" s="20" t="str">
        <f>IF(AND(OR(B1414="",J1414&gt;G1414,M1414&gt;G1414),'DDF Original'!L1414&lt;&gt; "MI"),G1414,IF(M1414&gt;J1414,M1414,J1414))</f>
        <v/>
      </c>
    </row>
    <row r="1415" spans="2:14" x14ac:dyDescent="0.2">
      <c r="B1415" s="19" t="str">
        <f>IF('DDF Original'!B1415="","",'DDF Original'!B1415)</f>
        <v/>
      </c>
      <c r="C1415" s="19" t="e">
        <f t="shared" si="154"/>
        <v>#VALUE!</v>
      </c>
      <c r="D1415" s="20" t="str">
        <f>IF('DDF Original'!C1415="","",'DDF Original'!C1415)</f>
        <v/>
      </c>
      <c r="E1415" s="24" t="str">
        <f>IF('DDF Original'!B1415="","",IF(TRIM('DDF Original'!I1415)="",0,'DDF Original'!I1415))</f>
        <v/>
      </c>
      <c r="F1415" s="20" t="str">
        <f t="shared" si="155"/>
        <v/>
      </c>
      <c r="G1415" s="37" t="str">
        <f>IF('DDF Original'!B1415="","",IF(TRIM('DDF Original'!P1415)="",0,'DDF Original'!P1415))</f>
        <v/>
      </c>
      <c r="H1415" s="20" t="str">
        <f t="shared" si="156"/>
        <v/>
      </c>
      <c r="I1415" s="25" t="str">
        <f t="shared" si="157"/>
        <v/>
      </c>
      <c r="J1415" s="20" t="str">
        <f t="shared" si="158"/>
        <v/>
      </c>
      <c r="K1415" s="20" t="str">
        <f t="shared" si="159"/>
        <v/>
      </c>
      <c r="L1415" s="20" t="str">
        <f>IF(B1415="","",70*'DDF Original'!$Q$4)</f>
        <v/>
      </c>
      <c r="M1415" s="20" t="str">
        <f t="shared" si="160"/>
        <v/>
      </c>
      <c r="N1415" s="20" t="str">
        <f>IF(AND(OR(B1415="",J1415&gt;G1415,M1415&gt;G1415),'DDF Original'!L1415&lt;&gt; "MI"),G1415,IF(M1415&gt;J1415,M1415,J1415))</f>
        <v/>
      </c>
    </row>
    <row r="1416" spans="2:14" x14ac:dyDescent="0.2">
      <c r="B1416" s="19" t="str">
        <f>IF('DDF Original'!B1416="","",'DDF Original'!B1416)</f>
        <v/>
      </c>
      <c r="C1416" s="19" t="e">
        <f t="shared" si="154"/>
        <v>#VALUE!</v>
      </c>
      <c r="D1416" s="20" t="str">
        <f>IF('DDF Original'!C1416="","",'DDF Original'!C1416)</f>
        <v/>
      </c>
      <c r="E1416" s="24" t="str">
        <f>IF('DDF Original'!B1416="","",IF(TRIM('DDF Original'!I1416)="",0,'DDF Original'!I1416))</f>
        <v/>
      </c>
      <c r="F1416" s="20" t="str">
        <f t="shared" si="155"/>
        <v/>
      </c>
      <c r="G1416" s="37" t="str">
        <f>IF('DDF Original'!B1416="","",IF(TRIM('DDF Original'!P1416)="",0,'DDF Original'!P1416))</f>
        <v/>
      </c>
      <c r="H1416" s="20" t="str">
        <f t="shared" si="156"/>
        <v/>
      </c>
      <c r="I1416" s="25" t="str">
        <f t="shared" si="157"/>
        <v/>
      </c>
      <c r="J1416" s="20" t="str">
        <f t="shared" si="158"/>
        <v/>
      </c>
      <c r="K1416" s="20" t="str">
        <f t="shared" si="159"/>
        <v/>
      </c>
      <c r="L1416" s="20" t="str">
        <f>IF(B1416="","",70*'DDF Original'!$Q$4)</f>
        <v/>
      </c>
      <c r="M1416" s="20" t="str">
        <f t="shared" si="160"/>
        <v/>
      </c>
      <c r="N1416" s="20" t="str">
        <f>IF(AND(OR(B1416="",J1416&gt;G1416,M1416&gt;G1416),'DDF Original'!L1416&lt;&gt; "MI"),G1416,IF(M1416&gt;J1416,M1416,J1416))</f>
        <v/>
      </c>
    </row>
    <row r="1417" spans="2:14" x14ac:dyDescent="0.2">
      <c r="B1417" s="19" t="str">
        <f>IF('DDF Original'!B1417="","",'DDF Original'!B1417)</f>
        <v/>
      </c>
      <c r="C1417" s="19" t="e">
        <f t="shared" si="154"/>
        <v>#VALUE!</v>
      </c>
      <c r="D1417" s="20" t="str">
        <f>IF('DDF Original'!C1417="","",'DDF Original'!C1417)</f>
        <v/>
      </c>
      <c r="E1417" s="24" t="str">
        <f>IF('DDF Original'!B1417="","",IF(TRIM('DDF Original'!I1417)="",0,'DDF Original'!I1417))</f>
        <v/>
      </c>
      <c r="F1417" s="20" t="str">
        <f t="shared" si="155"/>
        <v/>
      </c>
      <c r="G1417" s="37" t="str">
        <f>IF('DDF Original'!B1417="","",IF(TRIM('DDF Original'!P1417)="",0,'DDF Original'!P1417))</f>
        <v/>
      </c>
      <c r="H1417" s="20" t="str">
        <f t="shared" si="156"/>
        <v/>
      </c>
      <c r="I1417" s="25" t="str">
        <f t="shared" si="157"/>
        <v/>
      </c>
      <c r="J1417" s="20" t="str">
        <f t="shared" si="158"/>
        <v/>
      </c>
      <c r="K1417" s="20" t="str">
        <f t="shared" si="159"/>
        <v/>
      </c>
      <c r="L1417" s="20" t="str">
        <f>IF(B1417="","",70*'DDF Original'!$Q$4)</f>
        <v/>
      </c>
      <c r="M1417" s="20" t="str">
        <f t="shared" si="160"/>
        <v/>
      </c>
      <c r="N1417" s="20" t="str">
        <f>IF(AND(OR(B1417="",J1417&gt;G1417,M1417&gt;G1417),'DDF Original'!L1417&lt;&gt; "MI"),G1417,IF(M1417&gt;J1417,M1417,J1417))</f>
        <v/>
      </c>
    </row>
    <row r="1418" spans="2:14" x14ac:dyDescent="0.2">
      <c r="B1418" s="19" t="str">
        <f>IF('DDF Original'!B1418="","",'DDF Original'!B1418)</f>
        <v/>
      </c>
      <c r="C1418" s="19" t="e">
        <f t="shared" si="154"/>
        <v>#VALUE!</v>
      </c>
      <c r="D1418" s="20" t="str">
        <f>IF('DDF Original'!C1418="","",'DDF Original'!C1418)</f>
        <v/>
      </c>
      <c r="E1418" s="24" t="str">
        <f>IF('DDF Original'!B1418="","",IF(TRIM('DDF Original'!I1418)="",0,'DDF Original'!I1418))</f>
        <v/>
      </c>
      <c r="F1418" s="20" t="str">
        <f t="shared" si="155"/>
        <v/>
      </c>
      <c r="G1418" s="37" t="str">
        <f>IF('DDF Original'!B1418="","",IF(TRIM('DDF Original'!P1418)="",0,'DDF Original'!P1418))</f>
        <v/>
      </c>
      <c r="H1418" s="20" t="str">
        <f t="shared" si="156"/>
        <v/>
      </c>
      <c r="I1418" s="25" t="str">
        <f t="shared" si="157"/>
        <v/>
      </c>
      <c r="J1418" s="20" t="str">
        <f t="shared" si="158"/>
        <v/>
      </c>
      <c r="K1418" s="20" t="str">
        <f t="shared" si="159"/>
        <v/>
      </c>
      <c r="L1418" s="20" t="str">
        <f>IF(B1418="","",70*'DDF Original'!$Q$4)</f>
        <v/>
      </c>
      <c r="M1418" s="20" t="str">
        <f t="shared" si="160"/>
        <v/>
      </c>
      <c r="N1418" s="20" t="str">
        <f>IF(AND(OR(B1418="",J1418&gt;G1418,M1418&gt;G1418),'DDF Original'!L1418&lt;&gt; "MI"),G1418,IF(M1418&gt;J1418,M1418,J1418))</f>
        <v/>
      </c>
    </row>
    <row r="1419" spans="2:14" x14ac:dyDescent="0.2">
      <c r="B1419" s="19" t="str">
        <f>IF('DDF Original'!B1419="","",'DDF Original'!B1419)</f>
        <v/>
      </c>
      <c r="C1419" s="19" t="e">
        <f t="shared" si="154"/>
        <v>#VALUE!</v>
      </c>
      <c r="D1419" s="20" t="str">
        <f>IF('DDF Original'!C1419="","",'DDF Original'!C1419)</f>
        <v/>
      </c>
      <c r="E1419" s="24" t="str">
        <f>IF('DDF Original'!B1419="","",IF(TRIM('DDF Original'!I1419)="",0,'DDF Original'!I1419))</f>
        <v/>
      </c>
      <c r="F1419" s="20" t="str">
        <f t="shared" si="155"/>
        <v/>
      </c>
      <c r="G1419" s="37" t="str">
        <f>IF('DDF Original'!B1419="","",IF(TRIM('DDF Original'!P1419)="",0,'DDF Original'!P1419))</f>
        <v/>
      </c>
      <c r="H1419" s="20" t="str">
        <f t="shared" si="156"/>
        <v/>
      </c>
      <c r="I1419" s="25" t="str">
        <f t="shared" si="157"/>
        <v/>
      </c>
      <c r="J1419" s="20" t="str">
        <f t="shared" si="158"/>
        <v/>
      </c>
      <c r="K1419" s="20" t="str">
        <f t="shared" si="159"/>
        <v/>
      </c>
      <c r="L1419" s="20" t="str">
        <f>IF(B1419="","",70*'DDF Original'!$Q$4)</f>
        <v/>
      </c>
      <c r="M1419" s="20" t="str">
        <f t="shared" si="160"/>
        <v/>
      </c>
      <c r="N1419" s="20" t="str">
        <f>IF(AND(OR(B1419="",J1419&gt;G1419,M1419&gt;G1419),'DDF Original'!L1419&lt;&gt; "MI"),G1419,IF(M1419&gt;J1419,M1419,J1419))</f>
        <v/>
      </c>
    </row>
    <row r="1420" spans="2:14" x14ac:dyDescent="0.2">
      <c r="B1420" s="19" t="str">
        <f>IF('DDF Original'!B1420="","",'DDF Original'!B1420)</f>
        <v/>
      </c>
      <c r="C1420" s="19" t="e">
        <f t="shared" si="154"/>
        <v>#VALUE!</v>
      </c>
      <c r="D1420" s="20" t="str">
        <f>IF('DDF Original'!C1420="","",'DDF Original'!C1420)</f>
        <v/>
      </c>
      <c r="E1420" s="24" t="str">
        <f>IF('DDF Original'!B1420="","",IF(TRIM('DDF Original'!I1420)="",0,'DDF Original'!I1420))</f>
        <v/>
      </c>
      <c r="F1420" s="20" t="str">
        <f t="shared" si="155"/>
        <v/>
      </c>
      <c r="G1420" s="37" t="str">
        <f>IF('DDF Original'!B1420="","",IF(TRIM('DDF Original'!P1420)="",0,'DDF Original'!P1420))</f>
        <v/>
      </c>
      <c r="H1420" s="20" t="str">
        <f t="shared" si="156"/>
        <v/>
      </c>
      <c r="I1420" s="25" t="str">
        <f t="shared" si="157"/>
        <v/>
      </c>
      <c r="J1420" s="20" t="str">
        <f t="shared" si="158"/>
        <v/>
      </c>
      <c r="K1420" s="20" t="str">
        <f t="shared" si="159"/>
        <v/>
      </c>
      <c r="L1420" s="20" t="str">
        <f>IF(B1420="","",70*'DDF Original'!$Q$4)</f>
        <v/>
      </c>
      <c r="M1420" s="20" t="str">
        <f t="shared" si="160"/>
        <v/>
      </c>
      <c r="N1420" s="20" t="str">
        <f>IF(AND(OR(B1420="",J1420&gt;G1420,M1420&gt;G1420),'DDF Original'!L1420&lt;&gt; "MI"),G1420,IF(M1420&gt;J1420,M1420,J1420))</f>
        <v/>
      </c>
    </row>
    <row r="1421" spans="2:14" x14ac:dyDescent="0.2">
      <c r="B1421" s="19" t="str">
        <f>IF('DDF Original'!B1421="","",'DDF Original'!B1421)</f>
        <v/>
      </c>
      <c r="C1421" s="19" t="e">
        <f t="shared" si="154"/>
        <v>#VALUE!</v>
      </c>
      <c r="D1421" s="20" t="str">
        <f>IF('DDF Original'!C1421="","",'DDF Original'!C1421)</f>
        <v/>
      </c>
      <c r="E1421" s="24" t="str">
        <f>IF('DDF Original'!B1421="","",IF(TRIM('DDF Original'!I1421)="",0,'DDF Original'!I1421))</f>
        <v/>
      </c>
      <c r="F1421" s="20" t="str">
        <f t="shared" si="155"/>
        <v/>
      </c>
      <c r="G1421" s="37" t="str">
        <f>IF('DDF Original'!B1421="","",IF(TRIM('DDF Original'!P1421)="",0,'DDF Original'!P1421))</f>
        <v/>
      </c>
      <c r="H1421" s="20" t="str">
        <f t="shared" si="156"/>
        <v/>
      </c>
      <c r="I1421" s="25" t="str">
        <f t="shared" si="157"/>
        <v/>
      </c>
      <c r="J1421" s="20" t="str">
        <f t="shared" si="158"/>
        <v/>
      </c>
      <c r="K1421" s="20" t="str">
        <f t="shared" si="159"/>
        <v/>
      </c>
      <c r="L1421" s="20" t="str">
        <f>IF(B1421="","",70*'DDF Original'!$Q$4)</f>
        <v/>
      </c>
      <c r="M1421" s="20" t="str">
        <f t="shared" si="160"/>
        <v/>
      </c>
      <c r="N1421" s="20" t="str">
        <f>IF(AND(OR(B1421="",J1421&gt;G1421,M1421&gt;G1421),'DDF Original'!L1421&lt;&gt; "MI"),G1421,IF(M1421&gt;J1421,M1421,J1421))</f>
        <v/>
      </c>
    </row>
    <row r="1422" spans="2:14" x14ac:dyDescent="0.2">
      <c r="B1422" s="19" t="str">
        <f>IF('DDF Original'!B1422="","",'DDF Original'!B1422)</f>
        <v/>
      </c>
      <c r="C1422" s="19" t="e">
        <f t="shared" si="154"/>
        <v>#VALUE!</v>
      </c>
      <c r="D1422" s="20" t="str">
        <f>IF('DDF Original'!C1422="","",'DDF Original'!C1422)</f>
        <v/>
      </c>
      <c r="E1422" s="24" t="str">
        <f>IF('DDF Original'!B1422="","",IF(TRIM('DDF Original'!I1422)="",0,'DDF Original'!I1422))</f>
        <v/>
      </c>
      <c r="F1422" s="20" t="str">
        <f t="shared" si="155"/>
        <v/>
      </c>
      <c r="G1422" s="37" t="str">
        <f>IF('DDF Original'!B1422="","",IF(TRIM('DDF Original'!P1422)="",0,'DDF Original'!P1422))</f>
        <v/>
      </c>
      <c r="H1422" s="20" t="str">
        <f t="shared" si="156"/>
        <v/>
      </c>
      <c r="I1422" s="25" t="str">
        <f t="shared" si="157"/>
        <v/>
      </c>
      <c r="J1422" s="20" t="str">
        <f t="shared" si="158"/>
        <v/>
      </c>
      <c r="K1422" s="20" t="str">
        <f t="shared" si="159"/>
        <v/>
      </c>
      <c r="L1422" s="20" t="str">
        <f>IF(B1422="","",70*'DDF Original'!$Q$4)</f>
        <v/>
      </c>
      <c r="M1422" s="20" t="str">
        <f t="shared" si="160"/>
        <v/>
      </c>
      <c r="N1422" s="20" t="str">
        <f>IF(AND(OR(B1422="",J1422&gt;G1422,M1422&gt;G1422),'DDF Original'!L1422&lt;&gt; "MI"),G1422,IF(M1422&gt;J1422,M1422,J1422))</f>
        <v/>
      </c>
    </row>
    <row r="1423" spans="2:14" x14ac:dyDescent="0.2">
      <c r="B1423" s="19" t="str">
        <f>IF('DDF Original'!B1423="","",'DDF Original'!B1423)</f>
        <v/>
      </c>
      <c r="C1423" s="19" t="e">
        <f t="shared" si="154"/>
        <v>#VALUE!</v>
      </c>
      <c r="D1423" s="20" t="str">
        <f>IF('DDF Original'!C1423="","",'DDF Original'!C1423)</f>
        <v/>
      </c>
      <c r="E1423" s="24" t="str">
        <f>IF('DDF Original'!B1423="","",IF(TRIM('DDF Original'!I1423)="",0,'DDF Original'!I1423))</f>
        <v/>
      </c>
      <c r="F1423" s="20" t="str">
        <f t="shared" si="155"/>
        <v/>
      </c>
      <c r="G1423" s="37" t="str">
        <f>IF('DDF Original'!B1423="","",IF(TRIM('DDF Original'!P1423)="",0,'DDF Original'!P1423))</f>
        <v/>
      </c>
      <c r="H1423" s="20" t="str">
        <f t="shared" si="156"/>
        <v/>
      </c>
      <c r="I1423" s="25" t="str">
        <f t="shared" si="157"/>
        <v/>
      </c>
      <c r="J1423" s="20" t="str">
        <f t="shared" si="158"/>
        <v/>
      </c>
      <c r="K1423" s="20" t="str">
        <f t="shared" si="159"/>
        <v/>
      </c>
      <c r="L1423" s="20" t="str">
        <f>IF(B1423="","",70*'DDF Original'!$Q$4)</f>
        <v/>
      </c>
      <c r="M1423" s="20" t="str">
        <f t="shared" si="160"/>
        <v/>
      </c>
      <c r="N1423" s="20" t="str">
        <f>IF(AND(OR(B1423="",J1423&gt;G1423,M1423&gt;G1423),'DDF Original'!L1423&lt;&gt; "MI"),G1423,IF(M1423&gt;J1423,M1423,J1423))</f>
        <v/>
      </c>
    </row>
    <row r="1424" spans="2:14" x14ac:dyDescent="0.2">
      <c r="B1424" s="19" t="str">
        <f>IF('DDF Original'!B1424="","",'DDF Original'!B1424)</f>
        <v/>
      </c>
      <c r="C1424" s="19" t="e">
        <f t="shared" si="154"/>
        <v>#VALUE!</v>
      </c>
      <c r="D1424" s="20" t="str">
        <f>IF('DDF Original'!C1424="","",'DDF Original'!C1424)</f>
        <v/>
      </c>
      <c r="E1424" s="24" t="str">
        <f>IF('DDF Original'!B1424="","",IF(TRIM('DDF Original'!I1424)="",0,'DDF Original'!I1424))</f>
        <v/>
      </c>
      <c r="F1424" s="20" t="str">
        <f t="shared" si="155"/>
        <v/>
      </c>
      <c r="G1424" s="37" t="str">
        <f>IF('DDF Original'!B1424="","",IF(TRIM('DDF Original'!P1424)="",0,'DDF Original'!P1424))</f>
        <v/>
      </c>
      <c r="H1424" s="20" t="str">
        <f t="shared" si="156"/>
        <v/>
      </c>
      <c r="I1424" s="25" t="str">
        <f t="shared" si="157"/>
        <v/>
      </c>
      <c r="J1424" s="20" t="str">
        <f t="shared" si="158"/>
        <v/>
      </c>
      <c r="K1424" s="20" t="str">
        <f t="shared" si="159"/>
        <v/>
      </c>
      <c r="L1424" s="20" t="str">
        <f>IF(B1424="","",70*'DDF Original'!$Q$4)</f>
        <v/>
      </c>
      <c r="M1424" s="20" t="str">
        <f t="shared" si="160"/>
        <v/>
      </c>
      <c r="N1424" s="20" t="str">
        <f>IF(AND(OR(B1424="",J1424&gt;G1424,M1424&gt;G1424),'DDF Original'!L1424&lt;&gt; "MI"),G1424,IF(M1424&gt;J1424,M1424,J1424))</f>
        <v/>
      </c>
    </row>
    <row r="1425" spans="2:14" x14ac:dyDescent="0.2">
      <c r="B1425" s="19" t="str">
        <f>IF('DDF Original'!B1425="","",'DDF Original'!B1425)</f>
        <v/>
      </c>
      <c r="C1425" s="19" t="e">
        <f t="shared" si="154"/>
        <v>#VALUE!</v>
      </c>
      <c r="D1425" s="20" t="str">
        <f>IF('DDF Original'!C1425="","",'DDF Original'!C1425)</f>
        <v/>
      </c>
      <c r="E1425" s="24" t="str">
        <f>IF('DDF Original'!B1425="","",IF(TRIM('DDF Original'!I1425)="",0,'DDF Original'!I1425))</f>
        <v/>
      </c>
      <c r="F1425" s="20" t="str">
        <f t="shared" si="155"/>
        <v/>
      </c>
      <c r="G1425" s="37" t="str">
        <f>IF('DDF Original'!B1425="","",IF(TRIM('DDF Original'!P1425)="",0,'DDF Original'!P1425))</f>
        <v/>
      </c>
      <c r="H1425" s="20" t="str">
        <f t="shared" si="156"/>
        <v/>
      </c>
      <c r="I1425" s="25" t="str">
        <f t="shared" si="157"/>
        <v/>
      </c>
      <c r="J1425" s="20" t="str">
        <f t="shared" si="158"/>
        <v/>
      </c>
      <c r="K1425" s="20" t="str">
        <f t="shared" si="159"/>
        <v/>
      </c>
      <c r="L1425" s="20" t="str">
        <f>IF(B1425="","",70*'DDF Original'!$Q$4)</f>
        <v/>
      </c>
      <c r="M1425" s="20" t="str">
        <f t="shared" si="160"/>
        <v/>
      </c>
      <c r="N1425" s="20" t="str">
        <f>IF(AND(OR(B1425="",J1425&gt;G1425,M1425&gt;G1425),'DDF Original'!L1425&lt;&gt; "MI"),G1425,IF(M1425&gt;J1425,M1425,J1425))</f>
        <v/>
      </c>
    </row>
    <row r="1426" spans="2:14" x14ac:dyDescent="0.2">
      <c r="B1426" s="19" t="str">
        <f>IF('DDF Original'!B1426="","",'DDF Original'!B1426)</f>
        <v/>
      </c>
      <c r="C1426" s="19" t="e">
        <f t="shared" si="154"/>
        <v>#VALUE!</v>
      </c>
      <c r="D1426" s="20" t="str">
        <f>IF('DDF Original'!C1426="","",'DDF Original'!C1426)</f>
        <v/>
      </c>
      <c r="E1426" s="24" t="str">
        <f>IF('DDF Original'!B1426="","",IF(TRIM('DDF Original'!I1426)="",0,'DDF Original'!I1426))</f>
        <v/>
      </c>
      <c r="F1426" s="20" t="str">
        <f t="shared" si="155"/>
        <v/>
      </c>
      <c r="G1426" s="37" t="str">
        <f>IF('DDF Original'!B1426="","",IF(TRIM('DDF Original'!P1426)="",0,'DDF Original'!P1426))</f>
        <v/>
      </c>
      <c r="H1426" s="20" t="str">
        <f t="shared" si="156"/>
        <v/>
      </c>
      <c r="I1426" s="25" t="str">
        <f t="shared" si="157"/>
        <v/>
      </c>
      <c r="J1426" s="20" t="str">
        <f t="shared" si="158"/>
        <v/>
      </c>
      <c r="K1426" s="20" t="str">
        <f t="shared" si="159"/>
        <v/>
      </c>
      <c r="L1426" s="20" t="str">
        <f>IF(B1426="","",70*'DDF Original'!$Q$4)</f>
        <v/>
      </c>
      <c r="M1426" s="20" t="str">
        <f t="shared" si="160"/>
        <v/>
      </c>
      <c r="N1426" s="20" t="str">
        <f>IF(AND(OR(B1426="",J1426&gt;G1426,M1426&gt;G1426),'DDF Original'!L1426&lt;&gt; "MI"),G1426,IF(M1426&gt;J1426,M1426,J1426))</f>
        <v/>
      </c>
    </row>
    <row r="1427" spans="2:14" x14ac:dyDescent="0.2">
      <c r="B1427" s="19" t="str">
        <f>IF('DDF Original'!B1427="","",'DDF Original'!B1427)</f>
        <v/>
      </c>
      <c r="C1427" s="19" t="e">
        <f t="shared" si="154"/>
        <v>#VALUE!</v>
      </c>
      <c r="D1427" s="20" t="str">
        <f>IF('DDF Original'!C1427="","",'DDF Original'!C1427)</f>
        <v/>
      </c>
      <c r="E1427" s="24" t="str">
        <f>IF('DDF Original'!B1427="","",IF(TRIM('DDF Original'!I1427)="",0,'DDF Original'!I1427))</f>
        <v/>
      </c>
      <c r="F1427" s="20" t="str">
        <f t="shared" si="155"/>
        <v/>
      </c>
      <c r="G1427" s="37" t="str">
        <f>IF('DDF Original'!B1427="","",IF(TRIM('DDF Original'!P1427)="",0,'DDF Original'!P1427))</f>
        <v/>
      </c>
      <c r="H1427" s="20" t="str">
        <f t="shared" si="156"/>
        <v/>
      </c>
      <c r="I1427" s="25" t="str">
        <f t="shared" si="157"/>
        <v/>
      </c>
      <c r="J1427" s="20" t="str">
        <f t="shared" si="158"/>
        <v/>
      </c>
      <c r="K1427" s="20" t="str">
        <f t="shared" si="159"/>
        <v/>
      </c>
      <c r="L1427" s="20" t="str">
        <f>IF(B1427="","",70*'DDF Original'!$Q$4)</f>
        <v/>
      </c>
      <c r="M1427" s="20" t="str">
        <f t="shared" si="160"/>
        <v/>
      </c>
      <c r="N1427" s="20" t="str">
        <f>IF(AND(OR(B1427="",J1427&gt;G1427,M1427&gt;G1427),'DDF Original'!L1427&lt;&gt; "MI"),G1427,IF(M1427&gt;J1427,M1427,J1427))</f>
        <v/>
      </c>
    </row>
    <row r="1428" spans="2:14" x14ac:dyDescent="0.2">
      <c r="B1428" s="19" t="str">
        <f>IF('DDF Original'!B1428="","",'DDF Original'!B1428)</f>
        <v/>
      </c>
      <c r="C1428" s="19" t="e">
        <f t="shared" si="154"/>
        <v>#VALUE!</v>
      </c>
      <c r="D1428" s="20" t="str">
        <f>IF('DDF Original'!C1428="","",'DDF Original'!C1428)</f>
        <v/>
      </c>
      <c r="E1428" s="24" t="str">
        <f>IF('DDF Original'!B1428="","",IF(TRIM('DDF Original'!I1428)="",0,'DDF Original'!I1428))</f>
        <v/>
      </c>
      <c r="F1428" s="20" t="str">
        <f t="shared" si="155"/>
        <v/>
      </c>
      <c r="G1428" s="37" t="str">
        <f>IF('DDF Original'!B1428="","",IF(TRIM('DDF Original'!P1428)="",0,'DDF Original'!P1428))</f>
        <v/>
      </c>
      <c r="H1428" s="20" t="str">
        <f t="shared" si="156"/>
        <v/>
      </c>
      <c r="I1428" s="25" t="str">
        <f t="shared" si="157"/>
        <v/>
      </c>
      <c r="J1428" s="20" t="str">
        <f t="shared" si="158"/>
        <v/>
      </c>
      <c r="K1428" s="20" t="str">
        <f t="shared" si="159"/>
        <v/>
      </c>
      <c r="L1428" s="20" t="str">
        <f>IF(B1428="","",70*'DDF Original'!$Q$4)</f>
        <v/>
      </c>
      <c r="M1428" s="20" t="str">
        <f t="shared" si="160"/>
        <v/>
      </c>
      <c r="N1428" s="20" t="str">
        <f>IF(AND(OR(B1428="",J1428&gt;G1428,M1428&gt;G1428),'DDF Original'!L1428&lt;&gt; "MI"),G1428,IF(M1428&gt;J1428,M1428,J1428))</f>
        <v/>
      </c>
    </row>
    <row r="1429" spans="2:14" x14ac:dyDescent="0.2">
      <c r="B1429" s="19" t="str">
        <f>IF('DDF Original'!B1429="","",'DDF Original'!B1429)</f>
        <v/>
      </c>
      <c r="C1429" s="19" t="e">
        <f t="shared" si="154"/>
        <v>#VALUE!</v>
      </c>
      <c r="D1429" s="20" t="str">
        <f>IF('DDF Original'!C1429="","",'DDF Original'!C1429)</f>
        <v/>
      </c>
      <c r="E1429" s="24" t="str">
        <f>IF('DDF Original'!B1429="","",IF(TRIM('DDF Original'!I1429)="",0,'DDF Original'!I1429))</f>
        <v/>
      </c>
      <c r="F1429" s="20" t="str">
        <f t="shared" si="155"/>
        <v/>
      </c>
      <c r="G1429" s="37" t="str">
        <f>IF('DDF Original'!B1429="","",IF(TRIM('DDF Original'!P1429)="",0,'DDF Original'!P1429))</f>
        <v/>
      </c>
      <c r="H1429" s="20" t="str">
        <f t="shared" si="156"/>
        <v/>
      </c>
      <c r="I1429" s="25" t="str">
        <f t="shared" si="157"/>
        <v/>
      </c>
      <c r="J1429" s="20" t="str">
        <f t="shared" si="158"/>
        <v/>
      </c>
      <c r="K1429" s="20" t="str">
        <f t="shared" si="159"/>
        <v/>
      </c>
      <c r="L1429" s="20" t="str">
        <f>IF(B1429="","",70*'DDF Original'!$Q$4)</f>
        <v/>
      </c>
      <c r="M1429" s="20" t="str">
        <f t="shared" si="160"/>
        <v/>
      </c>
      <c r="N1429" s="20" t="str">
        <f>IF(AND(OR(B1429="",J1429&gt;G1429,M1429&gt;G1429),'DDF Original'!L1429&lt;&gt; "MI"),G1429,IF(M1429&gt;J1429,M1429,J1429))</f>
        <v/>
      </c>
    </row>
    <row r="1430" spans="2:14" x14ac:dyDescent="0.2">
      <c r="B1430" s="19" t="str">
        <f>IF('DDF Original'!B1430="","",'DDF Original'!B1430)</f>
        <v/>
      </c>
      <c r="C1430" s="19" t="e">
        <f t="shared" si="154"/>
        <v>#VALUE!</v>
      </c>
      <c r="D1430" s="20" t="str">
        <f>IF('DDF Original'!C1430="","",'DDF Original'!C1430)</f>
        <v/>
      </c>
      <c r="E1430" s="24" t="str">
        <f>IF('DDF Original'!B1430="","",IF(TRIM('DDF Original'!I1430)="",0,'DDF Original'!I1430))</f>
        <v/>
      </c>
      <c r="F1430" s="20" t="str">
        <f t="shared" si="155"/>
        <v/>
      </c>
      <c r="G1430" s="37" t="str">
        <f>IF('DDF Original'!B1430="","",IF(TRIM('DDF Original'!P1430)="",0,'DDF Original'!P1430))</f>
        <v/>
      </c>
      <c r="H1430" s="20" t="str">
        <f t="shared" si="156"/>
        <v/>
      </c>
      <c r="I1430" s="25" t="str">
        <f t="shared" si="157"/>
        <v/>
      </c>
      <c r="J1430" s="20" t="str">
        <f t="shared" si="158"/>
        <v/>
      </c>
      <c r="K1430" s="20" t="str">
        <f t="shared" si="159"/>
        <v/>
      </c>
      <c r="L1430" s="20" t="str">
        <f>IF(B1430="","",70*'DDF Original'!$Q$4)</f>
        <v/>
      </c>
      <c r="M1430" s="20" t="str">
        <f t="shared" si="160"/>
        <v/>
      </c>
      <c r="N1430" s="20" t="str">
        <f>IF(AND(OR(B1430="",J1430&gt;G1430,M1430&gt;G1430),'DDF Original'!L1430&lt;&gt; "MI"),G1430,IF(M1430&gt;J1430,M1430,J1430))</f>
        <v/>
      </c>
    </row>
    <row r="1431" spans="2:14" x14ac:dyDescent="0.2">
      <c r="B1431" s="19" t="str">
        <f>IF('DDF Original'!B1431="","",'DDF Original'!B1431)</f>
        <v/>
      </c>
      <c r="C1431" s="19" t="e">
        <f t="shared" si="154"/>
        <v>#VALUE!</v>
      </c>
      <c r="D1431" s="20" t="str">
        <f>IF('DDF Original'!C1431="","",'DDF Original'!C1431)</f>
        <v/>
      </c>
      <c r="E1431" s="24" t="str">
        <f>IF('DDF Original'!B1431="","",IF(TRIM('DDF Original'!I1431)="",0,'DDF Original'!I1431))</f>
        <v/>
      </c>
      <c r="F1431" s="20" t="str">
        <f t="shared" si="155"/>
        <v/>
      </c>
      <c r="G1431" s="37" t="str">
        <f>IF('DDF Original'!B1431="","",IF(TRIM('DDF Original'!P1431)="",0,'DDF Original'!P1431))</f>
        <v/>
      </c>
      <c r="H1431" s="20" t="str">
        <f t="shared" si="156"/>
        <v/>
      </c>
      <c r="I1431" s="25" t="str">
        <f t="shared" si="157"/>
        <v/>
      </c>
      <c r="J1431" s="20" t="str">
        <f t="shared" si="158"/>
        <v/>
      </c>
      <c r="K1431" s="20" t="str">
        <f t="shared" si="159"/>
        <v/>
      </c>
      <c r="L1431" s="20" t="str">
        <f>IF(B1431="","",70*'DDF Original'!$Q$4)</f>
        <v/>
      </c>
      <c r="M1431" s="20" t="str">
        <f t="shared" si="160"/>
        <v/>
      </c>
      <c r="N1431" s="20" t="str">
        <f>IF(AND(OR(B1431="",J1431&gt;G1431,M1431&gt;G1431),'DDF Original'!L1431&lt;&gt; "MI"),G1431,IF(M1431&gt;J1431,M1431,J1431))</f>
        <v/>
      </c>
    </row>
    <row r="1432" spans="2:14" x14ac:dyDescent="0.2">
      <c r="B1432" s="19" t="str">
        <f>IF('DDF Original'!B1432="","",'DDF Original'!B1432)</f>
        <v/>
      </c>
      <c r="C1432" s="19" t="e">
        <f t="shared" si="154"/>
        <v>#VALUE!</v>
      </c>
      <c r="D1432" s="20" t="str">
        <f>IF('DDF Original'!C1432="","",'DDF Original'!C1432)</f>
        <v/>
      </c>
      <c r="E1432" s="24" t="str">
        <f>IF('DDF Original'!B1432="","",IF(TRIM('DDF Original'!I1432)="",0,'DDF Original'!I1432))</f>
        <v/>
      </c>
      <c r="F1432" s="20" t="str">
        <f t="shared" si="155"/>
        <v/>
      </c>
      <c r="G1432" s="37" t="str">
        <f>IF('DDF Original'!B1432="","",IF(TRIM('DDF Original'!P1432)="",0,'DDF Original'!P1432))</f>
        <v/>
      </c>
      <c r="H1432" s="20" t="str">
        <f t="shared" si="156"/>
        <v/>
      </c>
      <c r="I1432" s="25" t="str">
        <f t="shared" si="157"/>
        <v/>
      </c>
      <c r="J1432" s="20" t="str">
        <f t="shared" si="158"/>
        <v/>
      </c>
      <c r="K1432" s="20" t="str">
        <f t="shared" si="159"/>
        <v/>
      </c>
      <c r="L1432" s="20" t="str">
        <f>IF(B1432="","",70*'DDF Original'!$Q$4)</f>
        <v/>
      </c>
      <c r="M1432" s="20" t="str">
        <f t="shared" si="160"/>
        <v/>
      </c>
      <c r="N1432" s="20" t="str">
        <f>IF(AND(OR(B1432="",J1432&gt;G1432,M1432&gt;G1432),'DDF Original'!L1432&lt;&gt; "MI"),G1432,IF(M1432&gt;J1432,M1432,J1432))</f>
        <v/>
      </c>
    </row>
    <row r="1433" spans="2:14" x14ac:dyDescent="0.2">
      <c r="B1433" s="19" t="str">
        <f>IF('DDF Original'!B1433="","",'DDF Original'!B1433)</f>
        <v/>
      </c>
      <c r="C1433" s="19" t="e">
        <f t="shared" si="154"/>
        <v>#VALUE!</v>
      </c>
      <c r="D1433" s="20" t="str">
        <f>IF('DDF Original'!C1433="","",'DDF Original'!C1433)</f>
        <v/>
      </c>
      <c r="E1433" s="24" t="str">
        <f>IF('DDF Original'!B1433="","",IF(TRIM('DDF Original'!I1433)="",0,'DDF Original'!I1433))</f>
        <v/>
      </c>
      <c r="F1433" s="20" t="str">
        <f t="shared" si="155"/>
        <v/>
      </c>
      <c r="G1433" s="37" t="str">
        <f>IF('DDF Original'!B1433="","",IF(TRIM('DDF Original'!P1433)="",0,'DDF Original'!P1433))</f>
        <v/>
      </c>
      <c r="H1433" s="20" t="str">
        <f t="shared" si="156"/>
        <v/>
      </c>
      <c r="I1433" s="25" t="str">
        <f t="shared" si="157"/>
        <v/>
      </c>
      <c r="J1433" s="20" t="str">
        <f t="shared" si="158"/>
        <v/>
      </c>
      <c r="K1433" s="20" t="str">
        <f t="shared" si="159"/>
        <v/>
      </c>
      <c r="L1433" s="20" t="str">
        <f>IF(B1433="","",70*'DDF Original'!$Q$4)</f>
        <v/>
      </c>
      <c r="M1433" s="20" t="str">
        <f t="shared" si="160"/>
        <v/>
      </c>
      <c r="N1433" s="20" t="str">
        <f>IF(AND(OR(B1433="",J1433&gt;G1433,M1433&gt;G1433),'DDF Original'!L1433&lt;&gt; "MI"),G1433,IF(M1433&gt;J1433,M1433,J1433))</f>
        <v/>
      </c>
    </row>
    <row r="1434" spans="2:14" x14ac:dyDescent="0.2">
      <c r="B1434" s="19" t="str">
        <f>IF('DDF Original'!B1434="","",'DDF Original'!B1434)</f>
        <v/>
      </c>
      <c r="C1434" s="19" t="e">
        <f t="shared" si="154"/>
        <v>#VALUE!</v>
      </c>
      <c r="D1434" s="20" t="str">
        <f>IF('DDF Original'!C1434="","",'DDF Original'!C1434)</f>
        <v/>
      </c>
      <c r="E1434" s="24" t="str">
        <f>IF('DDF Original'!B1434="","",IF(TRIM('DDF Original'!I1434)="",0,'DDF Original'!I1434))</f>
        <v/>
      </c>
      <c r="F1434" s="20" t="str">
        <f t="shared" si="155"/>
        <v/>
      </c>
      <c r="G1434" s="37" t="str">
        <f>IF('DDF Original'!B1434="","",IF(TRIM('DDF Original'!P1434)="",0,'DDF Original'!P1434))</f>
        <v/>
      </c>
      <c r="H1434" s="20" t="str">
        <f t="shared" si="156"/>
        <v/>
      </c>
      <c r="I1434" s="25" t="str">
        <f t="shared" si="157"/>
        <v/>
      </c>
      <c r="J1434" s="20" t="str">
        <f t="shared" si="158"/>
        <v/>
      </c>
      <c r="K1434" s="20" t="str">
        <f t="shared" si="159"/>
        <v/>
      </c>
      <c r="L1434" s="20" t="str">
        <f>IF(B1434="","",70*'DDF Original'!$Q$4)</f>
        <v/>
      </c>
      <c r="M1434" s="20" t="str">
        <f t="shared" si="160"/>
        <v/>
      </c>
      <c r="N1434" s="20" t="str">
        <f>IF(AND(OR(B1434="",J1434&gt;G1434,M1434&gt;G1434),'DDF Original'!L1434&lt;&gt; "MI"),G1434,IF(M1434&gt;J1434,M1434,J1434))</f>
        <v/>
      </c>
    </row>
    <row r="1435" spans="2:14" x14ac:dyDescent="0.2">
      <c r="B1435" s="19" t="str">
        <f>IF('DDF Original'!B1435="","",'DDF Original'!B1435)</f>
        <v/>
      </c>
      <c r="C1435" s="19" t="e">
        <f t="shared" si="154"/>
        <v>#VALUE!</v>
      </c>
      <c r="D1435" s="20" t="str">
        <f>IF('DDF Original'!C1435="","",'DDF Original'!C1435)</f>
        <v/>
      </c>
      <c r="E1435" s="24" t="str">
        <f>IF('DDF Original'!B1435="","",IF(TRIM('DDF Original'!I1435)="",0,'DDF Original'!I1435))</f>
        <v/>
      </c>
      <c r="F1435" s="20" t="str">
        <f t="shared" si="155"/>
        <v/>
      </c>
      <c r="G1435" s="37" t="str">
        <f>IF('DDF Original'!B1435="","",IF(TRIM('DDF Original'!P1435)="",0,'DDF Original'!P1435))</f>
        <v/>
      </c>
      <c r="H1435" s="20" t="str">
        <f t="shared" si="156"/>
        <v/>
      </c>
      <c r="I1435" s="25" t="str">
        <f t="shared" si="157"/>
        <v/>
      </c>
      <c r="J1435" s="20" t="str">
        <f t="shared" si="158"/>
        <v/>
      </c>
      <c r="K1435" s="20" t="str">
        <f t="shared" si="159"/>
        <v/>
      </c>
      <c r="L1435" s="20" t="str">
        <f>IF(B1435="","",70*'DDF Original'!$Q$4)</f>
        <v/>
      </c>
      <c r="M1435" s="20" t="str">
        <f t="shared" si="160"/>
        <v/>
      </c>
      <c r="N1435" s="20" t="str">
        <f>IF(AND(OR(B1435="",J1435&gt;G1435,M1435&gt;G1435),'DDF Original'!L1435&lt;&gt; "MI"),G1435,IF(M1435&gt;J1435,M1435,J1435))</f>
        <v/>
      </c>
    </row>
    <row r="1436" spans="2:14" x14ac:dyDescent="0.2">
      <c r="B1436" s="19" t="str">
        <f>IF('DDF Original'!B1436="","",'DDF Original'!B1436)</f>
        <v/>
      </c>
      <c r="C1436" s="19" t="e">
        <f t="shared" si="154"/>
        <v>#VALUE!</v>
      </c>
      <c r="D1436" s="20" t="str">
        <f>IF('DDF Original'!C1436="","",'DDF Original'!C1436)</f>
        <v/>
      </c>
      <c r="E1436" s="24" t="str">
        <f>IF('DDF Original'!B1436="","",IF(TRIM('DDF Original'!I1436)="",0,'DDF Original'!I1436))</f>
        <v/>
      </c>
      <c r="F1436" s="20" t="str">
        <f t="shared" si="155"/>
        <v/>
      </c>
      <c r="G1436" s="37" t="str">
        <f>IF('DDF Original'!B1436="","",IF(TRIM('DDF Original'!P1436)="",0,'DDF Original'!P1436))</f>
        <v/>
      </c>
      <c r="H1436" s="20" t="str">
        <f t="shared" si="156"/>
        <v/>
      </c>
      <c r="I1436" s="25" t="str">
        <f t="shared" si="157"/>
        <v/>
      </c>
      <c r="J1436" s="20" t="str">
        <f t="shared" si="158"/>
        <v/>
      </c>
      <c r="K1436" s="20" t="str">
        <f t="shared" si="159"/>
        <v/>
      </c>
      <c r="L1436" s="20" t="str">
        <f>IF(B1436="","",70*'DDF Original'!$Q$4)</f>
        <v/>
      </c>
      <c r="M1436" s="20" t="str">
        <f t="shared" si="160"/>
        <v/>
      </c>
      <c r="N1436" s="20" t="str">
        <f>IF(AND(OR(B1436="",J1436&gt;G1436,M1436&gt;G1436),'DDF Original'!L1436&lt;&gt; "MI"),G1436,IF(M1436&gt;J1436,M1436,J1436))</f>
        <v/>
      </c>
    </row>
    <row r="1437" spans="2:14" x14ac:dyDescent="0.2">
      <c r="B1437" s="19" t="str">
        <f>IF('DDF Original'!B1437="","",'DDF Original'!B1437)</f>
        <v/>
      </c>
      <c r="C1437" s="19" t="e">
        <f t="shared" si="154"/>
        <v>#VALUE!</v>
      </c>
      <c r="D1437" s="20" t="str">
        <f>IF('DDF Original'!C1437="","",'DDF Original'!C1437)</f>
        <v/>
      </c>
      <c r="E1437" s="24" t="str">
        <f>IF('DDF Original'!B1437="","",IF(TRIM('DDF Original'!I1437)="",0,'DDF Original'!I1437))</f>
        <v/>
      </c>
      <c r="F1437" s="20" t="str">
        <f t="shared" si="155"/>
        <v/>
      </c>
      <c r="G1437" s="37" t="str">
        <f>IF('DDF Original'!B1437="","",IF(TRIM('DDF Original'!P1437)="",0,'DDF Original'!P1437))</f>
        <v/>
      </c>
      <c r="H1437" s="20" t="str">
        <f t="shared" si="156"/>
        <v/>
      </c>
      <c r="I1437" s="25" t="str">
        <f t="shared" si="157"/>
        <v/>
      </c>
      <c r="J1437" s="20" t="str">
        <f t="shared" si="158"/>
        <v/>
      </c>
      <c r="K1437" s="20" t="str">
        <f t="shared" si="159"/>
        <v/>
      </c>
      <c r="L1437" s="20" t="str">
        <f>IF(B1437="","",70*'DDF Original'!$Q$4)</f>
        <v/>
      </c>
      <c r="M1437" s="20" t="str">
        <f t="shared" si="160"/>
        <v/>
      </c>
      <c r="N1437" s="20" t="str">
        <f>IF(AND(OR(B1437="",J1437&gt;G1437,M1437&gt;G1437),'DDF Original'!L1437&lt;&gt; "MI"),G1437,IF(M1437&gt;J1437,M1437,J1437))</f>
        <v/>
      </c>
    </row>
    <row r="1438" spans="2:14" x14ac:dyDescent="0.2">
      <c r="B1438" s="19" t="str">
        <f>IF('DDF Original'!B1438="","",'DDF Original'!B1438)</f>
        <v/>
      </c>
      <c r="C1438" s="19" t="e">
        <f t="shared" si="154"/>
        <v>#VALUE!</v>
      </c>
      <c r="D1438" s="20" t="str">
        <f>IF('DDF Original'!C1438="","",'DDF Original'!C1438)</f>
        <v/>
      </c>
      <c r="E1438" s="24" t="str">
        <f>IF('DDF Original'!B1438="","",IF(TRIM('DDF Original'!I1438)="",0,'DDF Original'!I1438))</f>
        <v/>
      </c>
      <c r="F1438" s="20" t="str">
        <f t="shared" si="155"/>
        <v/>
      </c>
      <c r="G1438" s="37" t="str">
        <f>IF('DDF Original'!B1438="","",IF(TRIM('DDF Original'!P1438)="",0,'DDF Original'!P1438))</f>
        <v/>
      </c>
      <c r="H1438" s="20" t="str">
        <f t="shared" si="156"/>
        <v/>
      </c>
      <c r="I1438" s="25" t="str">
        <f t="shared" si="157"/>
        <v/>
      </c>
      <c r="J1438" s="20" t="str">
        <f t="shared" si="158"/>
        <v/>
      </c>
      <c r="K1438" s="20" t="str">
        <f t="shared" si="159"/>
        <v/>
      </c>
      <c r="L1438" s="20" t="str">
        <f>IF(B1438="","",70*'DDF Original'!$Q$4)</f>
        <v/>
      </c>
      <c r="M1438" s="20" t="str">
        <f t="shared" si="160"/>
        <v/>
      </c>
      <c r="N1438" s="20" t="str">
        <f>IF(AND(OR(B1438="",J1438&gt;G1438,M1438&gt;G1438),'DDF Original'!L1438&lt;&gt; "MI"),G1438,IF(M1438&gt;J1438,M1438,J1438))</f>
        <v/>
      </c>
    </row>
    <row r="1439" spans="2:14" x14ac:dyDescent="0.2">
      <c r="B1439" s="19" t="str">
        <f>IF('DDF Original'!B1439="","",'DDF Original'!B1439)</f>
        <v/>
      </c>
      <c r="C1439" s="19" t="e">
        <f t="shared" si="154"/>
        <v>#VALUE!</v>
      </c>
      <c r="D1439" s="20" t="str">
        <f>IF('DDF Original'!C1439="","",'DDF Original'!C1439)</f>
        <v/>
      </c>
      <c r="E1439" s="24" t="str">
        <f>IF('DDF Original'!B1439="","",IF(TRIM('DDF Original'!I1439)="",0,'DDF Original'!I1439))</f>
        <v/>
      </c>
      <c r="F1439" s="20" t="str">
        <f t="shared" si="155"/>
        <v/>
      </c>
      <c r="G1439" s="37" t="str">
        <f>IF('DDF Original'!B1439="","",IF(TRIM('DDF Original'!P1439)="",0,'DDF Original'!P1439))</f>
        <v/>
      </c>
      <c r="H1439" s="20" t="str">
        <f t="shared" si="156"/>
        <v/>
      </c>
      <c r="I1439" s="25" t="str">
        <f t="shared" si="157"/>
        <v/>
      </c>
      <c r="J1439" s="20" t="str">
        <f t="shared" si="158"/>
        <v/>
      </c>
      <c r="K1439" s="20" t="str">
        <f t="shared" si="159"/>
        <v/>
      </c>
      <c r="L1439" s="20" t="str">
        <f>IF(B1439="","",70*'DDF Original'!$Q$4)</f>
        <v/>
      </c>
      <c r="M1439" s="20" t="str">
        <f t="shared" si="160"/>
        <v/>
      </c>
      <c r="N1439" s="20" t="str">
        <f>IF(AND(OR(B1439="",J1439&gt;G1439,M1439&gt;G1439),'DDF Original'!L1439&lt;&gt; "MI"),G1439,IF(M1439&gt;J1439,M1439,J1439))</f>
        <v/>
      </c>
    </row>
    <row r="1440" spans="2:14" x14ac:dyDescent="0.2">
      <c r="B1440" s="19" t="str">
        <f>IF('DDF Original'!B1440="","",'DDF Original'!B1440)</f>
        <v/>
      </c>
      <c r="C1440" s="19" t="e">
        <f t="shared" si="154"/>
        <v>#VALUE!</v>
      </c>
      <c r="D1440" s="20" t="str">
        <f>IF('DDF Original'!C1440="","",'DDF Original'!C1440)</f>
        <v/>
      </c>
      <c r="E1440" s="24" t="str">
        <f>IF('DDF Original'!B1440="","",IF(TRIM('DDF Original'!I1440)="",0,'DDF Original'!I1440))</f>
        <v/>
      </c>
      <c r="F1440" s="20" t="str">
        <f t="shared" si="155"/>
        <v/>
      </c>
      <c r="G1440" s="37" t="str">
        <f>IF('DDF Original'!B1440="","",IF(TRIM('DDF Original'!P1440)="",0,'DDF Original'!P1440))</f>
        <v/>
      </c>
      <c r="H1440" s="20" t="str">
        <f t="shared" si="156"/>
        <v/>
      </c>
      <c r="I1440" s="25" t="str">
        <f t="shared" si="157"/>
        <v/>
      </c>
      <c r="J1440" s="20" t="str">
        <f t="shared" si="158"/>
        <v/>
      </c>
      <c r="K1440" s="20" t="str">
        <f t="shared" si="159"/>
        <v/>
      </c>
      <c r="L1440" s="20" t="str">
        <f>IF(B1440="","",70*'DDF Original'!$Q$4)</f>
        <v/>
      </c>
      <c r="M1440" s="20" t="str">
        <f t="shared" si="160"/>
        <v/>
      </c>
      <c r="N1440" s="20" t="str">
        <f>IF(AND(OR(B1440="",J1440&gt;G1440,M1440&gt;G1440),'DDF Original'!L1440&lt;&gt; "MI"),G1440,IF(M1440&gt;J1440,M1440,J1440))</f>
        <v/>
      </c>
    </row>
    <row r="1441" spans="2:14" x14ac:dyDescent="0.2">
      <c r="B1441" s="19" t="str">
        <f>IF('DDF Original'!B1441="","",'DDF Original'!B1441)</f>
        <v/>
      </c>
      <c r="C1441" s="19" t="e">
        <f t="shared" si="154"/>
        <v>#VALUE!</v>
      </c>
      <c r="D1441" s="20" t="str">
        <f>IF('DDF Original'!C1441="","",'DDF Original'!C1441)</f>
        <v/>
      </c>
      <c r="E1441" s="24" t="str">
        <f>IF('DDF Original'!B1441="","",IF(TRIM('DDF Original'!I1441)="",0,'DDF Original'!I1441))</f>
        <v/>
      </c>
      <c r="F1441" s="20" t="str">
        <f t="shared" si="155"/>
        <v/>
      </c>
      <c r="G1441" s="37" t="str">
        <f>IF('DDF Original'!B1441="","",IF(TRIM('DDF Original'!P1441)="",0,'DDF Original'!P1441))</f>
        <v/>
      </c>
      <c r="H1441" s="20" t="str">
        <f t="shared" si="156"/>
        <v/>
      </c>
      <c r="I1441" s="25" t="str">
        <f t="shared" si="157"/>
        <v/>
      </c>
      <c r="J1441" s="20" t="str">
        <f t="shared" si="158"/>
        <v/>
      </c>
      <c r="K1441" s="20" t="str">
        <f t="shared" si="159"/>
        <v/>
      </c>
      <c r="L1441" s="20" t="str">
        <f>IF(B1441="","",70*'DDF Original'!$Q$4)</f>
        <v/>
      </c>
      <c r="M1441" s="20" t="str">
        <f t="shared" si="160"/>
        <v/>
      </c>
      <c r="N1441" s="20" t="str">
        <f>IF(AND(OR(B1441="",J1441&gt;G1441,M1441&gt;G1441),'DDF Original'!L1441&lt;&gt; "MI"),G1441,IF(M1441&gt;J1441,M1441,J1441))</f>
        <v/>
      </c>
    </row>
    <row r="1442" spans="2:14" x14ac:dyDescent="0.2">
      <c r="B1442" s="19" t="str">
        <f>IF('DDF Original'!B1442="","",'DDF Original'!B1442)</f>
        <v/>
      </c>
      <c r="C1442" s="19" t="e">
        <f t="shared" si="154"/>
        <v>#VALUE!</v>
      </c>
      <c r="D1442" s="20" t="str">
        <f>IF('DDF Original'!C1442="","",'DDF Original'!C1442)</f>
        <v/>
      </c>
      <c r="E1442" s="24" t="str">
        <f>IF('DDF Original'!B1442="","",IF(TRIM('DDF Original'!I1442)="",0,'DDF Original'!I1442))</f>
        <v/>
      </c>
      <c r="F1442" s="20" t="str">
        <f t="shared" si="155"/>
        <v/>
      </c>
      <c r="G1442" s="37" t="str">
        <f>IF('DDF Original'!B1442="","",IF(TRIM('DDF Original'!P1442)="",0,'DDF Original'!P1442))</f>
        <v/>
      </c>
      <c r="H1442" s="20" t="str">
        <f t="shared" si="156"/>
        <v/>
      </c>
      <c r="I1442" s="25" t="str">
        <f t="shared" si="157"/>
        <v/>
      </c>
      <c r="J1442" s="20" t="str">
        <f t="shared" si="158"/>
        <v/>
      </c>
      <c r="K1442" s="20" t="str">
        <f t="shared" si="159"/>
        <v/>
      </c>
      <c r="L1442" s="20" t="str">
        <f>IF(B1442="","",70*'DDF Original'!$Q$4)</f>
        <v/>
      </c>
      <c r="M1442" s="20" t="str">
        <f t="shared" si="160"/>
        <v/>
      </c>
      <c r="N1442" s="20" t="str">
        <f>IF(AND(OR(B1442="",J1442&gt;G1442,M1442&gt;G1442),'DDF Original'!L1442&lt;&gt; "MI"),G1442,IF(M1442&gt;J1442,M1442,J1442))</f>
        <v/>
      </c>
    </row>
    <row r="1443" spans="2:14" x14ac:dyDescent="0.2">
      <c r="B1443" s="19" t="str">
        <f>IF('DDF Original'!B1443="","",'DDF Original'!B1443)</f>
        <v/>
      </c>
      <c r="C1443" s="19" t="e">
        <f t="shared" si="154"/>
        <v>#VALUE!</v>
      </c>
      <c r="D1443" s="20" t="str">
        <f>IF('DDF Original'!C1443="","",'DDF Original'!C1443)</f>
        <v/>
      </c>
      <c r="E1443" s="24" t="str">
        <f>IF('DDF Original'!B1443="","",IF(TRIM('DDF Original'!I1443)="",0,'DDF Original'!I1443))</f>
        <v/>
      </c>
      <c r="F1443" s="20" t="str">
        <f t="shared" si="155"/>
        <v/>
      </c>
      <c r="G1443" s="37" t="str">
        <f>IF('DDF Original'!B1443="","",IF(TRIM('DDF Original'!P1443)="",0,'DDF Original'!P1443))</f>
        <v/>
      </c>
      <c r="H1443" s="20" t="str">
        <f t="shared" si="156"/>
        <v/>
      </c>
      <c r="I1443" s="25" t="str">
        <f t="shared" si="157"/>
        <v/>
      </c>
      <c r="J1443" s="20" t="str">
        <f t="shared" si="158"/>
        <v/>
      </c>
      <c r="K1443" s="20" t="str">
        <f t="shared" si="159"/>
        <v/>
      </c>
      <c r="L1443" s="20" t="str">
        <f>IF(B1443="","",70*'DDF Original'!$Q$4)</f>
        <v/>
      </c>
      <c r="M1443" s="20" t="str">
        <f t="shared" si="160"/>
        <v/>
      </c>
      <c r="N1443" s="20" t="str">
        <f>IF(AND(OR(B1443="",J1443&gt;G1443,M1443&gt;G1443),'DDF Original'!L1443&lt;&gt; "MI"),G1443,IF(M1443&gt;J1443,M1443,J1443))</f>
        <v/>
      </c>
    </row>
    <row r="1444" spans="2:14" x14ac:dyDescent="0.2">
      <c r="B1444" s="19" t="str">
        <f>IF('DDF Original'!B1444="","",'DDF Original'!B1444)</f>
        <v/>
      </c>
      <c r="C1444" s="19" t="e">
        <f t="shared" si="154"/>
        <v>#VALUE!</v>
      </c>
      <c r="D1444" s="20" t="str">
        <f>IF('DDF Original'!C1444="","",'DDF Original'!C1444)</f>
        <v/>
      </c>
      <c r="E1444" s="24" t="str">
        <f>IF('DDF Original'!B1444="","",IF(TRIM('DDF Original'!I1444)="",0,'DDF Original'!I1444))</f>
        <v/>
      </c>
      <c r="F1444" s="20" t="str">
        <f t="shared" si="155"/>
        <v/>
      </c>
      <c r="G1444" s="37" t="str">
        <f>IF('DDF Original'!B1444="","",IF(TRIM('DDF Original'!P1444)="",0,'DDF Original'!P1444))</f>
        <v/>
      </c>
      <c r="H1444" s="20" t="str">
        <f t="shared" si="156"/>
        <v/>
      </c>
      <c r="I1444" s="25" t="str">
        <f t="shared" si="157"/>
        <v/>
      </c>
      <c r="J1444" s="20" t="str">
        <f t="shared" si="158"/>
        <v/>
      </c>
      <c r="K1444" s="20" t="str">
        <f t="shared" si="159"/>
        <v/>
      </c>
      <c r="L1444" s="20" t="str">
        <f>IF(B1444="","",70*'DDF Original'!$Q$4)</f>
        <v/>
      </c>
      <c r="M1444" s="20" t="str">
        <f t="shared" si="160"/>
        <v/>
      </c>
      <c r="N1444" s="20" t="str">
        <f>IF(AND(OR(B1444="",J1444&gt;G1444,M1444&gt;G1444),'DDF Original'!L1444&lt;&gt; "MI"),G1444,IF(M1444&gt;J1444,M1444,J1444))</f>
        <v/>
      </c>
    </row>
    <row r="1445" spans="2:14" x14ac:dyDescent="0.2">
      <c r="B1445" s="19" t="str">
        <f>IF('DDF Original'!B1445="","",'DDF Original'!B1445)</f>
        <v/>
      </c>
      <c r="C1445" s="19" t="e">
        <f t="shared" si="154"/>
        <v>#VALUE!</v>
      </c>
      <c r="D1445" s="20" t="str">
        <f>IF('DDF Original'!C1445="","",'DDF Original'!C1445)</f>
        <v/>
      </c>
      <c r="E1445" s="24" t="str">
        <f>IF('DDF Original'!B1445="","",IF(TRIM('DDF Original'!I1445)="",0,'DDF Original'!I1445))</f>
        <v/>
      </c>
      <c r="F1445" s="20" t="str">
        <f t="shared" si="155"/>
        <v/>
      </c>
      <c r="G1445" s="37" t="str">
        <f>IF('DDF Original'!B1445="","",IF(TRIM('DDF Original'!P1445)="",0,'DDF Original'!P1445))</f>
        <v/>
      </c>
      <c r="H1445" s="20" t="str">
        <f t="shared" si="156"/>
        <v/>
      </c>
      <c r="I1445" s="25" t="str">
        <f t="shared" si="157"/>
        <v/>
      </c>
      <c r="J1445" s="20" t="str">
        <f t="shared" si="158"/>
        <v/>
      </c>
      <c r="K1445" s="20" t="str">
        <f t="shared" si="159"/>
        <v/>
      </c>
      <c r="L1445" s="20" t="str">
        <f>IF(B1445="","",70*'DDF Original'!$Q$4)</f>
        <v/>
      </c>
      <c r="M1445" s="20" t="str">
        <f t="shared" si="160"/>
        <v/>
      </c>
      <c r="N1445" s="20" t="str">
        <f>IF(AND(OR(B1445="",J1445&gt;G1445,M1445&gt;G1445),'DDF Original'!L1445&lt;&gt; "MI"),G1445,IF(M1445&gt;J1445,M1445,J1445))</f>
        <v/>
      </c>
    </row>
    <row r="1446" spans="2:14" x14ac:dyDescent="0.2">
      <c r="B1446" s="19" t="str">
        <f>IF('DDF Original'!B1446="","",'DDF Original'!B1446)</f>
        <v/>
      </c>
      <c r="C1446" s="19" t="e">
        <f t="shared" si="154"/>
        <v>#VALUE!</v>
      </c>
      <c r="D1446" s="20" t="str">
        <f>IF('DDF Original'!C1446="","",'DDF Original'!C1446)</f>
        <v/>
      </c>
      <c r="E1446" s="24" t="str">
        <f>IF('DDF Original'!B1446="","",IF(TRIM('DDF Original'!I1446)="",0,'DDF Original'!I1446))</f>
        <v/>
      </c>
      <c r="F1446" s="20" t="str">
        <f t="shared" si="155"/>
        <v/>
      </c>
      <c r="G1446" s="37" t="str">
        <f>IF('DDF Original'!B1446="","",IF(TRIM('DDF Original'!P1446)="",0,'DDF Original'!P1446))</f>
        <v/>
      </c>
      <c r="H1446" s="20" t="str">
        <f t="shared" si="156"/>
        <v/>
      </c>
      <c r="I1446" s="25" t="str">
        <f t="shared" si="157"/>
        <v/>
      </c>
      <c r="J1446" s="20" t="str">
        <f t="shared" si="158"/>
        <v/>
      </c>
      <c r="K1446" s="20" t="str">
        <f t="shared" si="159"/>
        <v/>
      </c>
      <c r="L1446" s="20" t="str">
        <f>IF(B1446="","",70*'DDF Original'!$Q$4)</f>
        <v/>
      </c>
      <c r="M1446" s="20" t="str">
        <f t="shared" si="160"/>
        <v/>
      </c>
      <c r="N1446" s="20" t="str">
        <f>IF(AND(OR(B1446="",J1446&gt;G1446,M1446&gt;G1446),'DDF Original'!L1446&lt;&gt; "MI"),G1446,IF(M1446&gt;J1446,M1446,J1446))</f>
        <v/>
      </c>
    </row>
    <row r="1447" spans="2:14" x14ac:dyDescent="0.2">
      <c r="B1447" s="19" t="str">
        <f>IF('DDF Original'!B1447="","",'DDF Original'!B1447)</f>
        <v/>
      </c>
      <c r="C1447" s="19" t="e">
        <f t="shared" si="154"/>
        <v>#VALUE!</v>
      </c>
      <c r="D1447" s="20" t="str">
        <f>IF('DDF Original'!C1447="","",'DDF Original'!C1447)</f>
        <v/>
      </c>
      <c r="E1447" s="24" t="str">
        <f>IF('DDF Original'!B1447="","",IF(TRIM('DDF Original'!I1447)="",0,'DDF Original'!I1447))</f>
        <v/>
      </c>
      <c r="F1447" s="20" t="str">
        <f t="shared" si="155"/>
        <v/>
      </c>
      <c r="G1447" s="37" t="str">
        <f>IF('DDF Original'!B1447="","",IF(TRIM('DDF Original'!P1447)="",0,'DDF Original'!P1447))</f>
        <v/>
      </c>
      <c r="H1447" s="20" t="str">
        <f t="shared" si="156"/>
        <v/>
      </c>
      <c r="I1447" s="25" t="str">
        <f t="shared" si="157"/>
        <v/>
      </c>
      <c r="J1447" s="20" t="str">
        <f t="shared" si="158"/>
        <v/>
      </c>
      <c r="K1447" s="20" t="str">
        <f t="shared" si="159"/>
        <v/>
      </c>
      <c r="L1447" s="20" t="str">
        <f>IF(B1447="","",70*'DDF Original'!$Q$4)</f>
        <v/>
      </c>
      <c r="M1447" s="20" t="str">
        <f t="shared" si="160"/>
        <v/>
      </c>
      <c r="N1447" s="20" t="str">
        <f>IF(AND(OR(B1447="",J1447&gt;G1447,M1447&gt;G1447),'DDF Original'!L1447&lt;&gt; "MI"),G1447,IF(M1447&gt;J1447,M1447,J1447))</f>
        <v/>
      </c>
    </row>
    <row r="1448" spans="2:14" x14ac:dyDescent="0.2">
      <c r="B1448" s="19" t="str">
        <f>IF('DDF Original'!B1448="","",'DDF Original'!B1448)</f>
        <v/>
      </c>
      <c r="C1448" s="19" t="e">
        <f t="shared" si="154"/>
        <v>#VALUE!</v>
      </c>
      <c r="D1448" s="20" t="str">
        <f>IF('DDF Original'!C1448="","",'DDF Original'!C1448)</f>
        <v/>
      </c>
      <c r="E1448" s="24" t="str">
        <f>IF('DDF Original'!B1448="","",IF(TRIM('DDF Original'!I1448)="",0,'DDF Original'!I1448))</f>
        <v/>
      </c>
      <c r="F1448" s="20" t="str">
        <f t="shared" si="155"/>
        <v/>
      </c>
      <c r="G1448" s="37" t="str">
        <f>IF('DDF Original'!B1448="","",IF(TRIM('DDF Original'!P1448)="",0,'DDF Original'!P1448))</f>
        <v/>
      </c>
      <c r="H1448" s="20" t="str">
        <f t="shared" si="156"/>
        <v/>
      </c>
      <c r="I1448" s="25" t="str">
        <f t="shared" si="157"/>
        <v/>
      </c>
      <c r="J1448" s="20" t="str">
        <f t="shared" si="158"/>
        <v/>
      </c>
      <c r="K1448" s="20" t="str">
        <f t="shared" si="159"/>
        <v/>
      </c>
      <c r="L1448" s="20" t="str">
        <f>IF(B1448="","",70*'DDF Original'!$Q$4)</f>
        <v/>
      </c>
      <c r="M1448" s="20" t="str">
        <f t="shared" si="160"/>
        <v/>
      </c>
      <c r="N1448" s="20" t="str">
        <f>IF(AND(OR(B1448="",J1448&gt;G1448,M1448&gt;G1448),'DDF Original'!L1448&lt;&gt; "MI"),G1448,IF(M1448&gt;J1448,M1448,J1448))</f>
        <v/>
      </c>
    </row>
    <row r="1449" spans="2:14" x14ac:dyDescent="0.2">
      <c r="B1449" s="19" t="str">
        <f>IF('DDF Original'!B1449="","",'DDF Original'!B1449)</f>
        <v/>
      </c>
      <c r="C1449" s="19" t="e">
        <f t="shared" si="154"/>
        <v>#VALUE!</v>
      </c>
      <c r="D1449" s="20" t="str">
        <f>IF('DDF Original'!C1449="","",'DDF Original'!C1449)</f>
        <v/>
      </c>
      <c r="E1449" s="24" t="str">
        <f>IF('DDF Original'!B1449="","",IF(TRIM('DDF Original'!I1449)="",0,'DDF Original'!I1449))</f>
        <v/>
      </c>
      <c r="F1449" s="20" t="str">
        <f t="shared" si="155"/>
        <v/>
      </c>
      <c r="G1449" s="37" t="str">
        <f>IF('DDF Original'!B1449="","",IF(TRIM('DDF Original'!P1449)="",0,'DDF Original'!P1449))</f>
        <v/>
      </c>
      <c r="H1449" s="20" t="str">
        <f t="shared" si="156"/>
        <v/>
      </c>
      <c r="I1449" s="25" t="str">
        <f t="shared" si="157"/>
        <v/>
      </c>
      <c r="J1449" s="20" t="str">
        <f t="shared" si="158"/>
        <v/>
      </c>
      <c r="K1449" s="20" t="str">
        <f t="shared" si="159"/>
        <v/>
      </c>
      <c r="L1449" s="20" t="str">
        <f>IF(B1449="","",70*'DDF Original'!$Q$4)</f>
        <v/>
      </c>
      <c r="M1449" s="20" t="str">
        <f t="shared" si="160"/>
        <v/>
      </c>
      <c r="N1449" s="20" t="str">
        <f>IF(AND(OR(B1449="",J1449&gt;G1449,M1449&gt;G1449),'DDF Original'!L1449&lt;&gt; "MI"),G1449,IF(M1449&gt;J1449,M1449,J1449))</f>
        <v/>
      </c>
    </row>
    <row r="1450" spans="2:14" x14ac:dyDescent="0.2">
      <c r="B1450" s="19" t="str">
        <f>IF('DDF Original'!B1450="","",'DDF Original'!B1450)</f>
        <v/>
      </c>
      <c r="C1450" s="19" t="e">
        <f t="shared" si="154"/>
        <v>#VALUE!</v>
      </c>
      <c r="D1450" s="20" t="str">
        <f>IF('DDF Original'!C1450="","",'DDF Original'!C1450)</f>
        <v/>
      </c>
      <c r="E1450" s="24" t="str">
        <f>IF('DDF Original'!B1450="","",IF(TRIM('DDF Original'!I1450)="",0,'DDF Original'!I1450))</f>
        <v/>
      </c>
      <c r="F1450" s="20" t="str">
        <f t="shared" si="155"/>
        <v/>
      </c>
      <c r="G1450" s="37" t="str">
        <f>IF('DDF Original'!B1450="","",IF(TRIM('DDF Original'!P1450)="",0,'DDF Original'!P1450))</f>
        <v/>
      </c>
      <c r="H1450" s="20" t="str">
        <f t="shared" si="156"/>
        <v/>
      </c>
      <c r="I1450" s="25" t="str">
        <f t="shared" si="157"/>
        <v/>
      </c>
      <c r="J1450" s="20" t="str">
        <f t="shared" si="158"/>
        <v/>
      </c>
      <c r="K1450" s="20" t="str">
        <f t="shared" si="159"/>
        <v/>
      </c>
      <c r="L1450" s="20" t="str">
        <f>IF(B1450="","",70*'DDF Original'!$Q$4)</f>
        <v/>
      </c>
      <c r="M1450" s="20" t="str">
        <f t="shared" si="160"/>
        <v/>
      </c>
      <c r="N1450" s="20" t="str">
        <f>IF(AND(OR(B1450="",J1450&gt;G1450,M1450&gt;G1450),'DDF Original'!L1450&lt;&gt; "MI"),G1450,IF(M1450&gt;J1450,M1450,J1450))</f>
        <v/>
      </c>
    </row>
    <row r="1451" spans="2:14" x14ac:dyDescent="0.2">
      <c r="B1451" s="19" t="str">
        <f>IF('DDF Original'!B1451="","",'DDF Original'!B1451)</f>
        <v/>
      </c>
      <c r="C1451" s="19" t="e">
        <f t="shared" si="154"/>
        <v>#VALUE!</v>
      </c>
      <c r="D1451" s="20" t="str">
        <f>IF('DDF Original'!C1451="","",'DDF Original'!C1451)</f>
        <v/>
      </c>
      <c r="E1451" s="24" t="str">
        <f>IF('DDF Original'!B1451="","",IF(TRIM('DDF Original'!I1451)="",0,'DDF Original'!I1451))</f>
        <v/>
      </c>
      <c r="F1451" s="20" t="str">
        <f t="shared" si="155"/>
        <v/>
      </c>
      <c r="G1451" s="37" t="str">
        <f>IF('DDF Original'!B1451="","",IF(TRIM('DDF Original'!P1451)="",0,'DDF Original'!P1451))</f>
        <v/>
      </c>
      <c r="H1451" s="20" t="str">
        <f t="shared" si="156"/>
        <v/>
      </c>
      <c r="I1451" s="25" t="str">
        <f t="shared" si="157"/>
        <v/>
      </c>
      <c r="J1451" s="20" t="str">
        <f t="shared" si="158"/>
        <v/>
      </c>
      <c r="K1451" s="20" t="str">
        <f t="shared" si="159"/>
        <v/>
      </c>
      <c r="L1451" s="20" t="str">
        <f>IF(B1451="","",70*'DDF Original'!$Q$4)</f>
        <v/>
      </c>
      <c r="M1451" s="20" t="str">
        <f t="shared" si="160"/>
        <v/>
      </c>
      <c r="N1451" s="20" t="str">
        <f>IF(AND(OR(B1451="",J1451&gt;G1451,M1451&gt;G1451),'DDF Original'!L1451&lt;&gt; "MI"),G1451,IF(M1451&gt;J1451,M1451,J1451))</f>
        <v/>
      </c>
    </row>
    <row r="1452" spans="2:14" x14ac:dyDescent="0.2">
      <c r="B1452" s="19" t="str">
        <f>IF('DDF Original'!B1452="","",'DDF Original'!B1452)</f>
        <v/>
      </c>
      <c r="C1452" s="19" t="e">
        <f t="shared" si="154"/>
        <v>#VALUE!</v>
      </c>
      <c r="D1452" s="20" t="str">
        <f>IF('DDF Original'!C1452="","",'DDF Original'!C1452)</f>
        <v/>
      </c>
      <c r="E1452" s="24" t="str">
        <f>IF('DDF Original'!B1452="","",IF(TRIM('DDF Original'!I1452)="",0,'DDF Original'!I1452))</f>
        <v/>
      </c>
      <c r="F1452" s="20" t="str">
        <f t="shared" si="155"/>
        <v/>
      </c>
      <c r="G1452" s="37" t="str">
        <f>IF('DDF Original'!B1452="","",IF(TRIM('DDF Original'!P1452)="",0,'DDF Original'!P1452))</f>
        <v/>
      </c>
      <c r="H1452" s="20" t="str">
        <f t="shared" si="156"/>
        <v/>
      </c>
      <c r="I1452" s="25" t="str">
        <f t="shared" si="157"/>
        <v/>
      </c>
      <c r="J1452" s="20" t="str">
        <f t="shared" si="158"/>
        <v/>
      </c>
      <c r="K1452" s="20" t="str">
        <f t="shared" si="159"/>
        <v/>
      </c>
      <c r="L1452" s="20" t="str">
        <f>IF(B1452="","",70*'DDF Original'!$Q$4)</f>
        <v/>
      </c>
      <c r="M1452" s="20" t="str">
        <f t="shared" si="160"/>
        <v/>
      </c>
      <c r="N1452" s="20" t="str">
        <f>IF(AND(OR(B1452="",J1452&gt;G1452,M1452&gt;G1452),'DDF Original'!L1452&lt;&gt; "MI"),G1452,IF(M1452&gt;J1452,M1452,J1452))</f>
        <v/>
      </c>
    </row>
    <row r="1453" spans="2:14" x14ac:dyDescent="0.2">
      <c r="B1453" s="19" t="str">
        <f>IF('DDF Original'!B1453="","",'DDF Original'!B1453)</f>
        <v/>
      </c>
      <c r="C1453" s="19" t="e">
        <f t="shared" si="154"/>
        <v>#VALUE!</v>
      </c>
      <c r="D1453" s="20" t="str">
        <f>IF('DDF Original'!C1453="","",'DDF Original'!C1453)</f>
        <v/>
      </c>
      <c r="E1453" s="24" t="str">
        <f>IF('DDF Original'!B1453="","",IF(TRIM('DDF Original'!I1453)="",0,'DDF Original'!I1453))</f>
        <v/>
      </c>
      <c r="F1453" s="20" t="str">
        <f t="shared" si="155"/>
        <v/>
      </c>
      <c r="G1453" s="37" t="str">
        <f>IF('DDF Original'!B1453="","",IF(TRIM('DDF Original'!P1453)="",0,'DDF Original'!P1453))</f>
        <v/>
      </c>
      <c r="H1453" s="20" t="str">
        <f t="shared" si="156"/>
        <v/>
      </c>
      <c r="I1453" s="25" t="str">
        <f t="shared" si="157"/>
        <v/>
      </c>
      <c r="J1453" s="20" t="str">
        <f t="shared" si="158"/>
        <v/>
      </c>
      <c r="K1453" s="20" t="str">
        <f t="shared" si="159"/>
        <v/>
      </c>
      <c r="L1453" s="20" t="str">
        <f>IF(B1453="","",70*'DDF Original'!$Q$4)</f>
        <v/>
      </c>
      <c r="M1453" s="20" t="str">
        <f t="shared" si="160"/>
        <v/>
      </c>
      <c r="N1453" s="20" t="str">
        <f>IF(AND(OR(B1453="",J1453&gt;G1453,M1453&gt;G1453),'DDF Original'!L1453&lt;&gt; "MI"),G1453,IF(M1453&gt;J1453,M1453,J1453))</f>
        <v/>
      </c>
    </row>
    <row r="1454" spans="2:14" x14ac:dyDescent="0.2">
      <c r="B1454" s="19" t="str">
        <f>IF('DDF Original'!B1454="","",'DDF Original'!B1454)</f>
        <v/>
      </c>
      <c r="C1454" s="19" t="e">
        <f t="shared" si="154"/>
        <v>#VALUE!</v>
      </c>
      <c r="D1454" s="20" t="str">
        <f>IF('DDF Original'!C1454="","",'DDF Original'!C1454)</f>
        <v/>
      </c>
      <c r="E1454" s="24" t="str">
        <f>IF('DDF Original'!B1454="","",IF(TRIM('DDF Original'!I1454)="",0,'DDF Original'!I1454))</f>
        <v/>
      </c>
      <c r="F1454" s="20" t="str">
        <f t="shared" si="155"/>
        <v/>
      </c>
      <c r="G1454" s="37" t="str">
        <f>IF('DDF Original'!B1454="","",IF(TRIM('DDF Original'!P1454)="",0,'DDF Original'!P1454))</f>
        <v/>
      </c>
      <c r="H1454" s="20" t="str">
        <f t="shared" si="156"/>
        <v/>
      </c>
      <c r="I1454" s="25" t="str">
        <f t="shared" si="157"/>
        <v/>
      </c>
      <c r="J1454" s="20" t="str">
        <f t="shared" si="158"/>
        <v/>
      </c>
      <c r="K1454" s="20" t="str">
        <f t="shared" si="159"/>
        <v/>
      </c>
      <c r="L1454" s="20" t="str">
        <f>IF(B1454="","",70*'DDF Original'!$Q$4)</f>
        <v/>
      </c>
      <c r="M1454" s="20" t="str">
        <f t="shared" si="160"/>
        <v/>
      </c>
      <c r="N1454" s="20" t="str">
        <f>IF(AND(OR(B1454="",J1454&gt;G1454,M1454&gt;G1454),'DDF Original'!L1454&lt;&gt; "MI"),G1454,IF(M1454&gt;J1454,M1454,J1454))</f>
        <v/>
      </c>
    </row>
    <row r="1455" spans="2:14" x14ac:dyDescent="0.2">
      <c r="B1455" s="19" t="str">
        <f>IF('DDF Original'!B1455="","",'DDF Original'!B1455)</f>
        <v/>
      </c>
      <c r="C1455" s="19" t="e">
        <f t="shared" si="154"/>
        <v>#VALUE!</v>
      </c>
      <c r="D1455" s="20" t="str">
        <f>IF('DDF Original'!C1455="","",'DDF Original'!C1455)</f>
        <v/>
      </c>
      <c r="E1455" s="24" t="str">
        <f>IF('DDF Original'!B1455="","",IF(TRIM('DDF Original'!I1455)="",0,'DDF Original'!I1455))</f>
        <v/>
      </c>
      <c r="F1455" s="20" t="str">
        <f t="shared" si="155"/>
        <v/>
      </c>
      <c r="G1455" s="37" t="str">
        <f>IF('DDF Original'!B1455="","",IF(TRIM('DDF Original'!P1455)="",0,'DDF Original'!P1455))</f>
        <v/>
      </c>
      <c r="H1455" s="20" t="str">
        <f t="shared" si="156"/>
        <v/>
      </c>
      <c r="I1455" s="25" t="str">
        <f t="shared" si="157"/>
        <v/>
      </c>
      <c r="J1455" s="20" t="str">
        <f t="shared" si="158"/>
        <v/>
      </c>
      <c r="K1455" s="20" t="str">
        <f t="shared" si="159"/>
        <v/>
      </c>
      <c r="L1455" s="20" t="str">
        <f>IF(B1455="","",70*'DDF Original'!$Q$4)</f>
        <v/>
      </c>
      <c r="M1455" s="20" t="str">
        <f t="shared" si="160"/>
        <v/>
      </c>
      <c r="N1455" s="20" t="str">
        <f>IF(AND(OR(B1455="",J1455&gt;G1455,M1455&gt;G1455),'DDF Original'!L1455&lt;&gt; "MI"),G1455,IF(M1455&gt;J1455,M1455,J1455))</f>
        <v/>
      </c>
    </row>
    <row r="1456" spans="2:14" x14ac:dyDescent="0.2">
      <c r="B1456" s="19" t="str">
        <f>IF('DDF Original'!B1456="","",'DDF Original'!B1456)</f>
        <v/>
      </c>
      <c r="C1456" s="19" t="e">
        <f t="shared" si="154"/>
        <v>#VALUE!</v>
      </c>
      <c r="D1456" s="20" t="str">
        <f>IF('DDF Original'!C1456="","",'DDF Original'!C1456)</f>
        <v/>
      </c>
      <c r="E1456" s="24" t="str">
        <f>IF('DDF Original'!B1456="","",IF(TRIM('DDF Original'!I1456)="",0,'DDF Original'!I1456))</f>
        <v/>
      </c>
      <c r="F1456" s="20" t="str">
        <f t="shared" si="155"/>
        <v/>
      </c>
      <c r="G1456" s="37" t="str">
        <f>IF('DDF Original'!B1456="","",IF(TRIM('DDF Original'!P1456)="",0,'DDF Original'!P1456))</f>
        <v/>
      </c>
      <c r="H1456" s="20" t="str">
        <f t="shared" si="156"/>
        <v/>
      </c>
      <c r="I1456" s="25" t="str">
        <f t="shared" si="157"/>
        <v/>
      </c>
      <c r="J1456" s="20" t="str">
        <f t="shared" si="158"/>
        <v/>
      </c>
      <c r="K1456" s="20" t="str">
        <f t="shared" si="159"/>
        <v/>
      </c>
      <c r="L1456" s="20" t="str">
        <f>IF(B1456="","",70*'DDF Original'!$Q$4)</f>
        <v/>
      </c>
      <c r="M1456" s="20" t="str">
        <f t="shared" si="160"/>
        <v/>
      </c>
      <c r="N1456" s="20" t="str">
        <f>IF(AND(OR(B1456="",J1456&gt;G1456,M1456&gt;G1456),'DDF Original'!L1456&lt;&gt; "MI"),G1456,IF(M1456&gt;J1456,M1456,J1456))</f>
        <v/>
      </c>
    </row>
    <row r="1457" spans="2:14" x14ac:dyDescent="0.2">
      <c r="B1457" s="19" t="str">
        <f>IF('DDF Original'!B1457="","",'DDF Original'!B1457)</f>
        <v/>
      </c>
      <c r="C1457" s="19" t="e">
        <f t="shared" si="154"/>
        <v>#VALUE!</v>
      </c>
      <c r="D1457" s="20" t="str">
        <f>IF('DDF Original'!C1457="","",'DDF Original'!C1457)</f>
        <v/>
      </c>
      <c r="E1457" s="24" t="str">
        <f>IF('DDF Original'!B1457="","",IF(TRIM('DDF Original'!I1457)="",0,'DDF Original'!I1457))</f>
        <v/>
      </c>
      <c r="F1457" s="20" t="str">
        <f t="shared" si="155"/>
        <v/>
      </c>
      <c r="G1457" s="37" t="str">
        <f>IF('DDF Original'!B1457="","",IF(TRIM('DDF Original'!P1457)="",0,'DDF Original'!P1457))</f>
        <v/>
      </c>
      <c r="H1457" s="20" t="str">
        <f t="shared" si="156"/>
        <v/>
      </c>
      <c r="I1457" s="25" t="str">
        <f t="shared" si="157"/>
        <v/>
      </c>
      <c r="J1457" s="20" t="str">
        <f t="shared" si="158"/>
        <v/>
      </c>
      <c r="K1457" s="20" t="str">
        <f t="shared" si="159"/>
        <v/>
      </c>
      <c r="L1457" s="20" t="str">
        <f>IF(B1457="","",70*'DDF Original'!$Q$4)</f>
        <v/>
      </c>
      <c r="M1457" s="20" t="str">
        <f t="shared" si="160"/>
        <v/>
      </c>
      <c r="N1457" s="20" t="str">
        <f>IF(AND(OR(B1457="",J1457&gt;G1457,M1457&gt;G1457),'DDF Original'!L1457&lt;&gt; "MI"),G1457,IF(M1457&gt;J1457,M1457,J1457))</f>
        <v/>
      </c>
    </row>
    <row r="1458" spans="2:14" x14ac:dyDescent="0.2">
      <c r="B1458" s="19" t="str">
        <f>IF('DDF Original'!B1458="","",'DDF Original'!B1458)</f>
        <v/>
      </c>
      <c r="C1458" s="19" t="e">
        <f t="shared" si="154"/>
        <v>#VALUE!</v>
      </c>
      <c r="D1458" s="20" t="str">
        <f>IF('DDF Original'!C1458="","",'DDF Original'!C1458)</f>
        <v/>
      </c>
      <c r="E1458" s="24" t="str">
        <f>IF('DDF Original'!B1458="","",IF(TRIM('DDF Original'!I1458)="",0,'DDF Original'!I1458))</f>
        <v/>
      </c>
      <c r="F1458" s="20" t="str">
        <f t="shared" si="155"/>
        <v/>
      </c>
      <c r="G1458" s="37" t="str">
        <f>IF('DDF Original'!B1458="","",IF(TRIM('DDF Original'!P1458)="",0,'DDF Original'!P1458))</f>
        <v/>
      </c>
      <c r="H1458" s="20" t="str">
        <f t="shared" si="156"/>
        <v/>
      </c>
      <c r="I1458" s="25" t="str">
        <f t="shared" si="157"/>
        <v/>
      </c>
      <c r="J1458" s="20" t="str">
        <f t="shared" si="158"/>
        <v/>
      </c>
      <c r="K1458" s="20" t="str">
        <f t="shared" si="159"/>
        <v/>
      </c>
      <c r="L1458" s="20" t="str">
        <f>IF(B1458="","",70*'DDF Original'!$Q$4)</f>
        <v/>
      </c>
      <c r="M1458" s="20" t="str">
        <f t="shared" si="160"/>
        <v/>
      </c>
      <c r="N1458" s="20" t="str">
        <f>IF(AND(OR(B1458="",J1458&gt;G1458,M1458&gt;G1458),'DDF Original'!L1458&lt;&gt; "MI"),G1458,IF(M1458&gt;J1458,M1458,J1458))</f>
        <v/>
      </c>
    </row>
    <row r="1459" spans="2:14" x14ac:dyDescent="0.2">
      <c r="B1459" s="19" t="str">
        <f>IF('DDF Original'!B1459="","",'DDF Original'!B1459)</f>
        <v/>
      </c>
      <c r="C1459" s="19" t="e">
        <f t="shared" si="154"/>
        <v>#VALUE!</v>
      </c>
      <c r="D1459" s="20" t="str">
        <f>IF('DDF Original'!C1459="","",'DDF Original'!C1459)</f>
        <v/>
      </c>
      <c r="E1459" s="24" t="str">
        <f>IF('DDF Original'!B1459="","",IF(TRIM('DDF Original'!I1459)="",0,'DDF Original'!I1459))</f>
        <v/>
      </c>
      <c r="F1459" s="20" t="str">
        <f t="shared" si="155"/>
        <v/>
      </c>
      <c r="G1459" s="37" t="str">
        <f>IF('DDF Original'!B1459="","",IF(TRIM('DDF Original'!P1459)="",0,'DDF Original'!P1459))</f>
        <v/>
      </c>
      <c r="H1459" s="20" t="str">
        <f t="shared" si="156"/>
        <v/>
      </c>
      <c r="I1459" s="25" t="str">
        <f t="shared" si="157"/>
        <v/>
      </c>
      <c r="J1459" s="20" t="str">
        <f t="shared" si="158"/>
        <v/>
      </c>
      <c r="K1459" s="20" t="str">
        <f t="shared" si="159"/>
        <v/>
      </c>
      <c r="L1459" s="20" t="str">
        <f>IF(B1459="","",70*'DDF Original'!$Q$4)</f>
        <v/>
      </c>
      <c r="M1459" s="20" t="str">
        <f t="shared" si="160"/>
        <v/>
      </c>
      <c r="N1459" s="20" t="str">
        <f>IF(AND(OR(B1459="",J1459&gt;G1459,M1459&gt;G1459),'DDF Original'!L1459&lt;&gt; "MI"),G1459,IF(M1459&gt;J1459,M1459,J1459))</f>
        <v/>
      </c>
    </row>
    <row r="1460" spans="2:14" x14ac:dyDescent="0.2">
      <c r="B1460" s="19" t="str">
        <f>IF('DDF Original'!B1460="","",'DDF Original'!B1460)</f>
        <v/>
      </c>
      <c r="C1460" s="19" t="e">
        <f t="shared" si="154"/>
        <v>#VALUE!</v>
      </c>
      <c r="D1460" s="20" t="str">
        <f>IF('DDF Original'!C1460="","",'DDF Original'!C1460)</f>
        <v/>
      </c>
      <c r="E1460" s="24" t="str">
        <f>IF('DDF Original'!B1460="","",IF(TRIM('DDF Original'!I1460)="",0,'DDF Original'!I1460))</f>
        <v/>
      </c>
      <c r="F1460" s="20" t="str">
        <f t="shared" si="155"/>
        <v/>
      </c>
      <c r="G1460" s="37" t="str">
        <f>IF('DDF Original'!B1460="","",IF(TRIM('DDF Original'!P1460)="",0,'DDF Original'!P1460))</f>
        <v/>
      </c>
      <c r="H1460" s="20" t="str">
        <f t="shared" si="156"/>
        <v/>
      </c>
      <c r="I1460" s="25" t="str">
        <f t="shared" si="157"/>
        <v/>
      </c>
      <c r="J1460" s="20" t="str">
        <f t="shared" si="158"/>
        <v/>
      </c>
      <c r="K1460" s="20" t="str">
        <f t="shared" si="159"/>
        <v/>
      </c>
      <c r="L1460" s="20" t="str">
        <f>IF(B1460="","",70*'DDF Original'!$Q$4)</f>
        <v/>
      </c>
      <c r="M1460" s="20" t="str">
        <f t="shared" si="160"/>
        <v/>
      </c>
      <c r="N1460" s="20" t="str">
        <f>IF(AND(OR(B1460="",J1460&gt;G1460,M1460&gt;G1460),'DDF Original'!L1460&lt;&gt; "MI"),G1460,IF(M1460&gt;J1460,M1460,J1460))</f>
        <v/>
      </c>
    </row>
    <row r="1461" spans="2:14" x14ac:dyDescent="0.2">
      <c r="B1461" s="19" t="str">
        <f>IF('DDF Original'!B1461="","",'DDF Original'!B1461)</f>
        <v/>
      </c>
      <c r="C1461" s="19" t="e">
        <f t="shared" si="154"/>
        <v>#VALUE!</v>
      </c>
      <c r="D1461" s="20" t="str">
        <f>IF('DDF Original'!C1461="","",'DDF Original'!C1461)</f>
        <v/>
      </c>
      <c r="E1461" s="24" t="str">
        <f>IF('DDF Original'!B1461="","",IF(TRIM('DDF Original'!I1461)="",0,'DDF Original'!I1461))</f>
        <v/>
      </c>
      <c r="F1461" s="20" t="str">
        <f t="shared" si="155"/>
        <v/>
      </c>
      <c r="G1461" s="37" t="str">
        <f>IF('DDF Original'!B1461="","",IF(TRIM('DDF Original'!P1461)="",0,'DDF Original'!P1461))</f>
        <v/>
      </c>
      <c r="H1461" s="20" t="str">
        <f t="shared" si="156"/>
        <v/>
      </c>
      <c r="I1461" s="25" t="str">
        <f t="shared" si="157"/>
        <v/>
      </c>
      <c r="J1461" s="20" t="str">
        <f t="shared" si="158"/>
        <v/>
      </c>
      <c r="K1461" s="20" t="str">
        <f t="shared" si="159"/>
        <v/>
      </c>
      <c r="L1461" s="20" t="str">
        <f>IF(B1461="","",70*'DDF Original'!$Q$4)</f>
        <v/>
      </c>
      <c r="M1461" s="20" t="str">
        <f t="shared" si="160"/>
        <v/>
      </c>
      <c r="N1461" s="20" t="str">
        <f>IF(AND(OR(B1461="",J1461&gt;G1461,M1461&gt;G1461),'DDF Original'!L1461&lt;&gt; "MI"),G1461,IF(M1461&gt;J1461,M1461,J1461))</f>
        <v/>
      </c>
    </row>
    <row r="1462" spans="2:14" x14ac:dyDescent="0.2">
      <c r="B1462" s="19" t="str">
        <f>IF('DDF Original'!B1462="","",'DDF Original'!B1462)</f>
        <v/>
      </c>
      <c r="C1462" s="19" t="e">
        <f t="shared" si="154"/>
        <v>#VALUE!</v>
      </c>
      <c r="D1462" s="20" t="str">
        <f>IF('DDF Original'!C1462="","",'DDF Original'!C1462)</f>
        <v/>
      </c>
      <c r="E1462" s="24" t="str">
        <f>IF('DDF Original'!B1462="","",IF(TRIM('DDF Original'!I1462)="",0,'DDF Original'!I1462))</f>
        <v/>
      </c>
      <c r="F1462" s="20" t="str">
        <f t="shared" si="155"/>
        <v/>
      </c>
      <c r="G1462" s="37" t="str">
        <f>IF('DDF Original'!B1462="","",IF(TRIM('DDF Original'!P1462)="",0,'DDF Original'!P1462))</f>
        <v/>
      </c>
      <c r="H1462" s="20" t="str">
        <f t="shared" si="156"/>
        <v/>
      </c>
      <c r="I1462" s="25" t="str">
        <f t="shared" si="157"/>
        <v/>
      </c>
      <c r="J1462" s="20" t="str">
        <f t="shared" si="158"/>
        <v/>
      </c>
      <c r="K1462" s="20" t="str">
        <f t="shared" si="159"/>
        <v/>
      </c>
      <c r="L1462" s="20" t="str">
        <f>IF(B1462="","",70*'DDF Original'!$Q$4)</f>
        <v/>
      </c>
      <c r="M1462" s="20" t="str">
        <f t="shared" si="160"/>
        <v/>
      </c>
      <c r="N1462" s="20" t="str">
        <f>IF(AND(OR(B1462="",J1462&gt;G1462,M1462&gt;G1462),'DDF Original'!L1462&lt;&gt; "MI"),G1462,IF(M1462&gt;J1462,M1462,J1462))</f>
        <v/>
      </c>
    </row>
    <row r="1463" spans="2:14" x14ac:dyDescent="0.2">
      <c r="B1463" s="19" t="str">
        <f>IF('DDF Original'!B1463="","",'DDF Original'!B1463)</f>
        <v/>
      </c>
      <c r="C1463" s="19" t="e">
        <f t="shared" si="154"/>
        <v>#VALUE!</v>
      </c>
      <c r="D1463" s="20" t="str">
        <f>IF('DDF Original'!C1463="","",'DDF Original'!C1463)</f>
        <v/>
      </c>
      <c r="E1463" s="24" t="str">
        <f>IF('DDF Original'!B1463="","",IF(TRIM('DDF Original'!I1463)="",0,'DDF Original'!I1463))</f>
        <v/>
      </c>
      <c r="F1463" s="20" t="str">
        <f t="shared" si="155"/>
        <v/>
      </c>
      <c r="G1463" s="37" t="str">
        <f>IF('DDF Original'!B1463="","",IF(TRIM('DDF Original'!P1463)="",0,'DDF Original'!P1463))</f>
        <v/>
      </c>
      <c r="H1463" s="20" t="str">
        <f t="shared" si="156"/>
        <v/>
      </c>
      <c r="I1463" s="25" t="str">
        <f t="shared" si="157"/>
        <v/>
      </c>
      <c r="J1463" s="20" t="str">
        <f t="shared" si="158"/>
        <v/>
      </c>
      <c r="K1463" s="20" t="str">
        <f t="shared" si="159"/>
        <v/>
      </c>
      <c r="L1463" s="20" t="str">
        <f>IF(B1463="","",70*'DDF Original'!$Q$4)</f>
        <v/>
      </c>
      <c r="M1463" s="20" t="str">
        <f t="shared" si="160"/>
        <v/>
      </c>
      <c r="N1463" s="20" t="str">
        <f>IF(AND(OR(B1463="",J1463&gt;G1463,M1463&gt;G1463),'DDF Original'!L1463&lt;&gt; "MI"),G1463,IF(M1463&gt;J1463,M1463,J1463))</f>
        <v/>
      </c>
    </row>
    <row r="1464" spans="2:14" x14ac:dyDescent="0.2">
      <c r="B1464" s="19" t="str">
        <f>IF('DDF Original'!B1464="","",'DDF Original'!B1464)</f>
        <v/>
      </c>
      <c r="C1464" s="19" t="e">
        <f t="shared" si="154"/>
        <v>#VALUE!</v>
      </c>
      <c r="D1464" s="20" t="str">
        <f>IF('DDF Original'!C1464="","",'DDF Original'!C1464)</f>
        <v/>
      </c>
      <c r="E1464" s="24" t="str">
        <f>IF('DDF Original'!B1464="","",IF(TRIM('DDF Original'!I1464)="",0,'DDF Original'!I1464))</f>
        <v/>
      </c>
      <c r="F1464" s="20" t="str">
        <f t="shared" si="155"/>
        <v/>
      </c>
      <c r="G1464" s="37" t="str">
        <f>IF('DDF Original'!B1464="","",IF(TRIM('DDF Original'!P1464)="",0,'DDF Original'!P1464))</f>
        <v/>
      </c>
      <c r="H1464" s="20" t="str">
        <f t="shared" si="156"/>
        <v/>
      </c>
      <c r="I1464" s="25" t="str">
        <f t="shared" si="157"/>
        <v/>
      </c>
      <c r="J1464" s="20" t="str">
        <f t="shared" si="158"/>
        <v/>
      </c>
      <c r="K1464" s="20" t="str">
        <f t="shared" si="159"/>
        <v/>
      </c>
      <c r="L1464" s="20" t="str">
        <f>IF(B1464="","",70*'DDF Original'!$Q$4)</f>
        <v/>
      </c>
      <c r="M1464" s="20" t="str">
        <f t="shared" si="160"/>
        <v/>
      </c>
      <c r="N1464" s="20" t="str">
        <f>IF(AND(OR(B1464="",J1464&gt;G1464,M1464&gt;G1464),'DDF Original'!L1464&lt;&gt; "MI"),G1464,IF(M1464&gt;J1464,M1464,J1464))</f>
        <v/>
      </c>
    </row>
    <row r="1465" spans="2:14" x14ac:dyDescent="0.2">
      <c r="B1465" s="19" t="str">
        <f>IF('DDF Original'!B1465="","",'DDF Original'!B1465)</f>
        <v/>
      </c>
      <c r="C1465" s="19" t="e">
        <f t="shared" si="154"/>
        <v>#VALUE!</v>
      </c>
      <c r="D1465" s="20" t="str">
        <f>IF('DDF Original'!C1465="","",'DDF Original'!C1465)</f>
        <v/>
      </c>
      <c r="E1465" s="24" t="str">
        <f>IF('DDF Original'!B1465="","",IF(TRIM('DDF Original'!I1465)="",0,'DDF Original'!I1465))</f>
        <v/>
      </c>
      <c r="F1465" s="20" t="str">
        <f t="shared" si="155"/>
        <v/>
      </c>
      <c r="G1465" s="37" t="str">
        <f>IF('DDF Original'!B1465="","",IF(TRIM('DDF Original'!P1465)="",0,'DDF Original'!P1465))</f>
        <v/>
      </c>
      <c r="H1465" s="20" t="str">
        <f t="shared" si="156"/>
        <v/>
      </c>
      <c r="I1465" s="25" t="str">
        <f t="shared" si="157"/>
        <v/>
      </c>
      <c r="J1465" s="20" t="str">
        <f t="shared" si="158"/>
        <v/>
      </c>
      <c r="K1465" s="20" t="str">
        <f t="shared" si="159"/>
        <v/>
      </c>
      <c r="L1465" s="20" t="str">
        <f>IF(B1465="","",70*'DDF Original'!$Q$4)</f>
        <v/>
      </c>
      <c r="M1465" s="20" t="str">
        <f t="shared" si="160"/>
        <v/>
      </c>
      <c r="N1465" s="20" t="str">
        <f>IF(AND(OR(B1465="",J1465&gt;G1465,M1465&gt;G1465),'DDF Original'!L1465&lt;&gt; "MI"),G1465,IF(M1465&gt;J1465,M1465,J1465))</f>
        <v/>
      </c>
    </row>
    <row r="1466" spans="2:14" x14ac:dyDescent="0.2">
      <c r="B1466" s="19" t="str">
        <f>IF('DDF Original'!B1466="","",'DDF Original'!B1466)</f>
        <v/>
      </c>
      <c r="C1466" s="19" t="e">
        <f t="shared" si="154"/>
        <v>#VALUE!</v>
      </c>
      <c r="D1466" s="20" t="str">
        <f>IF('DDF Original'!C1466="","",'DDF Original'!C1466)</f>
        <v/>
      </c>
      <c r="E1466" s="24" t="str">
        <f>IF('DDF Original'!B1466="","",IF(TRIM('DDF Original'!I1466)="",0,'DDF Original'!I1466))</f>
        <v/>
      </c>
      <c r="F1466" s="20" t="str">
        <f t="shared" si="155"/>
        <v/>
      </c>
      <c r="G1466" s="37" t="str">
        <f>IF('DDF Original'!B1466="","",IF(TRIM('DDF Original'!P1466)="",0,'DDF Original'!P1466))</f>
        <v/>
      </c>
      <c r="H1466" s="20" t="str">
        <f t="shared" si="156"/>
        <v/>
      </c>
      <c r="I1466" s="25" t="str">
        <f t="shared" si="157"/>
        <v/>
      </c>
      <c r="J1466" s="20" t="str">
        <f t="shared" si="158"/>
        <v/>
      </c>
      <c r="K1466" s="20" t="str">
        <f t="shared" si="159"/>
        <v/>
      </c>
      <c r="L1466" s="20" t="str">
        <f>IF(B1466="","",70*'DDF Original'!$Q$4)</f>
        <v/>
      </c>
      <c r="M1466" s="20" t="str">
        <f t="shared" si="160"/>
        <v/>
      </c>
      <c r="N1466" s="20" t="str">
        <f>IF(AND(OR(B1466="",J1466&gt;G1466,M1466&gt;G1466),'DDF Original'!L1466&lt;&gt; "MI"),G1466,IF(M1466&gt;J1466,M1466,J1466))</f>
        <v/>
      </c>
    </row>
    <row r="1467" spans="2:14" x14ac:dyDescent="0.2">
      <c r="B1467" s="19" t="str">
        <f>IF('DDF Original'!B1467="","",'DDF Original'!B1467)</f>
        <v/>
      </c>
      <c r="C1467" s="19" t="e">
        <f t="shared" si="154"/>
        <v>#VALUE!</v>
      </c>
      <c r="D1467" s="20" t="str">
        <f>IF('DDF Original'!C1467="","",'DDF Original'!C1467)</f>
        <v/>
      </c>
      <c r="E1467" s="24" t="str">
        <f>IF('DDF Original'!B1467="","",IF(TRIM('DDF Original'!I1467)="",0,'DDF Original'!I1467))</f>
        <v/>
      </c>
      <c r="F1467" s="20" t="str">
        <f t="shared" si="155"/>
        <v/>
      </c>
      <c r="G1467" s="37" t="str">
        <f>IF('DDF Original'!B1467="","",IF(TRIM('DDF Original'!P1467)="",0,'DDF Original'!P1467))</f>
        <v/>
      </c>
      <c r="H1467" s="20" t="str">
        <f t="shared" si="156"/>
        <v/>
      </c>
      <c r="I1467" s="25" t="str">
        <f t="shared" si="157"/>
        <v/>
      </c>
      <c r="J1467" s="20" t="str">
        <f t="shared" si="158"/>
        <v/>
      </c>
      <c r="K1467" s="20" t="str">
        <f t="shared" si="159"/>
        <v/>
      </c>
      <c r="L1467" s="20" t="str">
        <f>IF(B1467="","",70*'DDF Original'!$Q$4)</f>
        <v/>
      </c>
      <c r="M1467" s="20" t="str">
        <f t="shared" si="160"/>
        <v/>
      </c>
      <c r="N1467" s="20" t="str">
        <f>IF(AND(OR(B1467="",J1467&gt;G1467,M1467&gt;G1467),'DDF Original'!L1467&lt;&gt; "MI"),G1467,IF(M1467&gt;J1467,M1467,J1467))</f>
        <v/>
      </c>
    </row>
    <row r="1468" spans="2:14" x14ac:dyDescent="0.2">
      <c r="B1468" s="19" t="str">
        <f>IF('DDF Original'!B1468="","",'DDF Original'!B1468)</f>
        <v/>
      </c>
      <c r="C1468" s="19" t="e">
        <f t="shared" si="154"/>
        <v>#VALUE!</v>
      </c>
      <c r="D1468" s="20" t="str">
        <f>IF('DDF Original'!C1468="","",'DDF Original'!C1468)</f>
        <v/>
      </c>
      <c r="E1468" s="24" t="str">
        <f>IF('DDF Original'!B1468="","",IF(TRIM('DDF Original'!I1468)="",0,'DDF Original'!I1468))</f>
        <v/>
      </c>
      <c r="F1468" s="20" t="str">
        <f t="shared" si="155"/>
        <v/>
      </c>
      <c r="G1468" s="37" t="str">
        <f>IF('DDF Original'!B1468="","",IF(TRIM('DDF Original'!P1468)="",0,'DDF Original'!P1468))</f>
        <v/>
      </c>
      <c r="H1468" s="20" t="str">
        <f t="shared" si="156"/>
        <v/>
      </c>
      <c r="I1468" s="25" t="str">
        <f t="shared" si="157"/>
        <v/>
      </c>
      <c r="J1468" s="20" t="str">
        <f t="shared" si="158"/>
        <v/>
      </c>
      <c r="K1468" s="20" t="str">
        <f t="shared" si="159"/>
        <v/>
      </c>
      <c r="L1468" s="20" t="str">
        <f>IF(B1468="","",70*'DDF Original'!$Q$4)</f>
        <v/>
      </c>
      <c r="M1468" s="20" t="str">
        <f t="shared" si="160"/>
        <v/>
      </c>
      <c r="N1468" s="20" t="str">
        <f>IF(AND(OR(B1468="",J1468&gt;G1468,M1468&gt;G1468),'DDF Original'!L1468&lt;&gt; "MI"),G1468,IF(M1468&gt;J1468,M1468,J1468))</f>
        <v/>
      </c>
    </row>
    <row r="1469" spans="2:14" x14ac:dyDescent="0.2">
      <c r="B1469" s="19" t="str">
        <f>IF('DDF Original'!B1469="","",'DDF Original'!B1469)</f>
        <v/>
      </c>
      <c r="C1469" s="19" t="e">
        <f t="shared" ref="C1469:C1508" si="161">LEFT(B1469,FIND(".",B1469)-1)</f>
        <v>#VALUE!</v>
      </c>
      <c r="D1469" s="20" t="str">
        <f>IF('DDF Original'!C1469="","",'DDF Original'!C1469)</f>
        <v/>
      </c>
      <c r="E1469" s="24" t="str">
        <f>IF('DDF Original'!B1469="","",IF(TRIM('DDF Original'!I1469)="",0,'DDF Original'!I1469))</f>
        <v/>
      </c>
      <c r="F1469" s="20" t="str">
        <f t="shared" ref="F1469:F1508" si="162">IF(D1469="",D1469,ROUND(D1469*(1+E1469/100),2))</f>
        <v/>
      </c>
      <c r="G1469" s="37" t="str">
        <f>IF('DDF Original'!B1469="","",IF(TRIM('DDF Original'!P1469)="",0,'DDF Original'!P1469))</f>
        <v/>
      </c>
      <c r="H1469" s="20" t="str">
        <f t="shared" ref="H1469:H1508" si="163">IF(OR(D1469=0,D1469=""),G1469,F1469)</f>
        <v/>
      </c>
      <c r="I1469" s="25" t="str">
        <f t="shared" ref="I1469:I1508" si="164">IF(B1469="","",IF(OR(D1469=0,D1469=""),50,35))</f>
        <v/>
      </c>
      <c r="J1469" s="20" t="str">
        <f t="shared" ref="J1469:J1508" si="165">IF(B1469="","",ROUND(H1469*I1469/100,2))</f>
        <v/>
      </c>
      <c r="K1469" s="20" t="str">
        <f t="shared" ref="K1469:K1508" si="166">IF(B1469="","",SUMIFS($J$9:$J$508,$C$9:$C$508,"="&amp;C1469))</f>
        <v/>
      </c>
      <c r="L1469" s="20" t="str">
        <f>IF(B1469="","",70*'DDF Original'!$Q$4)</f>
        <v/>
      </c>
      <c r="M1469" s="20" t="str">
        <f t="shared" ref="M1469:M1508" si="167">IF(B1469="","",ROUND(J1469/K1469*L1469,2))</f>
        <v/>
      </c>
      <c r="N1469" s="20" t="str">
        <f>IF(AND(OR(B1469="",J1469&gt;G1469,M1469&gt;G1469),'DDF Original'!L1469&lt;&gt; "MI"),G1469,IF(M1469&gt;J1469,M1469,J1469))</f>
        <v/>
      </c>
    </row>
    <row r="1470" spans="2:14" x14ac:dyDescent="0.2">
      <c r="B1470" s="19" t="str">
        <f>IF('DDF Original'!B1470="","",'DDF Original'!B1470)</f>
        <v/>
      </c>
      <c r="C1470" s="19" t="e">
        <f t="shared" si="161"/>
        <v>#VALUE!</v>
      </c>
      <c r="D1470" s="20" t="str">
        <f>IF('DDF Original'!C1470="","",'DDF Original'!C1470)</f>
        <v/>
      </c>
      <c r="E1470" s="24" t="str">
        <f>IF('DDF Original'!B1470="","",IF(TRIM('DDF Original'!I1470)="",0,'DDF Original'!I1470))</f>
        <v/>
      </c>
      <c r="F1470" s="20" t="str">
        <f t="shared" si="162"/>
        <v/>
      </c>
      <c r="G1470" s="37" t="str">
        <f>IF('DDF Original'!B1470="","",IF(TRIM('DDF Original'!P1470)="",0,'DDF Original'!P1470))</f>
        <v/>
      </c>
      <c r="H1470" s="20" t="str">
        <f t="shared" si="163"/>
        <v/>
      </c>
      <c r="I1470" s="25" t="str">
        <f t="shared" si="164"/>
        <v/>
      </c>
      <c r="J1470" s="20" t="str">
        <f t="shared" si="165"/>
        <v/>
      </c>
      <c r="K1470" s="20" t="str">
        <f t="shared" si="166"/>
        <v/>
      </c>
      <c r="L1470" s="20" t="str">
        <f>IF(B1470="","",70*'DDF Original'!$Q$4)</f>
        <v/>
      </c>
      <c r="M1470" s="20" t="str">
        <f t="shared" si="167"/>
        <v/>
      </c>
      <c r="N1470" s="20" t="str">
        <f>IF(AND(OR(B1470="",J1470&gt;G1470,M1470&gt;G1470),'DDF Original'!L1470&lt;&gt; "MI"),G1470,IF(M1470&gt;J1470,M1470,J1470))</f>
        <v/>
      </c>
    </row>
    <row r="1471" spans="2:14" x14ac:dyDescent="0.2">
      <c r="B1471" s="19" t="str">
        <f>IF('DDF Original'!B1471="","",'DDF Original'!B1471)</f>
        <v/>
      </c>
      <c r="C1471" s="19" t="e">
        <f t="shared" si="161"/>
        <v>#VALUE!</v>
      </c>
      <c r="D1471" s="20" t="str">
        <f>IF('DDF Original'!C1471="","",'DDF Original'!C1471)</f>
        <v/>
      </c>
      <c r="E1471" s="24" t="str">
        <f>IF('DDF Original'!B1471="","",IF(TRIM('DDF Original'!I1471)="",0,'DDF Original'!I1471))</f>
        <v/>
      </c>
      <c r="F1471" s="20" t="str">
        <f t="shared" si="162"/>
        <v/>
      </c>
      <c r="G1471" s="37" t="str">
        <f>IF('DDF Original'!B1471="","",IF(TRIM('DDF Original'!P1471)="",0,'DDF Original'!P1471))</f>
        <v/>
      </c>
      <c r="H1471" s="20" t="str">
        <f t="shared" si="163"/>
        <v/>
      </c>
      <c r="I1471" s="25" t="str">
        <f t="shared" si="164"/>
        <v/>
      </c>
      <c r="J1471" s="20" t="str">
        <f t="shared" si="165"/>
        <v/>
      </c>
      <c r="K1471" s="20" t="str">
        <f t="shared" si="166"/>
        <v/>
      </c>
      <c r="L1471" s="20" t="str">
        <f>IF(B1471="","",70*'DDF Original'!$Q$4)</f>
        <v/>
      </c>
      <c r="M1471" s="20" t="str">
        <f t="shared" si="167"/>
        <v/>
      </c>
      <c r="N1471" s="20" t="str">
        <f>IF(AND(OR(B1471="",J1471&gt;G1471,M1471&gt;G1471),'DDF Original'!L1471&lt;&gt; "MI"),G1471,IF(M1471&gt;J1471,M1471,J1471))</f>
        <v/>
      </c>
    </row>
    <row r="1472" spans="2:14" x14ac:dyDescent="0.2">
      <c r="B1472" s="19" t="str">
        <f>IF('DDF Original'!B1472="","",'DDF Original'!B1472)</f>
        <v/>
      </c>
      <c r="C1472" s="19" t="e">
        <f t="shared" si="161"/>
        <v>#VALUE!</v>
      </c>
      <c r="D1472" s="20" t="str">
        <f>IF('DDF Original'!C1472="","",'DDF Original'!C1472)</f>
        <v/>
      </c>
      <c r="E1472" s="24" t="str">
        <f>IF('DDF Original'!B1472="","",IF(TRIM('DDF Original'!I1472)="",0,'DDF Original'!I1472))</f>
        <v/>
      </c>
      <c r="F1472" s="20" t="str">
        <f t="shared" si="162"/>
        <v/>
      </c>
      <c r="G1472" s="37" t="str">
        <f>IF('DDF Original'!B1472="","",IF(TRIM('DDF Original'!P1472)="",0,'DDF Original'!P1472))</f>
        <v/>
      </c>
      <c r="H1472" s="20" t="str">
        <f t="shared" si="163"/>
        <v/>
      </c>
      <c r="I1472" s="25" t="str">
        <f t="shared" si="164"/>
        <v/>
      </c>
      <c r="J1472" s="20" t="str">
        <f t="shared" si="165"/>
        <v/>
      </c>
      <c r="K1472" s="20" t="str">
        <f t="shared" si="166"/>
        <v/>
      </c>
      <c r="L1472" s="20" t="str">
        <f>IF(B1472="","",70*'DDF Original'!$Q$4)</f>
        <v/>
      </c>
      <c r="M1472" s="20" t="str">
        <f t="shared" si="167"/>
        <v/>
      </c>
      <c r="N1472" s="20" t="str">
        <f>IF(AND(OR(B1472="",J1472&gt;G1472,M1472&gt;G1472),'DDF Original'!L1472&lt;&gt; "MI"),G1472,IF(M1472&gt;J1472,M1472,J1472))</f>
        <v/>
      </c>
    </row>
    <row r="1473" spans="2:14" x14ac:dyDescent="0.2">
      <c r="B1473" s="19" t="str">
        <f>IF('DDF Original'!B1473="","",'DDF Original'!B1473)</f>
        <v/>
      </c>
      <c r="C1473" s="19" t="e">
        <f t="shared" si="161"/>
        <v>#VALUE!</v>
      </c>
      <c r="D1473" s="20" t="str">
        <f>IF('DDF Original'!C1473="","",'DDF Original'!C1473)</f>
        <v/>
      </c>
      <c r="E1473" s="24" t="str">
        <f>IF('DDF Original'!B1473="","",IF(TRIM('DDF Original'!I1473)="",0,'DDF Original'!I1473))</f>
        <v/>
      </c>
      <c r="F1473" s="20" t="str">
        <f t="shared" si="162"/>
        <v/>
      </c>
      <c r="G1473" s="37" t="str">
        <f>IF('DDF Original'!B1473="","",IF(TRIM('DDF Original'!P1473)="",0,'DDF Original'!P1473))</f>
        <v/>
      </c>
      <c r="H1473" s="20" t="str">
        <f t="shared" si="163"/>
        <v/>
      </c>
      <c r="I1473" s="25" t="str">
        <f t="shared" si="164"/>
        <v/>
      </c>
      <c r="J1473" s="20" t="str">
        <f t="shared" si="165"/>
        <v/>
      </c>
      <c r="K1473" s="20" t="str">
        <f t="shared" si="166"/>
        <v/>
      </c>
      <c r="L1473" s="20" t="str">
        <f>IF(B1473="","",70*'DDF Original'!$Q$4)</f>
        <v/>
      </c>
      <c r="M1473" s="20" t="str">
        <f t="shared" si="167"/>
        <v/>
      </c>
      <c r="N1473" s="20" t="str">
        <f>IF(AND(OR(B1473="",J1473&gt;G1473,M1473&gt;G1473),'DDF Original'!L1473&lt;&gt; "MI"),G1473,IF(M1473&gt;J1473,M1473,J1473))</f>
        <v/>
      </c>
    </row>
    <row r="1474" spans="2:14" x14ac:dyDescent="0.2">
      <c r="B1474" s="19" t="str">
        <f>IF('DDF Original'!B1474="","",'DDF Original'!B1474)</f>
        <v/>
      </c>
      <c r="C1474" s="19" t="e">
        <f t="shared" si="161"/>
        <v>#VALUE!</v>
      </c>
      <c r="D1474" s="20" t="str">
        <f>IF('DDF Original'!C1474="","",'DDF Original'!C1474)</f>
        <v/>
      </c>
      <c r="E1474" s="24" t="str">
        <f>IF('DDF Original'!B1474="","",IF(TRIM('DDF Original'!I1474)="",0,'DDF Original'!I1474))</f>
        <v/>
      </c>
      <c r="F1474" s="20" t="str">
        <f t="shared" si="162"/>
        <v/>
      </c>
      <c r="G1474" s="37" t="str">
        <f>IF('DDF Original'!B1474="","",IF(TRIM('DDF Original'!P1474)="",0,'DDF Original'!P1474))</f>
        <v/>
      </c>
      <c r="H1474" s="20" t="str">
        <f t="shared" si="163"/>
        <v/>
      </c>
      <c r="I1474" s="25" t="str">
        <f t="shared" si="164"/>
        <v/>
      </c>
      <c r="J1474" s="20" t="str">
        <f t="shared" si="165"/>
        <v/>
      </c>
      <c r="K1474" s="20" t="str">
        <f t="shared" si="166"/>
        <v/>
      </c>
      <c r="L1474" s="20" t="str">
        <f>IF(B1474="","",70*'DDF Original'!$Q$4)</f>
        <v/>
      </c>
      <c r="M1474" s="20" t="str">
        <f t="shared" si="167"/>
        <v/>
      </c>
      <c r="N1474" s="20" t="str">
        <f>IF(AND(OR(B1474="",J1474&gt;G1474,M1474&gt;G1474),'DDF Original'!L1474&lt;&gt; "MI"),G1474,IF(M1474&gt;J1474,M1474,J1474))</f>
        <v/>
      </c>
    </row>
    <row r="1475" spans="2:14" x14ac:dyDescent="0.2">
      <c r="B1475" s="19" t="str">
        <f>IF('DDF Original'!B1475="","",'DDF Original'!B1475)</f>
        <v/>
      </c>
      <c r="C1475" s="19" t="e">
        <f t="shared" si="161"/>
        <v>#VALUE!</v>
      </c>
      <c r="D1475" s="20" t="str">
        <f>IF('DDF Original'!C1475="","",'DDF Original'!C1475)</f>
        <v/>
      </c>
      <c r="E1475" s="24" t="str">
        <f>IF('DDF Original'!B1475="","",IF(TRIM('DDF Original'!I1475)="",0,'DDF Original'!I1475))</f>
        <v/>
      </c>
      <c r="F1475" s="20" t="str">
        <f t="shared" si="162"/>
        <v/>
      </c>
      <c r="G1475" s="37" t="str">
        <f>IF('DDF Original'!B1475="","",IF(TRIM('DDF Original'!P1475)="",0,'DDF Original'!P1475))</f>
        <v/>
      </c>
      <c r="H1475" s="20" t="str">
        <f t="shared" si="163"/>
        <v/>
      </c>
      <c r="I1475" s="25" t="str">
        <f t="shared" si="164"/>
        <v/>
      </c>
      <c r="J1475" s="20" t="str">
        <f t="shared" si="165"/>
        <v/>
      </c>
      <c r="K1475" s="20" t="str">
        <f t="shared" si="166"/>
        <v/>
      </c>
      <c r="L1475" s="20" t="str">
        <f>IF(B1475="","",70*'DDF Original'!$Q$4)</f>
        <v/>
      </c>
      <c r="M1475" s="20" t="str">
        <f t="shared" si="167"/>
        <v/>
      </c>
      <c r="N1475" s="20" t="str">
        <f>IF(AND(OR(B1475="",J1475&gt;G1475,M1475&gt;G1475),'DDF Original'!L1475&lt;&gt; "MI"),G1475,IF(M1475&gt;J1475,M1475,J1475))</f>
        <v/>
      </c>
    </row>
    <row r="1476" spans="2:14" x14ac:dyDescent="0.2">
      <c r="B1476" s="19" t="str">
        <f>IF('DDF Original'!B1476="","",'DDF Original'!B1476)</f>
        <v/>
      </c>
      <c r="C1476" s="19" t="e">
        <f t="shared" si="161"/>
        <v>#VALUE!</v>
      </c>
      <c r="D1476" s="20" t="str">
        <f>IF('DDF Original'!C1476="","",'DDF Original'!C1476)</f>
        <v/>
      </c>
      <c r="E1476" s="24" t="str">
        <f>IF('DDF Original'!B1476="","",IF(TRIM('DDF Original'!I1476)="",0,'DDF Original'!I1476))</f>
        <v/>
      </c>
      <c r="F1476" s="20" t="str">
        <f t="shared" si="162"/>
        <v/>
      </c>
      <c r="G1476" s="37" t="str">
        <f>IF('DDF Original'!B1476="","",IF(TRIM('DDF Original'!P1476)="",0,'DDF Original'!P1476))</f>
        <v/>
      </c>
      <c r="H1476" s="20" t="str">
        <f t="shared" si="163"/>
        <v/>
      </c>
      <c r="I1476" s="25" t="str">
        <f t="shared" si="164"/>
        <v/>
      </c>
      <c r="J1476" s="20" t="str">
        <f t="shared" si="165"/>
        <v/>
      </c>
      <c r="K1476" s="20" t="str">
        <f t="shared" si="166"/>
        <v/>
      </c>
      <c r="L1476" s="20" t="str">
        <f>IF(B1476="","",70*'DDF Original'!$Q$4)</f>
        <v/>
      </c>
      <c r="M1476" s="20" t="str">
        <f t="shared" si="167"/>
        <v/>
      </c>
      <c r="N1476" s="20" t="str">
        <f>IF(AND(OR(B1476="",J1476&gt;G1476,M1476&gt;G1476),'DDF Original'!L1476&lt;&gt; "MI"),G1476,IF(M1476&gt;J1476,M1476,J1476))</f>
        <v/>
      </c>
    </row>
    <row r="1477" spans="2:14" x14ac:dyDescent="0.2">
      <c r="B1477" s="19" t="str">
        <f>IF('DDF Original'!B1477="","",'DDF Original'!B1477)</f>
        <v/>
      </c>
      <c r="C1477" s="19" t="e">
        <f t="shared" si="161"/>
        <v>#VALUE!</v>
      </c>
      <c r="D1477" s="20" t="str">
        <f>IF('DDF Original'!C1477="","",'DDF Original'!C1477)</f>
        <v/>
      </c>
      <c r="E1477" s="24" t="str">
        <f>IF('DDF Original'!B1477="","",IF(TRIM('DDF Original'!I1477)="",0,'DDF Original'!I1477))</f>
        <v/>
      </c>
      <c r="F1477" s="20" t="str">
        <f t="shared" si="162"/>
        <v/>
      </c>
      <c r="G1477" s="37" t="str">
        <f>IF('DDF Original'!B1477="","",IF(TRIM('DDF Original'!P1477)="",0,'DDF Original'!P1477))</f>
        <v/>
      </c>
      <c r="H1477" s="20" t="str">
        <f t="shared" si="163"/>
        <v/>
      </c>
      <c r="I1477" s="25" t="str">
        <f t="shared" si="164"/>
        <v/>
      </c>
      <c r="J1477" s="20" t="str">
        <f t="shared" si="165"/>
        <v/>
      </c>
      <c r="K1477" s="20" t="str">
        <f t="shared" si="166"/>
        <v/>
      </c>
      <c r="L1477" s="20" t="str">
        <f>IF(B1477="","",70*'DDF Original'!$Q$4)</f>
        <v/>
      </c>
      <c r="M1477" s="20" t="str">
        <f t="shared" si="167"/>
        <v/>
      </c>
      <c r="N1477" s="20" t="str">
        <f>IF(AND(OR(B1477="",J1477&gt;G1477,M1477&gt;G1477),'DDF Original'!L1477&lt;&gt; "MI"),G1477,IF(M1477&gt;J1477,M1477,J1477))</f>
        <v/>
      </c>
    </row>
    <row r="1478" spans="2:14" x14ac:dyDescent="0.2">
      <c r="B1478" s="19" t="str">
        <f>IF('DDF Original'!B1478="","",'DDF Original'!B1478)</f>
        <v/>
      </c>
      <c r="C1478" s="19" t="e">
        <f t="shared" si="161"/>
        <v>#VALUE!</v>
      </c>
      <c r="D1478" s="20" t="str">
        <f>IF('DDF Original'!C1478="","",'DDF Original'!C1478)</f>
        <v/>
      </c>
      <c r="E1478" s="24" t="str">
        <f>IF('DDF Original'!B1478="","",IF(TRIM('DDF Original'!I1478)="",0,'DDF Original'!I1478))</f>
        <v/>
      </c>
      <c r="F1478" s="20" t="str">
        <f t="shared" si="162"/>
        <v/>
      </c>
      <c r="G1478" s="37" t="str">
        <f>IF('DDF Original'!B1478="","",IF(TRIM('DDF Original'!P1478)="",0,'DDF Original'!P1478))</f>
        <v/>
      </c>
      <c r="H1478" s="20" t="str">
        <f t="shared" si="163"/>
        <v/>
      </c>
      <c r="I1478" s="25" t="str">
        <f t="shared" si="164"/>
        <v/>
      </c>
      <c r="J1478" s="20" t="str">
        <f t="shared" si="165"/>
        <v/>
      </c>
      <c r="K1478" s="20" t="str">
        <f t="shared" si="166"/>
        <v/>
      </c>
      <c r="L1478" s="20" t="str">
        <f>IF(B1478="","",70*'DDF Original'!$Q$4)</f>
        <v/>
      </c>
      <c r="M1478" s="20" t="str">
        <f t="shared" si="167"/>
        <v/>
      </c>
      <c r="N1478" s="20" t="str">
        <f>IF(AND(OR(B1478="",J1478&gt;G1478,M1478&gt;G1478),'DDF Original'!L1478&lt;&gt; "MI"),G1478,IF(M1478&gt;J1478,M1478,J1478))</f>
        <v/>
      </c>
    </row>
    <row r="1479" spans="2:14" x14ac:dyDescent="0.2">
      <c r="B1479" s="19" t="str">
        <f>IF('DDF Original'!B1479="","",'DDF Original'!B1479)</f>
        <v/>
      </c>
      <c r="C1479" s="19" t="e">
        <f t="shared" si="161"/>
        <v>#VALUE!</v>
      </c>
      <c r="D1479" s="20" t="str">
        <f>IF('DDF Original'!C1479="","",'DDF Original'!C1479)</f>
        <v/>
      </c>
      <c r="E1479" s="24" t="str">
        <f>IF('DDF Original'!B1479="","",IF(TRIM('DDF Original'!I1479)="",0,'DDF Original'!I1479))</f>
        <v/>
      </c>
      <c r="F1479" s="20" t="str">
        <f t="shared" si="162"/>
        <v/>
      </c>
      <c r="G1479" s="37" t="str">
        <f>IF('DDF Original'!B1479="","",IF(TRIM('DDF Original'!P1479)="",0,'DDF Original'!P1479))</f>
        <v/>
      </c>
      <c r="H1479" s="20" t="str">
        <f t="shared" si="163"/>
        <v/>
      </c>
      <c r="I1479" s="25" t="str">
        <f t="shared" si="164"/>
        <v/>
      </c>
      <c r="J1479" s="20" t="str">
        <f t="shared" si="165"/>
        <v/>
      </c>
      <c r="K1479" s="20" t="str">
        <f t="shared" si="166"/>
        <v/>
      </c>
      <c r="L1479" s="20" t="str">
        <f>IF(B1479="","",70*'DDF Original'!$Q$4)</f>
        <v/>
      </c>
      <c r="M1479" s="20" t="str">
        <f t="shared" si="167"/>
        <v/>
      </c>
      <c r="N1479" s="20" t="str">
        <f>IF(AND(OR(B1479="",J1479&gt;G1479,M1479&gt;G1479),'DDF Original'!L1479&lt;&gt; "MI"),G1479,IF(M1479&gt;J1479,M1479,J1479))</f>
        <v/>
      </c>
    </row>
    <row r="1480" spans="2:14" x14ac:dyDescent="0.2">
      <c r="B1480" s="19" t="str">
        <f>IF('DDF Original'!B1480="","",'DDF Original'!B1480)</f>
        <v/>
      </c>
      <c r="C1480" s="19" t="e">
        <f t="shared" si="161"/>
        <v>#VALUE!</v>
      </c>
      <c r="D1480" s="20" t="str">
        <f>IF('DDF Original'!C1480="","",'DDF Original'!C1480)</f>
        <v/>
      </c>
      <c r="E1480" s="24" t="str">
        <f>IF('DDF Original'!B1480="","",IF(TRIM('DDF Original'!I1480)="",0,'DDF Original'!I1480))</f>
        <v/>
      </c>
      <c r="F1480" s="20" t="str">
        <f t="shared" si="162"/>
        <v/>
      </c>
      <c r="G1480" s="37" t="str">
        <f>IF('DDF Original'!B1480="","",IF(TRIM('DDF Original'!P1480)="",0,'DDF Original'!P1480))</f>
        <v/>
      </c>
      <c r="H1480" s="20" t="str">
        <f t="shared" si="163"/>
        <v/>
      </c>
      <c r="I1480" s="25" t="str">
        <f t="shared" si="164"/>
        <v/>
      </c>
      <c r="J1480" s="20" t="str">
        <f t="shared" si="165"/>
        <v/>
      </c>
      <c r="K1480" s="20" t="str">
        <f t="shared" si="166"/>
        <v/>
      </c>
      <c r="L1480" s="20" t="str">
        <f>IF(B1480="","",70*'DDF Original'!$Q$4)</f>
        <v/>
      </c>
      <c r="M1480" s="20" t="str">
        <f t="shared" si="167"/>
        <v/>
      </c>
      <c r="N1480" s="20" t="str">
        <f>IF(AND(OR(B1480="",J1480&gt;G1480,M1480&gt;G1480),'DDF Original'!L1480&lt;&gt; "MI"),G1480,IF(M1480&gt;J1480,M1480,J1480))</f>
        <v/>
      </c>
    </row>
    <row r="1481" spans="2:14" x14ac:dyDescent="0.2">
      <c r="B1481" s="19" t="str">
        <f>IF('DDF Original'!B1481="","",'DDF Original'!B1481)</f>
        <v/>
      </c>
      <c r="C1481" s="19" t="e">
        <f t="shared" si="161"/>
        <v>#VALUE!</v>
      </c>
      <c r="D1481" s="20" t="str">
        <f>IF('DDF Original'!C1481="","",'DDF Original'!C1481)</f>
        <v/>
      </c>
      <c r="E1481" s="24" t="str">
        <f>IF('DDF Original'!B1481="","",IF(TRIM('DDF Original'!I1481)="",0,'DDF Original'!I1481))</f>
        <v/>
      </c>
      <c r="F1481" s="20" t="str">
        <f t="shared" si="162"/>
        <v/>
      </c>
      <c r="G1481" s="37" t="str">
        <f>IF('DDF Original'!B1481="","",IF(TRIM('DDF Original'!P1481)="",0,'DDF Original'!P1481))</f>
        <v/>
      </c>
      <c r="H1481" s="20" t="str">
        <f t="shared" si="163"/>
        <v/>
      </c>
      <c r="I1481" s="25" t="str">
        <f t="shared" si="164"/>
        <v/>
      </c>
      <c r="J1481" s="20" t="str">
        <f t="shared" si="165"/>
        <v/>
      </c>
      <c r="K1481" s="20" t="str">
        <f t="shared" si="166"/>
        <v/>
      </c>
      <c r="L1481" s="20" t="str">
        <f>IF(B1481="","",70*'DDF Original'!$Q$4)</f>
        <v/>
      </c>
      <c r="M1481" s="20" t="str">
        <f t="shared" si="167"/>
        <v/>
      </c>
      <c r="N1481" s="20" t="str">
        <f>IF(AND(OR(B1481="",J1481&gt;G1481,M1481&gt;G1481),'DDF Original'!L1481&lt;&gt; "MI"),G1481,IF(M1481&gt;J1481,M1481,J1481))</f>
        <v/>
      </c>
    </row>
    <row r="1482" spans="2:14" x14ac:dyDescent="0.2">
      <c r="B1482" s="19" t="str">
        <f>IF('DDF Original'!B1482="","",'DDF Original'!B1482)</f>
        <v/>
      </c>
      <c r="C1482" s="19" t="e">
        <f t="shared" si="161"/>
        <v>#VALUE!</v>
      </c>
      <c r="D1482" s="20" t="str">
        <f>IF('DDF Original'!C1482="","",'DDF Original'!C1482)</f>
        <v/>
      </c>
      <c r="E1482" s="24" t="str">
        <f>IF('DDF Original'!B1482="","",IF(TRIM('DDF Original'!I1482)="",0,'DDF Original'!I1482))</f>
        <v/>
      </c>
      <c r="F1482" s="20" t="str">
        <f t="shared" si="162"/>
        <v/>
      </c>
      <c r="G1482" s="37" t="str">
        <f>IF('DDF Original'!B1482="","",IF(TRIM('DDF Original'!P1482)="",0,'DDF Original'!P1482))</f>
        <v/>
      </c>
      <c r="H1482" s="20" t="str">
        <f t="shared" si="163"/>
        <v/>
      </c>
      <c r="I1482" s="25" t="str">
        <f t="shared" si="164"/>
        <v/>
      </c>
      <c r="J1482" s="20" t="str">
        <f t="shared" si="165"/>
        <v/>
      </c>
      <c r="K1482" s="20" t="str">
        <f t="shared" si="166"/>
        <v/>
      </c>
      <c r="L1482" s="20" t="str">
        <f>IF(B1482="","",70*'DDF Original'!$Q$4)</f>
        <v/>
      </c>
      <c r="M1482" s="20" t="str">
        <f t="shared" si="167"/>
        <v/>
      </c>
      <c r="N1482" s="20" t="str">
        <f>IF(AND(OR(B1482="",J1482&gt;G1482,M1482&gt;G1482),'DDF Original'!L1482&lt;&gt; "MI"),G1482,IF(M1482&gt;J1482,M1482,J1482))</f>
        <v/>
      </c>
    </row>
    <row r="1483" spans="2:14" x14ac:dyDescent="0.2">
      <c r="B1483" s="19" t="str">
        <f>IF('DDF Original'!B1483="","",'DDF Original'!B1483)</f>
        <v/>
      </c>
      <c r="C1483" s="19" t="e">
        <f t="shared" si="161"/>
        <v>#VALUE!</v>
      </c>
      <c r="D1483" s="20" t="str">
        <f>IF('DDF Original'!C1483="","",'DDF Original'!C1483)</f>
        <v/>
      </c>
      <c r="E1483" s="24" t="str">
        <f>IF('DDF Original'!B1483="","",IF(TRIM('DDF Original'!I1483)="",0,'DDF Original'!I1483))</f>
        <v/>
      </c>
      <c r="F1483" s="20" t="str">
        <f t="shared" si="162"/>
        <v/>
      </c>
      <c r="G1483" s="37" t="str">
        <f>IF('DDF Original'!B1483="","",IF(TRIM('DDF Original'!P1483)="",0,'DDF Original'!P1483))</f>
        <v/>
      </c>
      <c r="H1483" s="20" t="str">
        <f t="shared" si="163"/>
        <v/>
      </c>
      <c r="I1483" s="25" t="str">
        <f t="shared" si="164"/>
        <v/>
      </c>
      <c r="J1483" s="20" t="str">
        <f t="shared" si="165"/>
        <v/>
      </c>
      <c r="K1483" s="20" t="str">
        <f t="shared" si="166"/>
        <v/>
      </c>
      <c r="L1483" s="20" t="str">
        <f>IF(B1483="","",70*'DDF Original'!$Q$4)</f>
        <v/>
      </c>
      <c r="M1483" s="20" t="str">
        <f t="shared" si="167"/>
        <v/>
      </c>
      <c r="N1483" s="20" t="str">
        <f>IF(AND(OR(B1483="",J1483&gt;G1483,M1483&gt;G1483),'DDF Original'!L1483&lt;&gt; "MI"),G1483,IF(M1483&gt;J1483,M1483,J1483))</f>
        <v/>
      </c>
    </row>
    <row r="1484" spans="2:14" x14ac:dyDescent="0.2">
      <c r="B1484" s="19" t="str">
        <f>IF('DDF Original'!B1484="","",'DDF Original'!B1484)</f>
        <v/>
      </c>
      <c r="C1484" s="19" t="e">
        <f t="shared" si="161"/>
        <v>#VALUE!</v>
      </c>
      <c r="D1484" s="20" t="str">
        <f>IF('DDF Original'!C1484="","",'DDF Original'!C1484)</f>
        <v/>
      </c>
      <c r="E1484" s="24" t="str">
        <f>IF('DDF Original'!B1484="","",IF(TRIM('DDF Original'!I1484)="",0,'DDF Original'!I1484))</f>
        <v/>
      </c>
      <c r="F1484" s="20" t="str">
        <f t="shared" si="162"/>
        <v/>
      </c>
      <c r="G1484" s="37" t="str">
        <f>IF('DDF Original'!B1484="","",IF(TRIM('DDF Original'!P1484)="",0,'DDF Original'!P1484))</f>
        <v/>
      </c>
      <c r="H1484" s="20" t="str">
        <f t="shared" si="163"/>
        <v/>
      </c>
      <c r="I1484" s="25" t="str">
        <f t="shared" si="164"/>
        <v/>
      </c>
      <c r="J1484" s="20" t="str">
        <f t="shared" si="165"/>
        <v/>
      </c>
      <c r="K1484" s="20" t="str">
        <f t="shared" si="166"/>
        <v/>
      </c>
      <c r="L1484" s="20" t="str">
        <f>IF(B1484="","",70*'DDF Original'!$Q$4)</f>
        <v/>
      </c>
      <c r="M1484" s="20" t="str">
        <f t="shared" si="167"/>
        <v/>
      </c>
      <c r="N1484" s="20" t="str">
        <f>IF(AND(OR(B1484="",J1484&gt;G1484,M1484&gt;G1484),'DDF Original'!L1484&lt;&gt; "MI"),G1484,IF(M1484&gt;J1484,M1484,J1484))</f>
        <v/>
      </c>
    </row>
    <row r="1485" spans="2:14" x14ac:dyDescent="0.2">
      <c r="B1485" s="19" t="str">
        <f>IF('DDF Original'!B1485="","",'DDF Original'!B1485)</f>
        <v/>
      </c>
      <c r="C1485" s="19" t="e">
        <f t="shared" si="161"/>
        <v>#VALUE!</v>
      </c>
      <c r="D1485" s="20" t="str">
        <f>IF('DDF Original'!C1485="","",'DDF Original'!C1485)</f>
        <v/>
      </c>
      <c r="E1485" s="24" t="str">
        <f>IF('DDF Original'!B1485="","",IF(TRIM('DDF Original'!I1485)="",0,'DDF Original'!I1485))</f>
        <v/>
      </c>
      <c r="F1485" s="20" t="str">
        <f t="shared" si="162"/>
        <v/>
      </c>
      <c r="G1485" s="37" t="str">
        <f>IF('DDF Original'!B1485="","",IF(TRIM('DDF Original'!P1485)="",0,'DDF Original'!P1485))</f>
        <v/>
      </c>
      <c r="H1485" s="20" t="str">
        <f t="shared" si="163"/>
        <v/>
      </c>
      <c r="I1485" s="25" t="str">
        <f t="shared" si="164"/>
        <v/>
      </c>
      <c r="J1485" s="20" t="str">
        <f t="shared" si="165"/>
        <v/>
      </c>
      <c r="K1485" s="20" t="str">
        <f t="shared" si="166"/>
        <v/>
      </c>
      <c r="L1485" s="20" t="str">
        <f>IF(B1485="","",70*'DDF Original'!$Q$4)</f>
        <v/>
      </c>
      <c r="M1485" s="20" t="str">
        <f t="shared" si="167"/>
        <v/>
      </c>
      <c r="N1485" s="20" t="str">
        <f>IF(AND(OR(B1485="",J1485&gt;G1485,M1485&gt;G1485),'DDF Original'!L1485&lt;&gt; "MI"),G1485,IF(M1485&gt;J1485,M1485,J1485))</f>
        <v/>
      </c>
    </row>
    <row r="1486" spans="2:14" x14ac:dyDescent="0.2">
      <c r="B1486" s="19" t="str">
        <f>IF('DDF Original'!B1486="","",'DDF Original'!B1486)</f>
        <v/>
      </c>
      <c r="C1486" s="19" t="e">
        <f t="shared" si="161"/>
        <v>#VALUE!</v>
      </c>
      <c r="D1486" s="20" t="str">
        <f>IF('DDF Original'!C1486="","",'DDF Original'!C1486)</f>
        <v/>
      </c>
      <c r="E1486" s="24" t="str">
        <f>IF('DDF Original'!B1486="","",IF(TRIM('DDF Original'!I1486)="",0,'DDF Original'!I1486))</f>
        <v/>
      </c>
      <c r="F1486" s="20" t="str">
        <f t="shared" si="162"/>
        <v/>
      </c>
      <c r="G1486" s="37" t="str">
        <f>IF('DDF Original'!B1486="","",IF(TRIM('DDF Original'!P1486)="",0,'DDF Original'!P1486))</f>
        <v/>
      </c>
      <c r="H1486" s="20" t="str">
        <f t="shared" si="163"/>
        <v/>
      </c>
      <c r="I1486" s="25" t="str">
        <f t="shared" si="164"/>
        <v/>
      </c>
      <c r="J1486" s="20" t="str">
        <f t="shared" si="165"/>
        <v/>
      </c>
      <c r="K1486" s="20" t="str">
        <f t="shared" si="166"/>
        <v/>
      </c>
      <c r="L1486" s="20" t="str">
        <f>IF(B1486="","",70*'DDF Original'!$Q$4)</f>
        <v/>
      </c>
      <c r="M1486" s="20" t="str">
        <f t="shared" si="167"/>
        <v/>
      </c>
      <c r="N1486" s="20" t="str">
        <f>IF(AND(OR(B1486="",J1486&gt;G1486,M1486&gt;G1486),'DDF Original'!L1486&lt;&gt; "MI"),G1486,IF(M1486&gt;J1486,M1486,J1486))</f>
        <v/>
      </c>
    </row>
    <row r="1487" spans="2:14" x14ac:dyDescent="0.2">
      <c r="B1487" s="19" t="str">
        <f>IF('DDF Original'!B1487="","",'DDF Original'!B1487)</f>
        <v/>
      </c>
      <c r="C1487" s="19" t="e">
        <f t="shared" si="161"/>
        <v>#VALUE!</v>
      </c>
      <c r="D1487" s="20" t="str">
        <f>IF('DDF Original'!C1487="","",'DDF Original'!C1487)</f>
        <v/>
      </c>
      <c r="E1487" s="24" t="str">
        <f>IF('DDF Original'!B1487="","",IF(TRIM('DDF Original'!I1487)="",0,'DDF Original'!I1487))</f>
        <v/>
      </c>
      <c r="F1487" s="20" t="str">
        <f t="shared" si="162"/>
        <v/>
      </c>
      <c r="G1487" s="37" t="str">
        <f>IF('DDF Original'!B1487="","",IF(TRIM('DDF Original'!P1487)="",0,'DDF Original'!P1487))</f>
        <v/>
      </c>
      <c r="H1487" s="20" t="str">
        <f t="shared" si="163"/>
        <v/>
      </c>
      <c r="I1487" s="25" t="str">
        <f t="shared" si="164"/>
        <v/>
      </c>
      <c r="J1487" s="20" t="str">
        <f t="shared" si="165"/>
        <v/>
      </c>
      <c r="K1487" s="20" t="str">
        <f t="shared" si="166"/>
        <v/>
      </c>
      <c r="L1487" s="20" t="str">
        <f>IF(B1487="","",70*'DDF Original'!$Q$4)</f>
        <v/>
      </c>
      <c r="M1487" s="20" t="str">
        <f t="shared" si="167"/>
        <v/>
      </c>
      <c r="N1487" s="20" t="str">
        <f>IF(AND(OR(B1487="",J1487&gt;G1487,M1487&gt;G1487),'DDF Original'!L1487&lt;&gt; "MI"),G1487,IF(M1487&gt;J1487,M1487,J1487))</f>
        <v/>
      </c>
    </row>
    <row r="1488" spans="2:14" x14ac:dyDescent="0.2">
      <c r="B1488" s="19" t="str">
        <f>IF('DDF Original'!B1488="","",'DDF Original'!B1488)</f>
        <v/>
      </c>
      <c r="C1488" s="19" t="e">
        <f t="shared" si="161"/>
        <v>#VALUE!</v>
      </c>
      <c r="D1488" s="20" t="str">
        <f>IF('DDF Original'!C1488="","",'DDF Original'!C1488)</f>
        <v/>
      </c>
      <c r="E1488" s="24" t="str">
        <f>IF('DDF Original'!B1488="","",IF(TRIM('DDF Original'!I1488)="",0,'DDF Original'!I1488))</f>
        <v/>
      </c>
      <c r="F1488" s="20" t="str">
        <f t="shared" si="162"/>
        <v/>
      </c>
      <c r="G1488" s="37" t="str">
        <f>IF('DDF Original'!B1488="","",IF(TRIM('DDF Original'!P1488)="",0,'DDF Original'!P1488))</f>
        <v/>
      </c>
      <c r="H1488" s="20" t="str">
        <f t="shared" si="163"/>
        <v/>
      </c>
      <c r="I1488" s="25" t="str">
        <f t="shared" si="164"/>
        <v/>
      </c>
      <c r="J1488" s="20" t="str">
        <f t="shared" si="165"/>
        <v/>
      </c>
      <c r="K1488" s="20" t="str">
        <f t="shared" si="166"/>
        <v/>
      </c>
      <c r="L1488" s="20" t="str">
        <f>IF(B1488="","",70*'DDF Original'!$Q$4)</f>
        <v/>
      </c>
      <c r="M1488" s="20" t="str">
        <f t="shared" si="167"/>
        <v/>
      </c>
      <c r="N1488" s="20" t="str">
        <f>IF(AND(OR(B1488="",J1488&gt;G1488,M1488&gt;G1488),'DDF Original'!L1488&lt;&gt; "MI"),G1488,IF(M1488&gt;J1488,M1488,J1488))</f>
        <v/>
      </c>
    </row>
    <row r="1489" spans="2:14" x14ac:dyDescent="0.2">
      <c r="B1489" s="19" t="str">
        <f>IF('DDF Original'!B1489="","",'DDF Original'!B1489)</f>
        <v/>
      </c>
      <c r="C1489" s="19" t="e">
        <f t="shared" si="161"/>
        <v>#VALUE!</v>
      </c>
      <c r="D1489" s="20" t="str">
        <f>IF('DDF Original'!C1489="","",'DDF Original'!C1489)</f>
        <v/>
      </c>
      <c r="E1489" s="24" t="str">
        <f>IF('DDF Original'!B1489="","",IF(TRIM('DDF Original'!I1489)="",0,'DDF Original'!I1489))</f>
        <v/>
      </c>
      <c r="F1489" s="20" t="str">
        <f t="shared" si="162"/>
        <v/>
      </c>
      <c r="G1489" s="37" t="str">
        <f>IF('DDF Original'!B1489="","",IF(TRIM('DDF Original'!P1489)="",0,'DDF Original'!P1489))</f>
        <v/>
      </c>
      <c r="H1489" s="20" t="str">
        <f t="shared" si="163"/>
        <v/>
      </c>
      <c r="I1489" s="25" t="str">
        <f t="shared" si="164"/>
        <v/>
      </c>
      <c r="J1489" s="20" t="str">
        <f t="shared" si="165"/>
        <v/>
      </c>
      <c r="K1489" s="20" t="str">
        <f t="shared" si="166"/>
        <v/>
      </c>
      <c r="L1489" s="20" t="str">
        <f>IF(B1489="","",70*'DDF Original'!$Q$4)</f>
        <v/>
      </c>
      <c r="M1489" s="20" t="str">
        <f t="shared" si="167"/>
        <v/>
      </c>
      <c r="N1489" s="20" t="str">
        <f>IF(AND(OR(B1489="",J1489&gt;G1489,M1489&gt;G1489),'DDF Original'!L1489&lt;&gt; "MI"),G1489,IF(M1489&gt;J1489,M1489,J1489))</f>
        <v/>
      </c>
    </row>
    <row r="1490" spans="2:14" x14ac:dyDescent="0.2">
      <c r="B1490" s="19" t="str">
        <f>IF('DDF Original'!B1490="","",'DDF Original'!B1490)</f>
        <v/>
      </c>
      <c r="C1490" s="19" t="e">
        <f t="shared" si="161"/>
        <v>#VALUE!</v>
      </c>
      <c r="D1490" s="20" t="str">
        <f>IF('DDF Original'!C1490="","",'DDF Original'!C1490)</f>
        <v/>
      </c>
      <c r="E1490" s="24" t="str">
        <f>IF('DDF Original'!B1490="","",IF(TRIM('DDF Original'!I1490)="",0,'DDF Original'!I1490))</f>
        <v/>
      </c>
      <c r="F1490" s="20" t="str">
        <f t="shared" si="162"/>
        <v/>
      </c>
      <c r="G1490" s="37" t="str">
        <f>IF('DDF Original'!B1490="","",IF(TRIM('DDF Original'!P1490)="",0,'DDF Original'!P1490))</f>
        <v/>
      </c>
      <c r="H1490" s="20" t="str">
        <f t="shared" si="163"/>
        <v/>
      </c>
      <c r="I1490" s="25" t="str">
        <f t="shared" si="164"/>
        <v/>
      </c>
      <c r="J1490" s="20" t="str">
        <f t="shared" si="165"/>
        <v/>
      </c>
      <c r="K1490" s="20" t="str">
        <f t="shared" si="166"/>
        <v/>
      </c>
      <c r="L1490" s="20" t="str">
        <f>IF(B1490="","",70*'DDF Original'!$Q$4)</f>
        <v/>
      </c>
      <c r="M1490" s="20" t="str">
        <f t="shared" si="167"/>
        <v/>
      </c>
      <c r="N1490" s="20" t="str">
        <f>IF(AND(OR(B1490="",J1490&gt;G1490,M1490&gt;G1490),'DDF Original'!L1490&lt;&gt; "MI"),G1490,IF(M1490&gt;J1490,M1490,J1490))</f>
        <v/>
      </c>
    </row>
    <row r="1491" spans="2:14" x14ac:dyDescent="0.2">
      <c r="B1491" s="19" t="str">
        <f>IF('DDF Original'!B1491="","",'DDF Original'!B1491)</f>
        <v/>
      </c>
      <c r="C1491" s="19" t="e">
        <f t="shared" si="161"/>
        <v>#VALUE!</v>
      </c>
      <c r="D1491" s="20" t="str">
        <f>IF('DDF Original'!C1491="","",'DDF Original'!C1491)</f>
        <v/>
      </c>
      <c r="E1491" s="24" t="str">
        <f>IF('DDF Original'!B1491="","",IF(TRIM('DDF Original'!I1491)="",0,'DDF Original'!I1491))</f>
        <v/>
      </c>
      <c r="F1491" s="20" t="str">
        <f t="shared" si="162"/>
        <v/>
      </c>
      <c r="G1491" s="37" t="str">
        <f>IF('DDF Original'!B1491="","",IF(TRIM('DDF Original'!P1491)="",0,'DDF Original'!P1491))</f>
        <v/>
      </c>
      <c r="H1491" s="20" t="str">
        <f t="shared" si="163"/>
        <v/>
      </c>
      <c r="I1491" s="25" t="str">
        <f t="shared" si="164"/>
        <v/>
      </c>
      <c r="J1491" s="20" t="str">
        <f t="shared" si="165"/>
        <v/>
      </c>
      <c r="K1491" s="20" t="str">
        <f t="shared" si="166"/>
        <v/>
      </c>
      <c r="L1491" s="20" t="str">
        <f>IF(B1491="","",70*'DDF Original'!$Q$4)</f>
        <v/>
      </c>
      <c r="M1491" s="20" t="str">
        <f t="shared" si="167"/>
        <v/>
      </c>
      <c r="N1491" s="20" t="str">
        <f>IF(AND(OR(B1491="",J1491&gt;G1491,M1491&gt;G1491),'DDF Original'!L1491&lt;&gt; "MI"),G1491,IF(M1491&gt;J1491,M1491,J1491))</f>
        <v/>
      </c>
    </row>
    <row r="1492" spans="2:14" x14ac:dyDescent="0.2">
      <c r="B1492" s="19" t="str">
        <f>IF('DDF Original'!B1492="","",'DDF Original'!B1492)</f>
        <v/>
      </c>
      <c r="C1492" s="19" t="e">
        <f t="shared" si="161"/>
        <v>#VALUE!</v>
      </c>
      <c r="D1492" s="20" t="str">
        <f>IF('DDF Original'!C1492="","",'DDF Original'!C1492)</f>
        <v/>
      </c>
      <c r="E1492" s="24" t="str">
        <f>IF('DDF Original'!B1492="","",IF(TRIM('DDF Original'!I1492)="",0,'DDF Original'!I1492))</f>
        <v/>
      </c>
      <c r="F1492" s="20" t="str">
        <f t="shared" si="162"/>
        <v/>
      </c>
      <c r="G1492" s="37" t="str">
        <f>IF('DDF Original'!B1492="","",IF(TRIM('DDF Original'!P1492)="",0,'DDF Original'!P1492))</f>
        <v/>
      </c>
      <c r="H1492" s="20" t="str">
        <f t="shared" si="163"/>
        <v/>
      </c>
      <c r="I1492" s="25" t="str">
        <f t="shared" si="164"/>
        <v/>
      </c>
      <c r="J1492" s="20" t="str">
        <f t="shared" si="165"/>
        <v/>
      </c>
      <c r="K1492" s="20" t="str">
        <f t="shared" si="166"/>
        <v/>
      </c>
      <c r="L1492" s="20" t="str">
        <f>IF(B1492="","",70*'DDF Original'!$Q$4)</f>
        <v/>
      </c>
      <c r="M1492" s="20" t="str">
        <f t="shared" si="167"/>
        <v/>
      </c>
      <c r="N1492" s="20" t="str">
        <f>IF(AND(OR(B1492="",J1492&gt;G1492,M1492&gt;G1492),'DDF Original'!L1492&lt;&gt; "MI"),G1492,IF(M1492&gt;J1492,M1492,J1492))</f>
        <v/>
      </c>
    </row>
    <row r="1493" spans="2:14" x14ac:dyDescent="0.2">
      <c r="B1493" s="19" t="str">
        <f>IF('DDF Original'!B1493="","",'DDF Original'!B1493)</f>
        <v/>
      </c>
      <c r="C1493" s="19" t="e">
        <f t="shared" si="161"/>
        <v>#VALUE!</v>
      </c>
      <c r="D1493" s="20" t="str">
        <f>IF('DDF Original'!C1493="","",'DDF Original'!C1493)</f>
        <v/>
      </c>
      <c r="E1493" s="24" t="str">
        <f>IF('DDF Original'!B1493="","",IF(TRIM('DDF Original'!I1493)="",0,'DDF Original'!I1493))</f>
        <v/>
      </c>
      <c r="F1493" s="20" t="str">
        <f t="shared" si="162"/>
        <v/>
      </c>
      <c r="G1493" s="37" t="str">
        <f>IF('DDF Original'!B1493="","",IF(TRIM('DDF Original'!P1493)="",0,'DDF Original'!P1493))</f>
        <v/>
      </c>
      <c r="H1493" s="20" t="str">
        <f t="shared" si="163"/>
        <v/>
      </c>
      <c r="I1493" s="25" t="str">
        <f t="shared" si="164"/>
        <v/>
      </c>
      <c r="J1493" s="20" t="str">
        <f t="shared" si="165"/>
        <v/>
      </c>
      <c r="K1493" s="20" t="str">
        <f t="shared" si="166"/>
        <v/>
      </c>
      <c r="L1493" s="20" t="str">
        <f>IF(B1493="","",70*'DDF Original'!$Q$4)</f>
        <v/>
      </c>
      <c r="M1493" s="20" t="str">
        <f t="shared" si="167"/>
        <v/>
      </c>
      <c r="N1493" s="20" t="str">
        <f>IF(AND(OR(B1493="",J1493&gt;G1493,M1493&gt;G1493),'DDF Original'!L1493&lt;&gt; "MI"),G1493,IF(M1493&gt;J1493,M1493,J1493))</f>
        <v/>
      </c>
    </row>
    <row r="1494" spans="2:14" x14ac:dyDescent="0.2">
      <c r="B1494" s="19" t="str">
        <f>IF('DDF Original'!B1494="","",'DDF Original'!B1494)</f>
        <v/>
      </c>
      <c r="C1494" s="19" t="e">
        <f t="shared" si="161"/>
        <v>#VALUE!</v>
      </c>
      <c r="D1494" s="20" t="str">
        <f>IF('DDF Original'!C1494="","",'DDF Original'!C1494)</f>
        <v/>
      </c>
      <c r="E1494" s="24" t="str">
        <f>IF('DDF Original'!B1494="","",IF(TRIM('DDF Original'!I1494)="",0,'DDF Original'!I1494))</f>
        <v/>
      </c>
      <c r="F1494" s="20" t="str">
        <f t="shared" si="162"/>
        <v/>
      </c>
      <c r="G1494" s="37" t="str">
        <f>IF('DDF Original'!B1494="","",IF(TRIM('DDF Original'!P1494)="",0,'DDF Original'!P1494))</f>
        <v/>
      </c>
      <c r="H1494" s="20" t="str">
        <f t="shared" si="163"/>
        <v/>
      </c>
      <c r="I1494" s="25" t="str">
        <f t="shared" si="164"/>
        <v/>
      </c>
      <c r="J1494" s="20" t="str">
        <f t="shared" si="165"/>
        <v/>
      </c>
      <c r="K1494" s="20" t="str">
        <f t="shared" si="166"/>
        <v/>
      </c>
      <c r="L1494" s="20" t="str">
        <f>IF(B1494="","",70*'DDF Original'!$Q$4)</f>
        <v/>
      </c>
      <c r="M1494" s="20" t="str">
        <f t="shared" si="167"/>
        <v/>
      </c>
      <c r="N1494" s="20" t="str">
        <f>IF(AND(OR(B1494="",J1494&gt;G1494,M1494&gt;G1494),'DDF Original'!L1494&lt;&gt; "MI"),G1494,IF(M1494&gt;J1494,M1494,J1494))</f>
        <v/>
      </c>
    </row>
    <row r="1495" spans="2:14" x14ac:dyDescent="0.2">
      <c r="B1495" s="19" t="str">
        <f>IF('DDF Original'!B1495="","",'DDF Original'!B1495)</f>
        <v/>
      </c>
      <c r="C1495" s="19" t="e">
        <f t="shared" si="161"/>
        <v>#VALUE!</v>
      </c>
      <c r="D1495" s="20" t="str">
        <f>IF('DDF Original'!C1495="","",'DDF Original'!C1495)</f>
        <v/>
      </c>
      <c r="E1495" s="24" t="str">
        <f>IF('DDF Original'!B1495="","",IF(TRIM('DDF Original'!I1495)="",0,'DDF Original'!I1495))</f>
        <v/>
      </c>
      <c r="F1495" s="20" t="str">
        <f t="shared" si="162"/>
        <v/>
      </c>
      <c r="G1495" s="37" t="str">
        <f>IF('DDF Original'!B1495="","",IF(TRIM('DDF Original'!P1495)="",0,'DDF Original'!P1495))</f>
        <v/>
      </c>
      <c r="H1495" s="20" t="str">
        <f t="shared" si="163"/>
        <v/>
      </c>
      <c r="I1495" s="25" t="str">
        <f t="shared" si="164"/>
        <v/>
      </c>
      <c r="J1495" s="20" t="str">
        <f t="shared" si="165"/>
        <v/>
      </c>
      <c r="K1495" s="20" t="str">
        <f t="shared" si="166"/>
        <v/>
      </c>
      <c r="L1495" s="20" t="str">
        <f>IF(B1495="","",70*'DDF Original'!$Q$4)</f>
        <v/>
      </c>
      <c r="M1495" s="20" t="str">
        <f t="shared" si="167"/>
        <v/>
      </c>
      <c r="N1495" s="20" t="str">
        <f>IF(AND(OR(B1495="",J1495&gt;G1495,M1495&gt;G1495),'DDF Original'!L1495&lt;&gt; "MI"),G1495,IF(M1495&gt;J1495,M1495,J1495))</f>
        <v/>
      </c>
    </row>
    <row r="1496" spans="2:14" x14ac:dyDescent="0.2">
      <c r="B1496" s="19" t="str">
        <f>IF('DDF Original'!B1496="","",'DDF Original'!B1496)</f>
        <v/>
      </c>
      <c r="C1496" s="19" t="e">
        <f t="shared" si="161"/>
        <v>#VALUE!</v>
      </c>
      <c r="D1496" s="20" t="str">
        <f>IF('DDF Original'!C1496="","",'DDF Original'!C1496)</f>
        <v/>
      </c>
      <c r="E1496" s="24" t="str">
        <f>IF('DDF Original'!B1496="","",IF(TRIM('DDF Original'!I1496)="",0,'DDF Original'!I1496))</f>
        <v/>
      </c>
      <c r="F1496" s="20" t="str">
        <f t="shared" si="162"/>
        <v/>
      </c>
      <c r="G1496" s="37" t="str">
        <f>IF('DDF Original'!B1496="","",IF(TRIM('DDF Original'!P1496)="",0,'DDF Original'!P1496))</f>
        <v/>
      </c>
      <c r="H1496" s="20" t="str">
        <f t="shared" si="163"/>
        <v/>
      </c>
      <c r="I1496" s="25" t="str">
        <f t="shared" si="164"/>
        <v/>
      </c>
      <c r="J1496" s="20" t="str">
        <f t="shared" si="165"/>
        <v/>
      </c>
      <c r="K1496" s="20" t="str">
        <f t="shared" si="166"/>
        <v/>
      </c>
      <c r="L1496" s="20" t="str">
        <f>IF(B1496="","",70*'DDF Original'!$Q$4)</f>
        <v/>
      </c>
      <c r="M1496" s="20" t="str">
        <f t="shared" si="167"/>
        <v/>
      </c>
      <c r="N1496" s="20" t="str">
        <f>IF(AND(OR(B1496="",J1496&gt;G1496,M1496&gt;G1496),'DDF Original'!L1496&lt;&gt; "MI"),G1496,IF(M1496&gt;J1496,M1496,J1496))</f>
        <v/>
      </c>
    </row>
    <row r="1497" spans="2:14" x14ac:dyDescent="0.2">
      <c r="B1497" s="19" t="str">
        <f>IF('DDF Original'!B1497="","",'DDF Original'!B1497)</f>
        <v/>
      </c>
      <c r="C1497" s="19" t="e">
        <f t="shared" si="161"/>
        <v>#VALUE!</v>
      </c>
      <c r="D1497" s="20" t="str">
        <f>IF('DDF Original'!C1497="","",'DDF Original'!C1497)</f>
        <v/>
      </c>
      <c r="E1497" s="24" t="str">
        <f>IF('DDF Original'!B1497="","",IF(TRIM('DDF Original'!I1497)="",0,'DDF Original'!I1497))</f>
        <v/>
      </c>
      <c r="F1497" s="20" t="str">
        <f t="shared" si="162"/>
        <v/>
      </c>
      <c r="G1497" s="37" t="str">
        <f>IF('DDF Original'!B1497="","",IF(TRIM('DDF Original'!P1497)="",0,'DDF Original'!P1497))</f>
        <v/>
      </c>
      <c r="H1497" s="20" t="str">
        <f t="shared" si="163"/>
        <v/>
      </c>
      <c r="I1497" s="25" t="str">
        <f t="shared" si="164"/>
        <v/>
      </c>
      <c r="J1497" s="20" t="str">
        <f t="shared" si="165"/>
        <v/>
      </c>
      <c r="K1497" s="20" t="str">
        <f t="shared" si="166"/>
        <v/>
      </c>
      <c r="L1497" s="20" t="str">
        <f>IF(B1497="","",70*'DDF Original'!$Q$4)</f>
        <v/>
      </c>
      <c r="M1497" s="20" t="str">
        <f t="shared" si="167"/>
        <v/>
      </c>
      <c r="N1497" s="20" t="str">
        <f>IF(AND(OR(B1497="",J1497&gt;G1497,M1497&gt;G1497),'DDF Original'!L1497&lt;&gt; "MI"),G1497,IF(M1497&gt;J1497,M1497,J1497))</f>
        <v/>
      </c>
    </row>
    <row r="1498" spans="2:14" x14ac:dyDescent="0.2">
      <c r="B1498" s="19" t="str">
        <f>IF('DDF Original'!B1498="","",'DDF Original'!B1498)</f>
        <v/>
      </c>
      <c r="C1498" s="19" t="e">
        <f t="shared" si="161"/>
        <v>#VALUE!</v>
      </c>
      <c r="D1498" s="20" t="str">
        <f>IF('DDF Original'!C1498="","",'DDF Original'!C1498)</f>
        <v/>
      </c>
      <c r="E1498" s="24" t="str">
        <f>IF('DDF Original'!B1498="","",IF(TRIM('DDF Original'!I1498)="",0,'DDF Original'!I1498))</f>
        <v/>
      </c>
      <c r="F1498" s="20" t="str">
        <f t="shared" si="162"/>
        <v/>
      </c>
      <c r="G1498" s="37" t="str">
        <f>IF('DDF Original'!B1498="","",IF(TRIM('DDF Original'!P1498)="",0,'DDF Original'!P1498))</f>
        <v/>
      </c>
      <c r="H1498" s="20" t="str">
        <f t="shared" si="163"/>
        <v/>
      </c>
      <c r="I1498" s="25" t="str">
        <f t="shared" si="164"/>
        <v/>
      </c>
      <c r="J1498" s="20" t="str">
        <f t="shared" si="165"/>
        <v/>
      </c>
      <c r="K1498" s="20" t="str">
        <f t="shared" si="166"/>
        <v/>
      </c>
      <c r="L1498" s="20" t="str">
        <f>IF(B1498="","",70*'DDF Original'!$Q$4)</f>
        <v/>
      </c>
      <c r="M1498" s="20" t="str">
        <f t="shared" si="167"/>
        <v/>
      </c>
      <c r="N1498" s="20" t="str">
        <f>IF(AND(OR(B1498="",J1498&gt;G1498,M1498&gt;G1498),'DDF Original'!L1498&lt;&gt; "MI"),G1498,IF(M1498&gt;J1498,M1498,J1498))</f>
        <v/>
      </c>
    </row>
    <row r="1499" spans="2:14" x14ac:dyDescent="0.2">
      <c r="B1499" s="19" t="str">
        <f>IF('DDF Original'!B1499="","",'DDF Original'!B1499)</f>
        <v/>
      </c>
      <c r="C1499" s="19" t="e">
        <f t="shared" si="161"/>
        <v>#VALUE!</v>
      </c>
      <c r="D1499" s="20" t="str">
        <f>IF('DDF Original'!C1499="","",'DDF Original'!C1499)</f>
        <v/>
      </c>
      <c r="E1499" s="24" t="str">
        <f>IF('DDF Original'!B1499="","",IF(TRIM('DDF Original'!I1499)="",0,'DDF Original'!I1499))</f>
        <v/>
      </c>
      <c r="F1499" s="20" t="str">
        <f t="shared" si="162"/>
        <v/>
      </c>
      <c r="G1499" s="37" t="str">
        <f>IF('DDF Original'!B1499="","",IF(TRIM('DDF Original'!P1499)="",0,'DDF Original'!P1499))</f>
        <v/>
      </c>
      <c r="H1499" s="20" t="str">
        <f t="shared" si="163"/>
        <v/>
      </c>
      <c r="I1499" s="25" t="str">
        <f t="shared" si="164"/>
        <v/>
      </c>
      <c r="J1499" s="20" t="str">
        <f t="shared" si="165"/>
        <v/>
      </c>
      <c r="K1499" s="20" t="str">
        <f t="shared" si="166"/>
        <v/>
      </c>
      <c r="L1499" s="20" t="str">
        <f>IF(B1499="","",70*'DDF Original'!$Q$4)</f>
        <v/>
      </c>
      <c r="M1499" s="20" t="str">
        <f t="shared" si="167"/>
        <v/>
      </c>
      <c r="N1499" s="20" t="str">
        <f>IF(AND(OR(B1499="",J1499&gt;G1499,M1499&gt;G1499),'DDF Original'!L1499&lt;&gt; "MI"),G1499,IF(M1499&gt;J1499,M1499,J1499))</f>
        <v/>
      </c>
    </row>
    <row r="1500" spans="2:14" x14ac:dyDescent="0.2">
      <c r="B1500" s="19" t="str">
        <f>IF('DDF Original'!B1500="","",'DDF Original'!B1500)</f>
        <v/>
      </c>
      <c r="C1500" s="19" t="e">
        <f t="shared" si="161"/>
        <v>#VALUE!</v>
      </c>
      <c r="D1500" s="20" t="str">
        <f>IF('DDF Original'!C1500="","",'DDF Original'!C1500)</f>
        <v/>
      </c>
      <c r="E1500" s="24" t="str">
        <f>IF('DDF Original'!B1500="","",IF(TRIM('DDF Original'!I1500)="",0,'DDF Original'!I1500))</f>
        <v/>
      </c>
      <c r="F1500" s="20" t="str">
        <f t="shared" si="162"/>
        <v/>
      </c>
      <c r="G1500" s="37" t="str">
        <f>IF('DDF Original'!B1500="","",IF(TRIM('DDF Original'!P1500)="",0,'DDF Original'!P1500))</f>
        <v/>
      </c>
      <c r="H1500" s="20" t="str">
        <f t="shared" si="163"/>
        <v/>
      </c>
      <c r="I1500" s="25" t="str">
        <f t="shared" si="164"/>
        <v/>
      </c>
      <c r="J1500" s="20" t="str">
        <f t="shared" si="165"/>
        <v/>
      </c>
      <c r="K1500" s="20" t="str">
        <f t="shared" si="166"/>
        <v/>
      </c>
      <c r="L1500" s="20" t="str">
        <f>IF(B1500="","",70*'DDF Original'!$Q$4)</f>
        <v/>
      </c>
      <c r="M1500" s="20" t="str">
        <f t="shared" si="167"/>
        <v/>
      </c>
      <c r="N1500" s="20" t="str">
        <f>IF(AND(OR(B1500="",J1500&gt;G1500,M1500&gt;G1500),'DDF Original'!L1500&lt;&gt; "MI"),G1500,IF(M1500&gt;J1500,M1500,J1500))</f>
        <v/>
      </c>
    </row>
    <row r="1501" spans="2:14" x14ac:dyDescent="0.2">
      <c r="B1501" s="19" t="str">
        <f>IF('DDF Original'!B1501="","",'DDF Original'!B1501)</f>
        <v/>
      </c>
      <c r="C1501" s="19" t="e">
        <f t="shared" si="161"/>
        <v>#VALUE!</v>
      </c>
      <c r="D1501" s="20" t="str">
        <f>IF('DDF Original'!C1501="","",'DDF Original'!C1501)</f>
        <v/>
      </c>
      <c r="E1501" s="24" t="str">
        <f>IF('DDF Original'!B1501="","",IF(TRIM('DDF Original'!I1501)="",0,'DDF Original'!I1501))</f>
        <v/>
      </c>
      <c r="F1501" s="20" t="str">
        <f t="shared" si="162"/>
        <v/>
      </c>
      <c r="G1501" s="37" t="str">
        <f>IF('DDF Original'!B1501="","",IF(TRIM('DDF Original'!P1501)="",0,'DDF Original'!P1501))</f>
        <v/>
      </c>
      <c r="H1501" s="20" t="str">
        <f t="shared" si="163"/>
        <v/>
      </c>
      <c r="I1501" s="25" t="str">
        <f t="shared" si="164"/>
        <v/>
      </c>
      <c r="J1501" s="20" t="str">
        <f t="shared" si="165"/>
        <v/>
      </c>
      <c r="K1501" s="20" t="str">
        <f t="shared" si="166"/>
        <v/>
      </c>
      <c r="L1501" s="20" t="str">
        <f>IF(B1501="","",70*'DDF Original'!$Q$4)</f>
        <v/>
      </c>
      <c r="M1501" s="20" t="str">
        <f t="shared" si="167"/>
        <v/>
      </c>
      <c r="N1501" s="20" t="str">
        <f>IF(AND(OR(B1501="",J1501&gt;G1501,M1501&gt;G1501),'DDF Original'!L1501&lt;&gt; "MI"),G1501,IF(M1501&gt;J1501,M1501,J1501))</f>
        <v/>
      </c>
    </row>
    <row r="1502" spans="2:14" x14ac:dyDescent="0.2">
      <c r="B1502" s="19" t="str">
        <f>IF('DDF Original'!B1502="","",'DDF Original'!B1502)</f>
        <v/>
      </c>
      <c r="C1502" s="19" t="e">
        <f t="shared" si="161"/>
        <v>#VALUE!</v>
      </c>
      <c r="D1502" s="20" t="str">
        <f>IF('DDF Original'!C1502="","",'DDF Original'!C1502)</f>
        <v/>
      </c>
      <c r="E1502" s="24" t="str">
        <f>IF('DDF Original'!B1502="","",IF(TRIM('DDF Original'!I1502)="",0,'DDF Original'!I1502))</f>
        <v/>
      </c>
      <c r="F1502" s="20" t="str">
        <f t="shared" si="162"/>
        <v/>
      </c>
      <c r="G1502" s="37" t="str">
        <f>IF('DDF Original'!B1502="","",IF(TRIM('DDF Original'!P1502)="",0,'DDF Original'!P1502))</f>
        <v/>
      </c>
      <c r="H1502" s="20" t="str">
        <f t="shared" si="163"/>
        <v/>
      </c>
      <c r="I1502" s="25" t="str">
        <f t="shared" si="164"/>
        <v/>
      </c>
      <c r="J1502" s="20" t="str">
        <f t="shared" si="165"/>
        <v/>
      </c>
      <c r="K1502" s="20" t="str">
        <f t="shared" si="166"/>
        <v/>
      </c>
      <c r="L1502" s="20" t="str">
        <f>IF(B1502="","",70*'DDF Original'!$Q$4)</f>
        <v/>
      </c>
      <c r="M1502" s="20" t="str">
        <f t="shared" si="167"/>
        <v/>
      </c>
      <c r="N1502" s="20" t="str">
        <f>IF(AND(OR(B1502="",J1502&gt;G1502,M1502&gt;G1502),'DDF Original'!L1502&lt;&gt; "MI"),G1502,IF(M1502&gt;J1502,M1502,J1502))</f>
        <v/>
      </c>
    </row>
    <row r="1503" spans="2:14" x14ac:dyDescent="0.2">
      <c r="B1503" s="19" t="str">
        <f>IF('DDF Original'!B1503="","",'DDF Original'!B1503)</f>
        <v/>
      </c>
      <c r="C1503" s="19" t="e">
        <f t="shared" si="161"/>
        <v>#VALUE!</v>
      </c>
      <c r="D1503" s="20" t="str">
        <f>IF('DDF Original'!C1503="","",'DDF Original'!C1503)</f>
        <v/>
      </c>
      <c r="E1503" s="24" t="str">
        <f>IF('DDF Original'!B1503="","",IF(TRIM('DDF Original'!I1503)="",0,'DDF Original'!I1503))</f>
        <v/>
      </c>
      <c r="F1503" s="20" t="str">
        <f t="shared" si="162"/>
        <v/>
      </c>
      <c r="G1503" s="37" t="str">
        <f>IF('DDF Original'!B1503="","",IF(TRIM('DDF Original'!P1503)="",0,'DDF Original'!P1503))</f>
        <v/>
      </c>
      <c r="H1503" s="20" t="str">
        <f t="shared" si="163"/>
        <v/>
      </c>
      <c r="I1503" s="25" t="str">
        <f t="shared" si="164"/>
        <v/>
      </c>
      <c r="J1503" s="20" t="str">
        <f t="shared" si="165"/>
        <v/>
      </c>
      <c r="K1503" s="20" t="str">
        <f t="shared" si="166"/>
        <v/>
      </c>
      <c r="L1503" s="20" t="str">
        <f>IF(B1503="","",70*'DDF Original'!$Q$4)</f>
        <v/>
      </c>
      <c r="M1503" s="20" t="str">
        <f t="shared" si="167"/>
        <v/>
      </c>
      <c r="N1503" s="20" t="str">
        <f>IF(AND(OR(B1503="",J1503&gt;G1503,M1503&gt;G1503),'DDF Original'!L1503&lt;&gt; "MI"),G1503,IF(M1503&gt;J1503,M1503,J1503))</f>
        <v/>
      </c>
    </row>
    <row r="1504" spans="2:14" x14ac:dyDescent="0.2">
      <c r="B1504" s="19" t="str">
        <f>IF('DDF Original'!B1504="","",'DDF Original'!B1504)</f>
        <v/>
      </c>
      <c r="C1504" s="19" t="e">
        <f t="shared" si="161"/>
        <v>#VALUE!</v>
      </c>
      <c r="D1504" s="20" t="str">
        <f>IF('DDF Original'!C1504="","",'DDF Original'!C1504)</f>
        <v/>
      </c>
      <c r="E1504" s="24" t="str">
        <f>IF('DDF Original'!B1504="","",IF(TRIM('DDF Original'!I1504)="",0,'DDF Original'!I1504))</f>
        <v/>
      </c>
      <c r="F1504" s="20" t="str">
        <f t="shared" si="162"/>
        <v/>
      </c>
      <c r="G1504" s="37" t="str">
        <f>IF('DDF Original'!B1504="","",IF(TRIM('DDF Original'!P1504)="",0,'DDF Original'!P1504))</f>
        <v/>
      </c>
      <c r="H1504" s="20" t="str">
        <f t="shared" si="163"/>
        <v/>
      </c>
      <c r="I1504" s="25" t="str">
        <f t="shared" si="164"/>
        <v/>
      </c>
      <c r="J1504" s="20" t="str">
        <f t="shared" si="165"/>
        <v/>
      </c>
      <c r="K1504" s="20" t="str">
        <f t="shared" si="166"/>
        <v/>
      </c>
      <c r="L1504" s="20" t="str">
        <f>IF(B1504="","",70*'DDF Original'!$Q$4)</f>
        <v/>
      </c>
      <c r="M1504" s="20" t="str">
        <f t="shared" si="167"/>
        <v/>
      </c>
      <c r="N1504" s="20" t="str">
        <f>IF(AND(OR(B1504="",J1504&gt;G1504,M1504&gt;G1504),'DDF Original'!L1504&lt;&gt; "MI"),G1504,IF(M1504&gt;J1504,M1504,J1504))</f>
        <v/>
      </c>
    </row>
    <row r="1505" spans="2:14" x14ac:dyDescent="0.2">
      <c r="B1505" s="19" t="str">
        <f>IF('DDF Original'!B1505="","",'DDF Original'!B1505)</f>
        <v/>
      </c>
      <c r="C1505" s="19" t="e">
        <f t="shared" si="161"/>
        <v>#VALUE!</v>
      </c>
      <c r="D1505" s="20" t="str">
        <f>IF('DDF Original'!C1505="","",'DDF Original'!C1505)</f>
        <v/>
      </c>
      <c r="E1505" s="24" t="str">
        <f>IF('DDF Original'!B1505="","",IF(TRIM('DDF Original'!I1505)="",0,'DDF Original'!I1505))</f>
        <v/>
      </c>
      <c r="F1505" s="20" t="str">
        <f t="shared" si="162"/>
        <v/>
      </c>
      <c r="G1505" s="37" t="str">
        <f>IF('DDF Original'!B1505="","",IF(TRIM('DDF Original'!P1505)="",0,'DDF Original'!P1505))</f>
        <v/>
      </c>
      <c r="H1505" s="20" t="str">
        <f t="shared" si="163"/>
        <v/>
      </c>
      <c r="I1505" s="25" t="str">
        <f t="shared" si="164"/>
        <v/>
      </c>
      <c r="J1505" s="20" t="str">
        <f t="shared" si="165"/>
        <v/>
      </c>
      <c r="K1505" s="20" t="str">
        <f t="shared" si="166"/>
        <v/>
      </c>
      <c r="L1505" s="20" t="str">
        <f>IF(B1505="","",70*'DDF Original'!$Q$4)</f>
        <v/>
      </c>
      <c r="M1505" s="20" t="str">
        <f t="shared" si="167"/>
        <v/>
      </c>
      <c r="N1505" s="20" t="str">
        <f>IF(AND(OR(B1505="",J1505&gt;G1505,M1505&gt;G1505),'DDF Original'!L1505&lt;&gt; "MI"),G1505,IF(M1505&gt;J1505,M1505,J1505))</f>
        <v/>
      </c>
    </row>
    <row r="1506" spans="2:14" x14ac:dyDescent="0.2">
      <c r="B1506" s="19" t="str">
        <f>IF('DDF Original'!B1506="","",'DDF Original'!B1506)</f>
        <v/>
      </c>
      <c r="C1506" s="19" t="e">
        <f t="shared" si="161"/>
        <v>#VALUE!</v>
      </c>
      <c r="D1506" s="20" t="str">
        <f>IF('DDF Original'!C1506="","",'DDF Original'!C1506)</f>
        <v/>
      </c>
      <c r="E1506" s="24" t="str">
        <f>IF('DDF Original'!B1506="","",IF(TRIM('DDF Original'!I1506)="",0,'DDF Original'!I1506))</f>
        <v/>
      </c>
      <c r="F1506" s="20" t="str">
        <f t="shared" si="162"/>
        <v/>
      </c>
      <c r="G1506" s="37" t="str">
        <f>IF('DDF Original'!B1506="","",IF(TRIM('DDF Original'!P1506)="",0,'DDF Original'!P1506))</f>
        <v/>
      </c>
      <c r="H1506" s="20" t="str">
        <f t="shared" si="163"/>
        <v/>
      </c>
      <c r="I1506" s="25" t="str">
        <f t="shared" si="164"/>
        <v/>
      </c>
      <c r="J1506" s="20" t="str">
        <f t="shared" si="165"/>
        <v/>
      </c>
      <c r="K1506" s="20" t="str">
        <f t="shared" si="166"/>
        <v/>
      </c>
      <c r="L1506" s="20" t="str">
        <f>IF(B1506="","",70*'DDF Original'!$Q$4)</f>
        <v/>
      </c>
      <c r="M1506" s="20" t="str">
        <f t="shared" si="167"/>
        <v/>
      </c>
      <c r="N1506" s="20" t="str">
        <f>IF(AND(OR(B1506="",J1506&gt;G1506,M1506&gt;G1506),'DDF Original'!L1506&lt;&gt; "MI"),G1506,IF(M1506&gt;J1506,M1506,J1506))</f>
        <v/>
      </c>
    </row>
    <row r="1507" spans="2:14" x14ac:dyDescent="0.2">
      <c r="B1507" s="19" t="str">
        <f>IF('DDF Original'!B1507="","",'DDF Original'!B1507)</f>
        <v/>
      </c>
      <c r="C1507" s="19" t="e">
        <f t="shared" si="161"/>
        <v>#VALUE!</v>
      </c>
      <c r="D1507" s="20" t="str">
        <f>IF('DDF Original'!C1507="","",'DDF Original'!C1507)</f>
        <v/>
      </c>
      <c r="E1507" s="24" t="str">
        <f>IF('DDF Original'!B1507="","",IF(TRIM('DDF Original'!I1507)="",0,'DDF Original'!I1507))</f>
        <v/>
      </c>
      <c r="F1507" s="20" t="str">
        <f t="shared" si="162"/>
        <v/>
      </c>
      <c r="G1507" s="37" t="str">
        <f>IF('DDF Original'!B1507="","",IF(TRIM('DDF Original'!P1507)="",0,'DDF Original'!P1507))</f>
        <v/>
      </c>
      <c r="H1507" s="20" t="str">
        <f t="shared" si="163"/>
        <v/>
      </c>
      <c r="I1507" s="25" t="str">
        <f t="shared" si="164"/>
        <v/>
      </c>
      <c r="J1507" s="20" t="str">
        <f t="shared" si="165"/>
        <v/>
      </c>
      <c r="K1507" s="20" t="str">
        <f t="shared" si="166"/>
        <v/>
      </c>
      <c r="L1507" s="20" t="str">
        <f>IF(B1507="","",70*'DDF Original'!$Q$4)</f>
        <v/>
      </c>
      <c r="M1507" s="20" t="str">
        <f t="shared" si="167"/>
        <v/>
      </c>
      <c r="N1507" s="20" t="str">
        <f>IF(AND(OR(B1507="",J1507&gt;G1507,M1507&gt;G1507),'DDF Original'!L1507&lt;&gt; "MI"),G1507,IF(M1507&gt;J1507,M1507,J1507))</f>
        <v/>
      </c>
    </row>
    <row r="1508" spans="2:14" x14ac:dyDescent="0.2">
      <c r="B1508" s="19" t="str">
        <f>IF('DDF Original'!B1508="","",'DDF Original'!B1508)</f>
        <v/>
      </c>
      <c r="C1508" s="19" t="e">
        <f t="shared" si="161"/>
        <v>#VALUE!</v>
      </c>
      <c r="D1508" s="20" t="str">
        <f>IF('DDF Original'!C1508="","",'DDF Original'!C1508)</f>
        <v/>
      </c>
      <c r="E1508" s="24" t="str">
        <f>IF('DDF Original'!B1508="","",IF(TRIM('DDF Original'!I1508)="",0,'DDF Original'!I1508))</f>
        <v/>
      </c>
      <c r="F1508" s="20" t="str">
        <f t="shared" si="162"/>
        <v/>
      </c>
      <c r="G1508" s="37" t="str">
        <f>IF('DDF Original'!B1508="","",IF(TRIM('DDF Original'!P1508)="",0,'DDF Original'!P1508))</f>
        <v/>
      </c>
      <c r="H1508" s="20" t="str">
        <f t="shared" si="163"/>
        <v/>
      </c>
      <c r="I1508" s="25" t="str">
        <f t="shared" si="164"/>
        <v/>
      </c>
      <c r="J1508" s="20" t="str">
        <f t="shared" si="165"/>
        <v/>
      </c>
      <c r="K1508" s="20" t="str">
        <f t="shared" si="166"/>
        <v/>
      </c>
      <c r="L1508" s="20" t="str">
        <f>IF(B1508="","",70*'DDF Original'!$Q$4)</f>
        <v/>
      </c>
      <c r="M1508" s="20" t="str">
        <f t="shared" si="167"/>
        <v/>
      </c>
      <c r="N1508" s="20" t="str">
        <f>IF(AND(OR(B1508="",J1508&gt;G1508,M1508&gt;G1508),'DDF Original'!L1508&lt;&gt; "MI"),G1508,IF(M1508&gt;J1508,M1508,J1508))</f>
        <v/>
      </c>
    </row>
  </sheetData>
  <sheetProtection sheet="1" objects="1" scenarios="1" formatColumns="0"/>
  <mergeCells count="5">
    <mergeCell ref="D2:E2"/>
    <mergeCell ref="G4:H4"/>
    <mergeCell ref="H2:N2"/>
    <mergeCell ref="L4:M4"/>
    <mergeCell ref="B6:N6"/>
  </mergeCells>
  <pageMargins left="0.511811024" right="0.511811024" top="0.78740157499999996" bottom="0.78740157499999996" header="0.31496062000000002" footer="0.31496062000000002"/>
  <pageSetup paperSize="9" scale="77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B2:G1508"/>
  <sheetViews>
    <sheetView workbookViewId="0">
      <pane ySplit="8" topLeftCell="A1506" activePane="bottomLeft" state="frozen"/>
      <selection pane="bottomLeft" activeCell="E1514" sqref="E1514"/>
    </sheetView>
  </sheetViews>
  <sheetFormatPr defaultColWidth="11.28515625" defaultRowHeight="12.75" x14ac:dyDescent="0.2"/>
  <cols>
    <col min="1" max="1" width="5.7109375" style="13" customWidth="1"/>
    <col min="2" max="2" width="9.28515625" style="13" customWidth="1"/>
    <col min="3" max="3" width="13.85546875" style="13" bestFit="1" customWidth="1"/>
    <col min="4" max="4" width="13.7109375" style="13" bestFit="1" customWidth="1"/>
    <col min="5" max="5" width="12.42578125" style="13" bestFit="1" customWidth="1"/>
    <col min="6" max="7" width="13.7109375" style="13" bestFit="1" customWidth="1"/>
    <col min="8" max="8" width="17.28515625" style="13" bestFit="1" customWidth="1"/>
    <col min="9" max="9" width="12.42578125" style="13" bestFit="1" customWidth="1"/>
    <col min="10" max="10" width="12.5703125" style="13" bestFit="1" customWidth="1"/>
    <col min="11" max="11" width="13.7109375" style="13" bestFit="1" customWidth="1"/>
    <col min="12" max="12" width="12.28515625" style="13" bestFit="1" customWidth="1"/>
    <col min="13" max="13" width="15.140625" style="13" bestFit="1" customWidth="1"/>
    <col min="14" max="14" width="19.5703125" style="13" bestFit="1" customWidth="1"/>
    <col min="15" max="16384" width="11.28515625" style="13"/>
  </cols>
  <sheetData>
    <row r="2" spans="2:7" x14ac:dyDescent="0.2">
      <c r="B2" s="12" t="s">
        <v>36</v>
      </c>
      <c r="C2" s="92" t="str">
        <f>IF('DDF Original'!C2="","",'DDF Original'!C2)</f>
        <v/>
      </c>
      <c r="D2" s="93"/>
    </row>
    <row r="4" spans="2:7" x14ac:dyDescent="0.2">
      <c r="B4" s="12" t="s">
        <v>16</v>
      </c>
      <c r="C4" s="14" t="str">
        <f>IF('DDF Original'!C4="","",'DDF Original'!C4)</f>
        <v/>
      </c>
      <c r="E4" s="94" t="s">
        <v>17</v>
      </c>
      <c r="F4" s="95"/>
      <c r="G4" s="22">
        <f ca="1">IF('DDF Original'!J4="","",'DDF Original'!J4)</f>
        <v>44621</v>
      </c>
    </row>
    <row r="6" spans="2:7" s="15" customFormat="1" ht="30" customHeight="1" x14ac:dyDescent="0.25">
      <c r="B6" s="99" t="s">
        <v>47</v>
      </c>
      <c r="C6" s="99"/>
      <c r="D6" s="99"/>
      <c r="E6" s="99"/>
      <c r="F6" s="99"/>
      <c r="G6" s="99"/>
    </row>
    <row r="7" spans="2:7" s="15" customFormat="1" ht="51" x14ac:dyDescent="0.25">
      <c r="B7" s="16" t="s">
        <v>42</v>
      </c>
      <c r="C7" s="16" t="s">
        <v>20</v>
      </c>
      <c r="D7" s="36" t="s">
        <v>7</v>
      </c>
      <c r="E7" s="16" t="s">
        <v>46</v>
      </c>
      <c r="F7" s="16" t="s">
        <v>48</v>
      </c>
      <c r="G7" s="16" t="s">
        <v>49</v>
      </c>
    </row>
    <row r="8" spans="2:7" x14ac:dyDescent="0.2">
      <c r="B8" s="17">
        <v>1</v>
      </c>
      <c r="C8" s="17">
        <v>2</v>
      </c>
      <c r="D8" s="17">
        <v>5</v>
      </c>
      <c r="E8" s="17">
        <v>23</v>
      </c>
      <c r="F8" s="18">
        <v>24</v>
      </c>
      <c r="G8" s="18">
        <v>25</v>
      </c>
    </row>
    <row r="9" spans="2:7" x14ac:dyDescent="0.2">
      <c r="B9" s="19" t="str">
        <f>IF('DDF Original'!B9="","",'DDF Original'!B9)</f>
        <v/>
      </c>
      <c r="C9" s="20" t="str">
        <f>IF('DDF Original'!C9="","",'DDF Original'!C9)</f>
        <v/>
      </c>
      <c r="D9" s="20" t="str">
        <f>IF('DDF Original'!F9="","",'DDF Original'!F9)</f>
        <v/>
      </c>
      <c r="E9" s="38" t="str">
        <f>'Recálculo Confissão (85-B)'!N9</f>
        <v/>
      </c>
      <c r="F9" s="20" t="str">
        <f>IF(E9="","",ROUND(E9*(1-70%),2))</f>
        <v/>
      </c>
      <c r="G9" s="20" t="str">
        <f>IF(E9="","",ROUND(E9*(1-60%),2))</f>
        <v/>
      </c>
    </row>
    <row r="10" spans="2:7" x14ac:dyDescent="0.2">
      <c r="B10" s="19" t="str">
        <f>IF('DDF Original'!B10="","",'DDF Original'!B10)</f>
        <v/>
      </c>
      <c r="C10" s="20" t="str">
        <f>IF('DDF Original'!C10="","",'DDF Original'!C10)</f>
        <v/>
      </c>
      <c r="D10" s="20" t="str">
        <f>IF('DDF Original'!F10="","",'DDF Original'!F10)</f>
        <v/>
      </c>
      <c r="E10" s="38" t="str">
        <f>'Recálculo Confissão (85-B)'!N10</f>
        <v/>
      </c>
      <c r="F10" s="20" t="str">
        <f t="shared" ref="F10:F73" si="0">IF(E10="","",ROUND(E10*(1-70%),2))</f>
        <v/>
      </c>
      <c r="G10" s="20" t="str">
        <f t="shared" ref="G10:G73" si="1">IF(E10="","",ROUND(E10*(1-60%),2))</f>
        <v/>
      </c>
    </row>
    <row r="11" spans="2:7" x14ac:dyDescent="0.2">
      <c r="B11" s="19" t="str">
        <f>IF('DDF Original'!B11="","",'DDF Original'!B11)</f>
        <v/>
      </c>
      <c r="C11" s="20" t="str">
        <f>IF('DDF Original'!C11="","",'DDF Original'!C11)</f>
        <v/>
      </c>
      <c r="D11" s="20" t="str">
        <f>IF('DDF Original'!F11="","",'DDF Original'!F11)</f>
        <v/>
      </c>
      <c r="E11" s="38" t="str">
        <f>'Recálculo Confissão (85-B)'!N11</f>
        <v/>
      </c>
      <c r="F11" s="20" t="str">
        <f t="shared" si="0"/>
        <v/>
      </c>
      <c r="G11" s="20" t="str">
        <f t="shared" si="1"/>
        <v/>
      </c>
    </row>
    <row r="12" spans="2:7" x14ac:dyDescent="0.2">
      <c r="B12" s="19" t="str">
        <f>IF('DDF Original'!B12="","",'DDF Original'!B12)</f>
        <v/>
      </c>
      <c r="C12" s="20" t="str">
        <f>IF('DDF Original'!C12="","",'DDF Original'!C12)</f>
        <v/>
      </c>
      <c r="D12" s="20" t="str">
        <f>IF('DDF Original'!F12="","",'DDF Original'!F12)</f>
        <v/>
      </c>
      <c r="E12" s="38" t="str">
        <f>'Recálculo Confissão (85-B)'!N12</f>
        <v/>
      </c>
      <c r="F12" s="20" t="str">
        <f t="shared" si="0"/>
        <v/>
      </c>
      <c r="G12" s="20" t="str">
        <f t="shared" si="1"/>
        <v/>
      </c>
    </row>
    <row r="13" spans="2:7" x14ac:dyDescent="0.2">
      <c r="B13" s="19" t="str">
        <f>IF('DDF Original'!B13="","",'DDF Original'!B13)</f>
        <v/>
      </c>
      <c r="C13" s="20" t="str">
        <f>IF('DDF Original'!C13="","",'DDF Original'!C13)</f>
        <v/>
      </c>
      <c r="D13" s="20" t="str">
        <f>IF('DDF Original'!F13="","",'DDF Original'!F13)</f>
        <v/>
      </c>
      <c r="E13" s="38" t="str">
        <f>'Recálculo Confissão (85-B)'!N13</f>
        <v/>
      </c>
      <c r="F13" s="20" t="str">
        <f t="shared" si="0"/>
        <v/>
      </c>
      <c r="G13" s="20" t="str">
        <f t="shared" si="1"/>
        <v/>
      </c>
    </row>
    <row r="14" spans="2:7" x14ac:dyDescent="0.2">
      <c r="B14" s="19" t="str">
        <f>IF('DDF Original'!B14="","",'DDF Original'!B14)</f>
        <v/>
      </c>
      <c r="C14" s="20" t="str">
        <f>IF('DDF Original'!C14="","",'DDF Original'!C14)</f>
        <v/>
      </c>
      <c r="D14" s="20" t="str">
        <f>IF('DDF Original'!F14="","",'DDF Original'!F14)</f>
        <v/>
      </c>
      <c r="E14" s="38" t="str">
        <f>'Recálculo Confissão (85-B)'!N14</f>
        <v/>
      </c>
      <c r="F14" s="20" t="str">
        <f t="shared" si="0"/>
        <v/>
      </c>
      <c r="G14" s="20" t="str">
        <f t="shared" si="1"/>
        <v/>
      </c>
    </row>
    <row r="15" spans="2:7" x14ac:dyDescent="0.2">
      <c r="B15" s="19" t="str">
        <f>IF('DDF Original'!B15="","",'DDF Original'!B15)</f>
        <v/>
      </c>
      <c r="C15" s="20" t="str">
        <f>IF('DDF Original'!C15="","",'DDF Original'!C15)</f>
        <v/>
      </c>
      <c r="D15" s="20" t="str">
        <f>IF('DDF Original'!F15="","",'DDF Original'!F15)</f>
        <v/>
      </c>
      <c r="E15" s="38" t="str">
        <f>'Recálculo Confissão (85-B)'!N15</f>
        <v/>
      </c>
      <c r="F15" s="20" t="str">
        <f t="shared" si="0"/>
        <v/>
      </c>
      <c r="G15" s="20" t="str">
        <f t="shared" si="1"/>
        <v/>
      </c>
    </row>
    <row r="16" spans="2:7" x14ac:dyDescent="0.2">
      <c r="B16" s="19" t="str">
        <f>IF('DDF Original'!B16="","",'DDF Original'!B16)</f>
        <v/>
      </c>
      <c r="C16" s="20" t="str">
        <f>IF('DDF Original'!C16="","",'DDF Original'!C16)</f>
        <v/>
      </c>
      <c r="D16" s="20" t="str">
        <f>IF('DDF Original'!F16="","",'DDF Original'!F16)</f>
        <v/>
      </c>
      <c r="E16" s="38" t="str">
        <f>'Recálculo Confissão (85-B)'!N16</f>
        <v/>
      </c>
      <c r="F16" s="20" t="str">
        <f t="shared" si="0"/>
        <v/>
      </c>
      <c r="G16" s="20" t="str">
        <f t="shared" si="1"/>
        <v/>
      </c>
    </row>
    <row r="17" spans="2:7" x14ac:dyDescent="0.2">
      <c r="B17" s="19" t="str">
        <f>IF('DDF Original'!B17="","",'DDF Original'!B17)</f>
        <v/>
      </c>
      <c r="C17" s="20" t="str">
        <f>IF('DDF Original'!C17="","",'DDF Original'!C17)</f>
        <v/>
      </c>
      <c r="D17" s="20" t="str">
        <f>IF('DDF Original'!F17="","",'DDF Original'!F17)</f>
        <v/>
      </c>
      <c r="E17" s="38" t="str">
        <f>'Recálculo Confissão (85-B)'!N17</f>
        <v/>
      </c>
      <c r="F17" s="20" t="str">
        <f t="shared" si="0"/>
        <v/>
      </c>
      <c r="G17" s="20" t="str">
        <f t="shared" si="1"/>
        <v/>
      </c>
    </row>
    <row r="18" spans="2:7" x14ac:dyDescent="0.2">
      <c r="B18" s="19" t="str">
        <f>IF('DDF Original'!B18="","",'DDF Original'!B18)</f>
        <v/>
      </c>
      <c r="C18" s="20" t="str">
        <f>IF('DDF Original'!C18="","",'DDF Original'!C18)</f>
        <v/>
      </c>
      <c r="D18" s="20" t="str">
        <f>IF('DDF Original'!F18="","",'DDF Original'!F18)</f>
        <v/>
      </c>
      <c r="E18" s="38" t="str">
        <f>'Recálculo Confissão (85-B)'!N18</f>
        <v/>
      </c>
      <c r="F18" s="20" t="str">
        <f t="shared" si="0"/>
        <v/>
      </c>
      <c r="G18" s="20" t="str">
        <f t="shared" si="1"/>
        <v/>
      </c>
    </row>
    <row r="19" spans="2:7" x14ac:dyDescent="0.2">
      <c r="B19" s="19" t="str">
        <f>IF('DDF Original'!B19="","",'DDF Original'!B19)</f>
        <v/>
      </c>
      <c r="C19" s="20" t="str">
        <f>IF('DDF Original'!C19="","",'DDF Original'!C19)</f>
        <v/>
      </c>
      <c r="D19" s="20" t="str">
        <f>IF('DDF Original'!F19="","",'DDF Original'!F19)</f>
        <v/>
      </c>
      <c r="E19" s="38" t="str">
        <f>'Recálculo Confissão (85-B)'!N19</f>
        <v/>
      </c>
      <c r="F19" s="20" t="str">
        <f t="shared" si="0"/>
        <v/>
      </c>
      <c r="G19" s="20" t="str">
        <f t="shared" si="1"/>
        <v/>
      </c>
    </row>
    <row r="20" spans="2:7" x14ac:dyDescent="0.2">
      <c r="B20" s="19" t="str">
        <f>IF('DDF Original'!B20="","",'DDF Original'!B20)</f>
        <v/>
      </c>
      <c r="C20" s="20" t="str">
        <f>IF('DDF Original'!C20="","",'DDF Original'!C20)</f>
        <v/>
      </c>
      <c r="D20" s="20" t="str">
        <f>IF('DDF Original'!F20="","",'DDF Original'!F20)</f>
        <v/>
      </c>
      <c r="E20" s="38" t="str">
        <f>'Recálculo Confissão (85-B)'!N20</f>
        <v/>
      </c>
      <c r="F20" s="20" t="str">
        <f t="shared" si="0"/>
        <v/>
      </c>
      <c r="G20" s="20" t="str">
        <f t="shared" si="1"/>
        <v/>
      </c>
    </row>
    <row r="21" spans="2:7" x14ac:dyDescent="0.2">
      <c r="B21" s="19" t="str">
        <f>IF('DDF Original'!B21="","",'DDF Original'!B21)</f>
        <v/>
      </c>
      <c r="C21" s="20" t="str">
        <f>IF('DDF Original'!C21="","",'DDF Original'!C21)</f>
        <v/>
      </c>
      <c r="D21" s="20" t="str">
        <f>IF('DDF Original'!F21="","",'DDF Original'!F21)</f>
        <v/>
      </c>
      <c r="E21" s="38" t="str">
        <f>'Recálculo Confissão (85-B)'!N21</f>
        <v/>
      </c>
      <c r="F21" s="20" t="str">
        <f t="shared" si="0"/>
        <v/>
      </c>
      <c r="G21" s="20" t="str">
        <f t="shared" si="1"/>
        <v/>
      </c>
    </row>
    <row r="22" spans="2:7" x14ac:dyDescent="0.2">
      <c r="B22" s="19" t="str">
        <f>IF('DDF Original'!B22="","",'DDF Original'!B22)</f>
        <v/>
      </c>
      <c r="C22" s="20" t="str">
        <f>IF('DDF Original'!C22="","",'DDF Original'!C22)</f>
        <v/>
      </c>
      <c r="D22" s="20" t="str">
        <f>IF('DDF Original'!F22="","",'DDF Original'!F22)</f>
        <v/>
      </c>
      <c r="E22" s="38" t="str">
        <f>'Recálculo Confissão (85-B)'!N22</f>
        <v/>
      </c>
      <c r="F22" s="20" t="str">
        <f t="shared" si="0"/>
        <v/>
      </c>
      <c r="G22" s="20" t="str">
        <f t="shared" si="1"/>
        <v/>
      </c>
    </row>
    <row r="23" spans="2:7" x14ac:dyDescent="0.2">
      <c r="B23" s="19" t="str">
        <f>IF('DDF Original'!B23="","",'DDF Original'!B23)</f>
        <v/>
      </c>
      <c r="C23" s="20" t="str">
        <f>IF('DDF Original'!C23="","",'DDF Original'!C23)</f>
        <v/>
      </c>
      <c r="D23" s="20" t="str">
        <f>IF('DDF Original'!F23="","",'DDF Original'!F23)</f>
        <v/>
      </c>
      <c r="E23" s="38" t="str">
        <f>'Recálculo Confissão (85-B)'!N23</f>
        <v/>
      </c>
      <c r="F23" s="20" t="str">
        <f t="shared" si="0"/>
        <v/>
      </c>
      <c r="G23" s="20" t="str">
        <f t="shared" si="1"/>
        <v/>
      </c>
    </row>
    <row r="24" spans="2:7" x14ac:dyDescent="0.2">
      <c r="B24" s="19" t="str">
        <f>IF('DDF Original'!B24="","",'DDF Original'!B24)</f>
        <v/>
      </c>
      <c r="C24" s="20" t="str">
        <f>IF('DDF Original'!C24="","",'DDF Original'!C24)</f>
        <v/>
      </c>
      <c r="D24" s="20" t="str">
        <f>IF('DDF Original'!F24="","",'DDF Original'!F24)</f>
        <v/>
      </c>
      <c r="E24" s="38" t="str">
        <f>'Recálculo Confissão (85-B)'!N24</f>
        <v/>
      </c>
      <c r="F24" s="20" t="str">
        <f t="shared" si="0"/>
        <v/>
      </c>
      <c r="G24" s="20" t="str">
        <f t="shared" si="1"/>
        <v/>
      </c>
    </row>
    <row r="25" spans="2:7" x14ac:dyDescent="0.2">
      <c r="B25" s="19" t="str">
        <f>IF('DDF Original'!B25="","",'DDF Original'!B25)</f>
        <v/>
      </c>
      <c r="C25" s="20" t="str">
        <f>IF('DDF Original'!C25="","",'DDF Original'!C25)</f>
        <v/>
      </c>
      <c r="D25" s="20" t="str">
        <f>IF('DDF Original'!F25="","",'DDF Original'!F25)</f>
        <v/>
      </c>
      <c r="E25" s="38" t="str">
        <f>'Recálculo Confissão (85-B)'!N25</f>
        <v/>
      </c>
      <c r="F25" s="20" t="str">
        <f t="shared" si="0"/>
        <v/>
      </c>
      <c r="G25" s="20" t="str">
        <f t="shared" si="1"/>
        <v/>
      </c>
    </row>
    <row r="26" spans="2:7" x14ac:dyDescent="0.2">
      <c r="B26" s="19" t="str">
        <f>IF('DDF Original'!B26="","",'DDF Original'!B26)</f>
        <v/>
      </c>
      <c r="C26" s="20" t="str">
        <f>IF('DDF Original'!C26="","",'DDF Original'!C26)</f>
        <v/>
      </c>
      <c r="D26" s="20" t="str">
        <f>IF('DDF Original'!F26="","",'DDF Original'!F26)</f>
        <v/>
      </c>
      <c r="E26" s="38" t="str">
        <f>'Recálculo Confissão (85-B)'!N26</f>
        <v/>
      </c>
      <c r="F26" s="20" t="str">
        <f t="shared" si="0"/>
        <v/>
      </c>
      <c r="G26" s="20" t="str">
        <f t="shared" si="1"/>
        <v/>
      </c>
    </row>
    <row r="27" spans="2:7" x14ac:dyDescent="0.2">
      <c r="B27" s="19" t="str">
        <f>IF('DDF Original'!B27="","",'DDF Original'!B27)</f>
        <v/>
      </c>
      <c r="C27" s="20" t="str">
        <f>IF('DDF Original'!C27="","",'DDF Original'!C27)</f>
        <v/>
      </c>
      <c r="D27" s="20" t="str">
        <f>IF('DDF Original'!F27="","",'DDF Original'!F27)</f>
        <v/>
      </c>
      <c r="E27" s="38" t="str">
        <f>'Recálculo Confissão (85-B)'!N27</f>
        <v/>
      </c>
      <c r="F27" s="20" t="str">
        <f t="shared" si="0"/>
        <v/>
      </c>
      <c r="G27" s="20" t="str">
        <f t="shared" si="1"/>
        <v/>
      </c>
    </row>
    <row r="28" spans="2:7" x14ac:dyDescent="0.2">
      <c r="B28" s="19" t="str">
        <f>IF('DDF Original'!B28="","",'DDF Original'!B28)</f>
        <v/>
      </c>
      <c r="C28" s="20" t="str">
        <f>IF('DDF Original'!C28="","",'DDF Original'!C28)</f>
        <v/>
      </c>
      <c r="D28" s="20" t="str">
        <f>IF('DDF Original'!F28="","",'DDF Original'!F28)</f>
        <v/>
      </c>
      <c r="E28" s="38" t="str">
        <f>'Recálculo Confissão (85-B)'!N28</f>
        <v/>
      </c>
      <c r="F28" s="20" t="str">
        <f t="shared" si="0"/>
        <v/>
      </c>
      <c r="G28" s="20" t="str">
        <f t="shared" si="1"/>
        <v/>
      </c>
    </row>
    <row r="29" spans="2:7" x14ac:dyDescent="0.2">
      <c r="B29" s="19" t="str">
        <f>IF('DDF Original'!B29="","",'DDF Original'!B29)</f>
        <v/>
      </c>
      <c r="C29" s="20" t="str">
        <f>IF('DDF Original'!C29="","",'DDF Original'!C29)</f>
        <v/>
      </c>
      <c r="D29" s="20" t="str">
        <f>IF('DDF Original'!F29="","",'DDF Original'!F29)</f>
        <v/>
      </c>
      <c r="E29" s="38" t="str">
        <f>'Recálculo Confissão (85-B)'!N29</f>
        <v/>
      </c>
      <c r="F29" s="20" t="str">
        <f t="shared" si="0"/>
        <v/>
      </c>
      <c r="G29" s="20" t="str">
        <f t="shared" si="1"/>
        <v/>
      </c>
    </row>
    <row r="30" spans="2:7" x14ac:dyDescent="0.2">
      <c r="B30" s="19" t="str">
        <f>IF('DDF Original'!B30="","",'DDF Original'!B30)</f>
        <v/>
      </c>
      <c r="C30" s="20" t="str">
        <f>IF('DDF Original'!C30="","",'DDF Original'!C30)</f>
        <v/>
      </c>
      <c r="D30" s="20" t="str">
        <f>IF('DDF Original'!F30="","",'DDF Original'!F30)</f>
        <v/>
      </c>
      <c r="E30" s="38" t="str">
        <f>'Recálculo Confissão (85-B)'!N30</f>
        <v/>
      </c>
      <c r="F30" s="20" t="str">
        <f t="shared" si="0"/>
        <v/>
      </c>
      <c r="G30" s="20" t="str">
        <f t="shared" si="1"/>
        <v/>
      </c>
    </row>
    <row r="31" spans="2:7" x14ac:dyDescent="0.2">
      <c r="B31" s="19" t="str">
        <f>IF('DDF Original'!B31="","",'DDF Original'!B31)</f>
        <v/>
      </c>
      <c r="C31" s="20" t="str">
        <f>IF('DDF Original'!C31="","",'DDF Original'!C31)</f>
        <v/>
      </c>
      <c r="D31" s="20" t="str">
        <f>IF('DDF Original'!F31="","",'DDF Original'!F31)</f>
        <v/>
      </c>
      <c r="E31" s="38" t="str">
        <f>'Recálculo Confissão (85-B)'!N31</f>
        <v/>
      </c>
      <c r="F31" s="20" t="str">
        <f t="shared" si="0"/>
        <v/>
      </c>
      <c r="G31" s="20" t="str">
        <f t="shared" si="1"/>
        <v/>
      </c>
    </row>
    <row r="32" spans="2:7" x14ac:dyDescent="0.2">
      <c r="B32" s="19" t="str">
        <f>IF('DDF Original'!B32="","",'DDF Original'!B32)</f>
        <v/>
      </c>
      <c r="C32" s="20" t="str">
        <f>IF('DDF Original'!C32="","",'DDF Original'!C32)</f>
        <v/>
      </c>
      <c r="D32" s="20" t="str">
        <f>IF('DDF Original'!F32="","",'DDF Original'!F32)</f>
        <v/>
      </c>
      <c r="E32" s="38" t="str">
        <f>'Recálculo Confissão (85-B)'!N32</f>
        <v/>
      </c>
      <c r="F32" s="20" t="str">
        <f t="shared" si="0"/>
        <v/>
      </c>
      <c r="G32" s="20" t="str">
        <f t="shared" si="1"/>
        <v/>
      </c>
    </row>
    <row r="33" spans="2:7" x14ac:dyDescent="0.2">
      <c r="B33" s="19" t="str">
        <f>IF('DDF Original'!B33="","",'DDF Original'!B33)</f>
        <v/>
      </c>
      <c r="C33" s="20" t="str">
        <f>IF('DDF Original'!C33="","",'DDF Original'!C33)</f>
        <v/>
      </c>
      <c r="D33" s="20" t="str">
        <f>IF('DDF Original'!F33="","",'DDF Original'!F33)</f>
        <v/>
      </c>
      <c r="E33" s="38" t="str">
        <f>'Recálculo Confissão (85-B)'!N33</f>
        <v/>
      </c>
      <c r="F33" s="20" t="str">
        <f t="shared" si="0"/>
        <v/>
      </c>
      <c r="G33" s="20" t="str">
        <f t="shared" si="1"/>
        <v/>
      </c>
    </row>
    <row r="34" spans="2:7" x14ac:dyDescent="0.2">
      <c r="B34" s="19" t="str">
        <f>IF('DDF Original'!B34="","",'DDF Original'!B34)</f>
        <v/>
      </c>
      <c r="C34" s="20" t="str">
        <f>IF('DDF Original'!C34="","",'DDF Original'!C34)</f>
        <v/>
      </c>
      <c r="D34" s="20" t="str">
        <f>IF('DDF Original'!F34="","",'DDF Original'!F34)</f>
        <v/>
      </c>
      <c r="E34" s="38" t="str">
        <f>'Recálculo Confissão (85-B)'!N34</f>
        <v/>
      </c>
      <c r="F34" s="20" t="str">
        <f t="shared" si="0"/>
        <v/>
      </c>
      <c r="G34" s="20" t="str">
        <f t="shared" si="1"/>
        <v/>
      </c>
    </row>
    <row r="35" spans="2:7" x14ac:dyDescent="0.2">
      <c r="B35" s="19" t="str">
        <f>IF('DDF Original'!B35="","",'DDF Original'!B35)</f>
        <v/>
      </c>
      <c r="C35" s="20" t="str">
        <f>IF('DDF Original'!C35="","",'DDF Original'!C35)</f>
        <v/>
      </c>
      <c r="D35" s="20" t="str">
        <f>IF('DDF Original'!F35="","",'DDF Original'!F35)</f>
        <v/>
      </c>
      <c r="E35" s="38" t="str">
        <f>'Recálculo Confissão (85-B)'!N35</f>
        <v/>
      </c>
      <c r="F35" s="20" t="str">
        <f t="shared" si="0"/>
        <v/>
      </c>
      <c r="G35" s="20" t="str">
        <f t="shared" si="1"/>
        <v/>
      </c>
    </row>
    <row r="36" spans="2:7" x14ac:dyDescent="0.2">
      <c r="B36" s="19" t="str">
        <f>IF('DDF Original'!B36="","",'DDF Original'!B36)</f>
        <v/>
      </c>
      <c r="C36" s="20" t="str">
        <f>IF('DDF Original'!C36="","",'DDF Original'!C36)</f>
        <v/>
      </c>
      <c r="D36" s="20" t="str">
        <f>IF('DDF Original'!F36="","",'DDF Original'!F36)</f>
        <v/>
      </c>
      <c r="E36" s="38" t="str">
        <f>'Recálculo Confissão (85-B)'!N36</f>
        <v/>
      </c>
      <c r="F36" s="20" t="str">
        <f t="shared" si="0"/>
        <v/>
      </c>
      <c r="G36" s="20" t="str">
        <f t="shared" si="1"/>
        <v/>
      </c>
    </row>
    <row r="37" spans="2:7" x14ac:dyDescent="0.2">
      <c r="B37" s="19" t="str">
        <f>IF('DDF Original'!B37="","",'DDF Original'!B37)</f>
        <v/>
      </c>
      <c r="C37" s="20" t="str">
        <f>IF('DDF Original'!C37="","",'DDF Original'!C37)</f>
        <v/>
      </c>
      <c r="D37" s="20" t="str">
        <f>IF('DDF Original'!F37="","",'DDF Original'!F37)</f>
        <v/>
      </c>
      <c r="E37" s="38" t="str">
        <f>'Recálculo Confissão (85-B)'!N37</f>
        <v/>
      </c>
      <c r="F37" s="20" t="str">
        <f t="shared" si="0"/>
        <v/>
      </c>
      <c r="G37" s="20" t="str">
        <f t="shared" si="1"/>
        <v/>
      </c>
    </row>
    <row r="38" spans="2:7" x14ac:dyDescent="0.2">
      <c r="B38" s="19" t="str">
        <f>IF('DDF Original'!B38="","",'DDF Original'!B38)</f>
        <v/>
      </c>
      <c r="C38" s="20" t="str">
        <f>IF('DDF Original'!C38="","",'DDF Original'!C38)</f>
        <v/>
      </c>
      <c r="D38" s="20" t="str">
        <f>IF('DDF Original'!F38="","",'DDF Original'!F38)</f>
        <v/>
      </c>
      <c r="E38" s="38" t="str">
        <f>'Recálculo Confissão (85-B)'!N38</f>
        <v/>
      </c>
      <c r="F38" s="20" t="str">
        <f t="shared" si="0"/>
        <v/>
      </c>
      <c r="G38" s="20" t="str">
        <f t="shared" si="1"/>
        <v/>
      </c>
    </row>
    <row r="39" spans="2:7" x14ac:dyDescent="0.2">
      <c r="B39" s="19" t="str">
        <f>IF('DDF Original'!B39="","",'DDF Original'!B39)</f>
        <v/>
      </c>
      <c r="C39" s="20" t="str">
        <f>IF('DDF Original'!C39="","",'DDF Original'!C39)</f>
        <v/>
      </c>
      <c r="D39" s="20" t="str">
        <f>IF('DDF Original'!F39="","",'DDF Original'!F39)</f>
        <v/>
      </c>
      <c r="E39" s="38" t="str">
        <f>'Recálculo Confissão (85-B)'!N39</f>
        <v/>
      </c>
      <c r="F39" s="20" t="str">
        <f t="shared" si="0"/>
        <v/>
      </c>
      <c r="G39" s="20" t="str">
        <f t="shared" si="1"/>
        <v/>
      </c>
    </row>
    <row r="40" spans="2:7" x14ac:dyDescent="0.2">
      <c r="B40" s="19" t="str">
        <f>IF('DDF Original'!B40="","",'DDF Original'!B40)</f>
        <v/>
      </c>
      <c r="C40" s="20" t="str">
        <f>IF('DDF Original'!C40="","",'DDF Original'!C40)</f>
        <v/>
      </c>
      <c r="D40" s="20" t="str">
        <f>IF('DDF Original'!F40="","",'DDF Original'!F40)</f>
        <v/>
      </c>
      <c r="E40" s="38" t="str">
        <f>'Recálculo Confissão (85-B)'!N40</f>
        <v/>
      </c>
      <c r="F40" s="20" t="str">
        <f t="shared" si="0"/>
        <v/>
      </c>
      <c r="G40" s="20" t="str">
        <f t="shared" si="1"/>
        <v/>
      </c>
    </row>
    <row r="41" spans="2:7" x14ac:dyDescent="0.2">
      <c r="B41" s="19" t="str">
        <f>IF('DDF Original'!B41="","",'DDF Original'!B41)</f>
        <v/>
      </c>
      <c r="C41" s="20" t="str">
        <f>IF('DDF Original'!C41="","",'DDF Original'!C41)</f>
        <v/>
      </c>
      <c r="D41" s="20" t="str">
        <f>IF('DDF Original'!F41="","",'DDF Original'!F41)</f>
        <v/>
      </c>
      <c r="E41" s="38" t="str">
        <f>'Recálculo Confissão (85-B)'!N41</f>
        <v/>
      </c>
      <c r="F41" s="20" t="str">
        <f t="shared" si="0"/>
        <v/>
      </c>
      <c r="G41" s="20" t="str">
        <f t="shared" si="1"/>
        <v/>
      </c>
    </row>
    <row r="42" spans="2:7" x14ac:dyDescent="0.2">
      <c r="B42" s="19" t="str">
        <f>IF('DDF Original'!B42="","",'DDF Original'!B42)</f>
        <v/>
      </c>
      <c r="C42" s="20" t="str">
        <f>IF('DDF Original'!C42="","",'DDF Original'!C42)</f>
        <v/>
      </c>
      <c r="D42" s="20" t="str">
        <f>IF('DDF Original'!F42="","",'DDF Original'!F42)</f>
        <v/>
      </c>
      <c r="E42" s="38" t="str">
        <f>'Recálculo Confissão (85-B)'!N42</f>
        <v/>
      </c>
      <c r="F42" s="20" t="str">
        <f t="shared" si="0"/>
        <v/>
      </c>
      <c r="G42" s="20" t="str">
        <f t="shared" si="1"/>
        <v/>
      </c>
    </row>
    <row r="43" spans="2:7" x14ac:dyDescent="0.2">
      <c r="B43" s="19" t="str">
        <f>IF('DDF Original'!B43="","",'DDF Original'!B43)</f>
        <v/>
      </c>
      <c r="C43" s="20" t="str">
        <f>IF('DDF Original'!C43="","",'DDF Original'!C43)</f>
        <v/>
      </c>
      <c r="D43" s="20" t="str">
        <f>IF('DDF Original'!F43="","",'DDF Original'!F43)</f>
        <v/>
      </c>
      <c r="E43" s="38" t="str">
        <f>'Recálculo Confissão (85-B)'!N43</f>
        <v/>
      </c>
      <c r="F43" s="20" t="str">
        <f t="shared" si="0"/>
        <v/>
      </c>
      <c r="G43" s="20" t="str">
        <f t="shared" si="1"/>
        <v/>
      </c>
    </row>
    <row r="44" spans="2:7" x14ac:dyDescent="0.2">
      <c r="B44" s="19" t="str">
        <f>IF('DDF Original'!B44="","",'DDF Original'!B44)</f>
        <v/>
      </c>
      <c r="C44" s="20" t="str">
        <f>IF('DDF Original'!C44="","",'DDF Original'!C44)</f>
        <v/>
      </c>
      <c r="D44" s="20" t="str">
        <f>IF('DDF Original'!F44="","",'DDF Original'!F44)</f>
        <v/>
      </c>
      <c r="E44" s="38" t="str">
        <f>'Recálculo Confissão (85-B)'!N44</f>
        <v/>
      </c>
      <c r="F44" s="20" t="str">
        <f t="shared" si="0"/>
        <v/>
      </c>
      <c r="G44" s="20" t="str">
        <f t="shared" si="1"/>
        <v/>
      </c>
    </row>
    <row r="45" spans="2:7" x14ac:dyDescent="0.2">
      <c r="B45" s="19" t="str">
        <f>IF('DDF Original'!B45="","",'DDF Original'!B45)</f>
        <v/>
      </c>
      <c r="C45" s="20" t="str">
        <f>IF('DDF Original'!C45="","",'DDF Original'!C45)</f>
        <v/>
      </c>
      <c r="D45" s="20" t="str">
        <f>IF('DDF Original'!F45="","",'DDF Original'!F45)</f>
        <v/>
      </c>
      <c r="E45" s="38" t="str">
        <f>'Recálculo Confissão (85-B)'!N45</f>
        <v/>
      </c>
      <c r="F45" s="20" t="str">
        <f t="shared" si="0"/>
        <v/>
      </c>
      <c r="G45" s="20" t="str">
        <f t="shared" si="1"/>
        <v/>
      </c>
    </row>
    <row r="46" spans="2:7" x14ac:dyDescent="0.2">
      <c r="B46" s="19" t="str">
        <f>IF('DDF Original'!B46="","",'DDF Original'!B46)</f>
        <v/>
      </c>
      <c r="C46" s="20" t="str">
        <f>IF('DDF Original'!C46="","",'DDF Original'!C46)</f>
        <v/>
      </c>
      <c r="D46" s="20" t="str">
        <f>IF('DDF Original'!F46="","",'DDF Original'!F46)</f>
        <v/>
      </c>
      <c r="E46" s="38" t="str">
        <f>'Recálculo Confissão (85-B)'!N46</f>
        <v/>
      </c>
      <c r="F46" s="20" t="str">
        <f t="shared" si="0"/>
        <v/>
      </c>
      <c r="G46" s="20" t="str">
        <f t="shared" si="1"/>
        <v/>
      </c>
    </row>
    <row r="47" spans="2:7" x14ac:dyDescent="0.2">
      <c r="B47" s="19" t="str">
        <f>IF('DDF Original'!B47="","",'DDF Original'!B47)</f>
        <v/>
      </c>
      <c r="C47" s="20" t="str">
        <f>IF('DDF Original'!C47="","",'DDF Original'!C47)</f>
        <v/>
      </c>
      <c r="D47" s="20" t="str">
        <f>IF('DDF Original'!F47="","",'DDF Original'!F47)</f>
        <v/>
      </c>
      <c r="E47" s="38" t="str">
        <f>'Recálculo Confissão (85-B)'!N47</f>
        <v/>
      </c>
      <c r="F47" s="20" t="str">
        <f t="shared" si="0"/>
        <v/>
      </c>
      <c r="G47" s="20" t="str">
        <f t="shared" si="1"/>
        <v/>
      </c>
    </row>
    <row r="48" spans="2:7" x14ac:dyDescent="0.2">
      <c r="B48" s="19" t="str">
        <f>IF('DDF Original'!B48="","",'DDF Original'!B48)</f>
        <v/>
      </c>
      <c r="C48" s="20" t="str">
        <f>IF('DDF Original'!C48="","",'DDF Original'!C48)</f>
        <v/>
      </c>
      <c r="D48" s="20" t="str">
        <f>IF('DDF Original'!F48="","",'DDF Original'!F48)</f>
        <v/>
      </c>
      <c r="E48" s="38" t="str">
        <f>'Recálculo Confissão (85-B)'!N48</f>
        <v/>
      </c>
      <c r="F48" s="20" t="str">
        <f t="shared" si="0"/>
        <v/>
      </c>
      <c r="G48" s="20" t="str">
        <f t="shared" si="1"/>
        <v/>
      </c>
    </row>
    <row r="49" spans="2:7" x14ac:dyDescent="0.2">
      <c r="B49" s="19" t="str">
        <f>IF('DDF Original'!B49="","",'DDF Original'!B49)</f>
        <v/>
      </c>
      <c r="C49" s="20" t="str">
        <f>IF('DDF Original'!C49="","",'DDF Original'!C49)</f>
        <v/>
      </c>
      <c r="D49" s="20" t="str">
        <f>IF('DDF Original'!F49="","",'DDF Original'!F49)</f>
        <v/>
      </c>
      <c r="E49" s="38" t="str">
        <f>'Recálculo Confissão (85-B)'!N49</f>
        <v/>
      </c>
      <c r="F49" s="20" t="str">
        <f t="shared" si="0"/>
        <v/>
      </c>
      <c r="G49" s="20" t="str">
        <f t="shared" si="1"/>
        <v/>
      </c>
    </row>
    <row r="50" spans="2:7" x14ac:dyDescent="0.2">
      <c r="B50" s="19" t="str">
        <f>IF('DDF Original'!B50="","",'DDF Original'!B50)</f>
        <v/>
      </c>
      <c r="C50" s="20" t="str">
        <f>IF('DDF Original'!C50="","",'DDF Original'!C50)</f>
        <v/>
      </c>
      <c r="D50" s="20" t="str">
        <f>IF('DDF Original'!F50="","",'DDF Original'!F50)</f>
        <v/>
      </c>
      <c r="E50" s="38" t="str">
        <f>'Recálculo Confissão (85-B)'!N50</f>
        <v/>
      </c>
      <c r="F50" s="20" t="str">
        <f t="shared" si="0"/>
        <v/>
      </c>
      <c r="G50" s="20" t="str">
        <f t="shared" si="1"/>
        <v/>
      </c>
    </row>
    <row r="51" spans="2:7" x14ac:dyDescent="0.2">
      <c r="B51" s="19" t="str">
        <f>IF('DDF Original'!B51="","",'DDF Original'!B51)</f>
        <v/>
      </c>
      <c r="C51" s="20" t="str">
        <f>IF('DDF Original'!C51="","",'DDF Original'!C51)</f>
        <v/>
      </c>
      <c r="D51" s="20" t="str">
        <f>IF('DDF Original'!F51="","",'DDF Original'!F51)</f>
        <v/>
      </c>
      <c r="E51" s="38" t="str">
        <f>'Recálculo Confissão (85-B)'!N51</f>
        <v/>
      </c>
      <c r="F51" s="20" t="str">
        <f t="shared" si="0"/>
        <v/>
      </c>
      <c r="G51" s="20" t="str">
        <f t="shared" si="1"/>
        <v/>
      </c>
    </row>
    <row r="52" spans="2:7" x14ac:dyDescent="0.2">
      <c r="B52" s="19" t="str">
        <f>IF('DDF Original'!B52="","",'DDF Original'!B52)</f>
        <v/>
      </c>
      <c r="C52" s="20" t="str">
        <f>IF('DDF Original'!C52="","",'DDF Original'!C52)</f>
        <v/>
      </c>
      <c r="D52" s="20" t="str">
        <f>IF('DDF Original'!F52="","",'DDF Original'!F52)</f>
        <v/>
      </c>
      <c r="E52" s="38" t="str">
        <f>'Recálculo Confissão (85-B)'!N52</f>
        <v/>
      </c>
      <c r="F52" s="20" t="str">
        <f t="shared" si="0"/>
        <v/>
      </c>
      <c r="G52" s="20" t="str">
        <f t="shared" si="1"/>
        <v/>
      </c>
    </row>
    <row r="53" spans="2:7" x14ac:dyDescent="0.2">
      <c r="B53" s="19" t="str">
        <f>IF('DDF Original'!B53="","",'DDF Original'!B53)</f>
        <v/>
      </c>
      <c r="C53" s="20" t="str">
        <f>IF('DDF Original'!C53="","",'DDF Original'!C53)</f>
        <v/>
      </c>
      <c r="D53" s="20" t="str">
        <f>IF('DDF Original'!F53="","",'DDF Original'!F53)</f>
        <v/>
      </c>
      <c r="E53" s="38" t="str">
        <f>'Recálculo Confissão (85-B)'!N53</f>
        <v/>
      </c>
      <c r="F53" s="20" t="str">
        <f t="shared" si="0"/>
        <v/>
      </c>
      <c r="G53" s="20" t="str">
        <f t="shared" si="1"/>
        <v/>
      </c>
    </row>
    <row r="54" spans="2:7" x14ac:dyDescent="0.2">
      <c r="B54" s="19" t="str">
        <f>IF('DDF Original'!B54="","",'DDF Original'!B54)</f>
        <v/>
      </c>
      <c r="C54" s="20" t="str">
        <f>IF('DDF Original'!C54="","",'DDF Original'!C54)</f>
        <v/>
      </c>
      <c r="D54" s="20" t="str">
        <f>IF('DDF Original'!F54="","",'DDF Original'!F54)</f>
        <v/>
      </c>
      <c r="E54" s="38" t="str">
        <f>'Recálculo Confissão (85-B)'!N54</f>
        <v/>
      </c>
      <c r="F54" s="20" t="str">
        <f t="shared" si="0"/>
        <v/>
      </c>
      <c r="G54" s="20" t="str">
        <f t="shared" si="1"/>
        <v/>
      </c>
    </row>
    <row r="55" spans="2:7" x14ac:dyDescent="0.2">
      <c r="B55" s="19" t="str">
        <f>IF('DDF Original'!B55="","",'DDF Original'!B55)</f>
        <v/>
      </c>
      <c r="C55" s="20" t="str">
        <f>IF('DDF Original'!C55="","",'DDF Original'!C55)</f>
        <v/>
      </c>
      <c r="D55" s="20" t="str">
        <f>IF('DDF Original'!F55="","",'DDF Original'!F55)</f>
        <v/>
      </c>
      <c r="E55" s="38" t="str">
        <f>'Recálculo Confissão (85-B)'!N55</f>
        <v/>
      </c>
      <c r="F55" s="20" t="str">
        <f t="shared" si="0"/>
        <v/>
      </c>
      <c r="G55" s="20" t="str">
        <f t="shared" si="1"/>
        <v/>
      </c>
    </row>
    <row r="56" spans="2:7" x14ac:dyDescent="0.2">
      <c r="B56" s="19" t="str">
        <f>IF('DDF Original'!B56="","",'DDF Original'!B56)</f>
        <v/>
      </c>
      <c r="C56" s="20" t="str">
        <f>IF('DDF Original'!C56="","",'DDF Original'!C56)</f>
        <v/>
      </c>
      <c r="D56" s="20" t="str">
        <f>IF('DDF Original'!F56="","",'DDF Original'!F56)</f>
        <v/>
      </c>
      <c r="E56" s="38" t="str">
        <f>'Recálculo Confissão (85-B)'!N56</f>
        <v/>
      </c>
      <c r="F56" s="20" t="str">
        <f t="shared" si="0"/>
        <v/>
      </c>
      <c r="G56" s="20" t="str">
        <f t="shared" si="1"/>
        <v/>
      </c>
    </row>
    <row r="57" spans="2:7" x14ac:dyDescent="0.2">
      <c r="B57" s="19" t="str">
        <f>IF('DDF Original'!B57="","",'DDF Original'!B57)</f>
        <v/>
      </c>
      <c r="C57" s="20" t="str">
        <f>IF('DDF Original'!C57="","",'DDF Original'!C57)</f>
        <v/>
      </c>
      <c r="D57" s="20" t="str">
        <f>IF('DDF Original'!F57="","",'DDF Original'!F57)</f>
        <v/>
      </c>
      <c r="E57" s="38" t="str">
        <f>'Recálculo Confissão (85-B)'!N57</f>
        <v/>
      </c>
      <c r="F57" s="20" t="str">
        <f t="shared" si="0"/>
        <v/>
      </c>
      <c r="G57" s="20" t="str">
        <f t="shared" si="1"/>
        <v/>
      </c>
    </row>
    <row r="58" spans="2:7" x14ac:dyDescent="0.2">
      <c r="B58" s="19" t="str">
        <f>IF('DDF Original'!B58="","",'DDF Original'!B58)</f>
        <v/>
      </c>
      <c r="C58" s="20" t="str">
        <f>IF('DDF Original'!C58="","",'DDF Original'!C58)</f>
        <v/>
      </c>
      <c r="D58" s="20" t="str">
        <f>IF('DDF Original'!F58="","",'DDF Original'!F58)</f>
        <v/>
      </c>
      <c r="E58" s="38" t="str">
        <f>'Recálculo Confissão (85-B)'!N58</f>
        <v/>
      </c>
      <c r="F58" s="20" t="str">
        <f t="shared" si="0"/>
        <v/>
      </c>
      <c r="G58" s="20" t="str">
        <f t="shared" si="1"/>
        <v/>
      </c>
    </row>
    <row r="59" spans="2:7" x14ac:dyDescent="0.2">
      <c r="B59" s="19" t="str">
        <f>IF('DDF Original'!B59="","",'DDF Original'!B59)</f>
        <v/>
      </c>
      <c r="C59" s="20" t="str">
        <f>IF('DDF Original'!C59="","",'DDF Original'!C59)</f>
        <v/>
      </c>
      <c r="D59" s="20" t="str">
        <f>IF('DDF Original'!F59="","",'DDF Original'!F59)</f>
        <v/>
      </c>
      <c r="E59" s="38" t="str">
        <f>'Recálculo Confissão (85-B)'!N59</f>
        <v/>
      </c>
      <c r="F59" s="20" t="str">
        <f t="shared" si="0"/>
        <v/>
      </c>
      <c r="G59" s="20" t="str">
        <f t="shared" si="1"/>
        <v/>
      </c>
    </row>
    <row r="60" spans="2:7" x14ac:dyDescent="0.2">
      <c r="B60" s="19" t="str">
        <f>IF('DDF Original'!B60="","",'DDF Original'!B60)</f>
        <v/>
      </c>
      <c r="C60" s="20" t="str">
        <f>IF('DDF Original'!C60="","",'DDF Original'!C60)</f>
        <v/>
      </c>
      <c r="D60" s="20" t="str">
        <f>IF('DDF Original'!F60="","",'DDF Original'!F60)</f>
        <v/>
      </c>
      <c r="E60" s="38" t="str">
        <f>'Recálculo Confissão (85-B)'!N60</f>
        <v/>
      </c>
      <c r="F60" s="20" t="str">
        <f t="shared" si="0"/>
        <v/>
      </c>
      <c r="G60" s="20" t="str">
        <f t="shared" si="1"/>
        <v/>
      </c>
    </row>
    <row r="61" spans="2:7" x14ac:dyDescent="0.2">
      <c r="B61" s="19" t="str">
        <f>IF('DDF Original'!B61="","",'DDF Original'!B61)</f>
        <v/>
      </c>
      <c r="C61" s="20" t="str">
        <f>IF('DDF Original'!C61="","",'DDF Original'!C61)</f>
        <v/>
      </c>
      <c r="D61" s="20" t="str">
        <f>IF('DDF Original'!F61="","",'DDF Original'!F61)</f>
        <v/>
      </c>
      <c r="E61" s="38" t="str">
        <f>'Recálculo Confissão (85-B)'!N61</f>
        <v/>
      </c>
      <c r="F61" s="20" t="str">
        <f t="shared" si="0"/>
        <v/>
      </c>
      <c r="G61" s="20" t="str">
        <f t="shared" si="1"/>
        <v/>
      </c>
    </row>
    <row r="62" spans="2:7" x14ac:dyDescent="0.2">
      <c r="B62" s="19" t="str">
        <f>IF('DDF Original'!B62="","",'DDF Original'!B62)</f>
        <v/>
      </c>
      <c r="C62" s="20" t="str">
        <f>IF('DDF Original'!C62="","",'DDF Original'!C62)</f>
        <v/>
      </c>
      <c r="D62" s="20" t="str">
        <f>IF('DDF Original'!F62="","",'DDF Original'!F62)</f>
        <v/>
      </c>
      <c r="E62" s="38" t="str">
        <f>'Recálculo Confissão (85-B)'!N62</f>
        <v/>
      </c>
      <c r="F62" s="20" t="str">
        <f t="shared" si="0"/>
        <v/>
      </c>
      <c r="G62" s="20" t="str">
        <f t="shared" si="1"/>
        <v/>
      </c>
    </row>
    <row r="63" spans="2:7" x14ac:dyDescent="0.2">
      <c r="B63" s="19" t="str">
        <f>IF('DDF Original'!B63="","",'DDF Original'!B63)</f>
        <v/>
      </c>
      <c r="C63" s="20" t="str">
        <f>IF('DDF Original'!C63="","",'DDF Original'!C63)</f>
        <v/>
      </c>
      <c r="D63" s="20" t="str">
        <f>IF('DDF Original'!F63="","",'DDF Original'!F63)</f>
        <v/>
      </c>
      <c r="E63" s="38" t="str">
        <f>'Recálculo Confissão (85-B)'!N63</f>
        <v/>
      </c>
      <c r="F63" s="20" t="str">
        <f t="shared" si="0"/>
        <v/>
      </c>
      <c r="G63" s="20" t="str">
        <f t="shared" si="1"/>
        <v/>
      </c>
    </row>
    <row r="64" spans="2:7" x14ac:dyDescent="0.2">
      <c r="B64" s="19" t="str">
        <f>IF('DDF Original'!B64="","",'DDF Original'!B64)</f>
        <v/>
      </c>
      <c r="C64" s="20" t="str">
        <f>IF('DDF Original'!C64="","",'DDF Original'!C64)</f>
        <v/>
      </c>
      <c r="D64" s="20" t="str">
        <f>IF('DDF Original'!F64="","",'DDF Original'!F64)</f>
        <v/>
      </c>
      <c r="E64" s="38" t="str">
        <f>'Recálculo Confissão (85-B)'!N64</f>
        <v/>
      </c>
      <c r="F64" s="20" t="str">
        <f t="shared" si="0"/>
        <v/>
      </c>
      <c r="G64" s="20" t="str">
        <f t="shared" si="1"/>
        <v/>
      </c>
    </row>
    <row r="65" spans="2:7" x14ac:dyDescent="0.2">
      <c r="B65" s="19" t="str">
        <f>IF('DDF Original'!B65="","",'DDF Original'!B65)</f>
        <v/>
      </c>
      <c r="C65" s="20" t="str">
        <f>IF('DDF Original'!C65="","",'DDF Original'!C65)</f>
        <v/>
      </c>
      <c r="D65" s="20" t="str">
        <f>IF('DDF Original'!F65="","",'DDF Original'!F65)</f>
        <v/>
      </c>
      <c r="E65" s="38" t="str">
        <f>'Recálculo Confissão (85-B)'!N65</f>
        <v/>
      </c>
      <c r="F65" s="20" t="str">
        <f t="shared" si="0"/>
        <v/>
      </c>
      <c r="G65" s="20" t="str">
        <f t="shared" si="1"/>
        <v/>
      </c>
    </row>
    <row r="66" spans="2:7" x14ac:dyDescent="0.2">
      <c r="B66" s="19" t="str">
        <f>IF('DDF Original'!B66="","",'DDF Original'!B66)</f>
        <v/>
      </c>
      <c r="C66" s="20" t="str">
        <f>IF('DDF Original'!C66="","",'DDF Original'!C66)</f>
        <v/>
      </c>
      <c r="D66" s="20" t="str">
        <f>IF('DDF Original'!F66="","",'DDF Original'!F66)</f>
        <v/>
      </c>
      <c r="E66" s="38" t="str">
        <f>'Recálculo Confissão (85-B)'!N66</f>
        <v/>
      </c>
      <c r="F66" s="20" t="str">
        <f t="shared" si="0"/>
        <v/>
      </c>
      <c r="G66" s="20" t="str">
        <f t="shared" si="1"/>
        <v/>
      </c>
    </row>
    <row r="67" spans="2:7" x14ac:dyDescent="0.2">
      <c r="B67" s="19" t="str">
        <f>IF('DDF Original'!B67="","",'DDF Original'!B67)</f>
        <v/>
      </c>
      <c r="C67" s="20" t="str">
        <f>IF('DDF Original'!C67="","",'DDF Original'!C67)</f>
        <v/>
      </c>
      <c r="D67" s="20" t="str">
        <f>IF('DDF Original'!F67="","",'DDF Original'!F67)</f>
        <v/>
      </c>
      <c r="E67" s="38" t="str">
        <f>'Recálculo Confissão (85-B)'!N67</f>
        <v/>
      </c>
      <c r="F67" s="20" t="str">
        <f t="shared" si="0"/>
        <v/>
      </c>
      <c r="G67" s="20" t="str">
        <f t="shared" si="1"/>
        <v/>
      </c>
    </row>
    <row r="68" spans="2:7" x14ac:dyDescent="0.2">
      <c r="B68" s="19" t="str">
        <f>IF('DDF Original'!B68="","",'DDF Original'!B68)</f>
        <v/>
      </c>
      <c r="C68" s="20" t="str">
        <f>IF('DDF Original'!C68="","",'DDF Original'!C68)</f>
        <v/>
      </c>
      <c r="D68" s="20" t="str">
        <f>IF('DDF Original'!F68="","",'DDF Original'!F68)</f>
        <v/>
      </c>
      <c r="E68" s="38" t="str">
        <f>'Recálculo Confissão (85-B)'!N68</f>
        <v/>
      </c>
      <c r="F68" s="20" t="str">
        <f t="shared" si="0"/>
        <v/>
      </c>
      <c r="G68" s="20" t="str">
        <f t="shared" si="1"/>
        <v/>
      </c>
    </row>
    <row r="69" spans="2:7" x14ac:dyDescent="0.2">
      <c r="B69" s="19" t="str">
        <f>IF('DDF Original'!B69="","",'DDF Original'!B69)</f>
        <v/>
      </c>
      <c r="C69" s="20" t="str">
        <f>IF('DDF Original'!C69="","",'DDF Original'!C69)</f>
        <v/>
      </c>
      <c r="D69" s="20" t="str">
        <f>IF('DDF Original'!F69="","",'DDF Original'!F69)</f>
        <v/>
      </c>
      <c r="E69" s="38" t="str">
        <f>'Recálculo Confissão (85-B)'!N69</f>
        <v/>
      </c>
      <c r="F69" s="20" t="str">
        <f t="shared" si="0"/>
        <v/>
      </c>
      <c r="G69" s="20" t="str">
        <f t="shared" si="1"/>
        <v/>
      </c>
    </row>
    <row r="70" spans="2:7" x14ac:dyDescent="0.2">
      <c r="B70" s="19" t="str">
        <f>IF('DDF Original'!B70="","",'DDF Original'!B70)</f>
        <v/>
      </c>
      <c r="C70" s="20" t="str">
        <f>IF('DDF Original'!C70="","",'DDF Original'!C70)</f>
        <v/>
      </c>
      <c r="D70" s="20" t="str">
        <f>IF('DDF Original'!F70="","",'DDF Original'!F70)</f>
        <v/>
      </c>
      <c r="E70" s="38" t="str">
        <f>'Recálculo Confissão (85-B)'!N70</f>
        <v/>
      </c>
      <c r="F70" s="20" t="str">
        <f t="shared" si="0"/>
        <v/>
      </c>
      <c r="G70" s="20" t="str">
        <f t="shared" si="1"/>
        <v/>
      </c>
    </row>
    <row r="71" spans="2:7" x14ac:dyDescent="0.2">
      <c r="B71" s="19" t="str">
        <f>IF('DDF Original'!B71="","",'DDF Original'!B71)</f>
        <v/>
      </c>
      <c r="C71" s="20" t="str">
        <f>IF('DDF Original'!C71="","",'DDF Original'!C71)</f>
        <v/>
      </c>
      <c r="D71" s="20" t="str">
        <f>IF('DDF Original'!F71="","",'DDF Original'!F71)</f>
        <v/>
      </c>
      <c r="E71" s="38" t="str">
        <f>'Recálculo Confissão (85-B)'!N71</f>
        <v/>
      </c>
      <c r="F71" s="20" t="str">
        <f t="shared" si="0"/>
        <v/>
      </c>
      <c r="G71" s="20" t="str">
        <f t="shared" si="1"/>
        <v/>
      </c>
    </row>
    <row r="72" spans="2:7" x14ac:dyDescent="0.2">
      <c r="B72" s="19" t="str">
        <f>IF('DDF Original'!B72="","",'DDF Original'!B72)</f>
        <v/>
      </c>
      <c r="C72" s="20" t="str">
        <f>IF('DDF Original'!C72="","",'DDF Original'!C72)</f>
        <v/>
      </c>
      <c r="D72" s="20" t="str">
        <f>IF('DDF Original'!F72="","",'DDF Original'!F72)</f>
        <v/>
      </c>
      <c r="E72" s="38" t="str">
        <f>'Recálculo Confissão (85-B)'!N72</f>
        <v/>
      </c>
      <c r="F72" s="20" t="str">
        <f t="shared" si="0"/>
        <v/>
      </c>
      <c r="G72" s="20" t="str">
        <f t="shared" si="1"/>
        <v/>
      </c>
    </row>
    <row r="73" spans="2:7" x14ac:dyDescent="0.2">
      <c r="B73" s="19" t="str">
        <f>IF('DDF Original'!B73="","",'DDF Original'!B73)</f>
        <v/>
      </c>
      <c r="C73" s="20" t="str">
        <f>IF('DDF Original'!C73="","",'DDF Original'!C73)</f>
        <v/>
      </c>
      <c r="D73" s="20" t="str">
        <f>IF('DDF Original'!F73="","",'DDF Original'!F73)</f>
        <v/>
      </c>
      <c r="E73" s="38" t="str">
        <f>'Recálculo Confissão (85-B)'!N73</f>
        <v/>
      </c>
      <c r="F73" s="20" t="str">
        <f t="shared" si="0"/>
        <v/>
      </c>
      <c r="G73" s="20" t="str">
        <f t="shared" si="1"/>
        <v/>
      </c>
    </row>
    <row r="74" spans="2:7" x14ac:dyDescent="0.2">
      <c r="B74" s="19" t="str">
        <f>IF('DDF Original'!B74="","",'DDF Original'!B74)</f>
        <v/>
      </c>
      <c r="C74" s="20" t="str">
        <f>IF('DDF Original'!C74="","",'DDF Original'!C74)</f>
        <v/>
      </c>
      <c r="D74" s="20" t="str">
        <f>IF('DDF Original'!F74="","",'DDF Original'!F74)</f>
        <v/>
      </c>
      <c r="E74" s="38" t="str">
        <f>'Recálculo Confissão (85-B)'!N74</f>
        <v/>
      </c>
      <c r="F74" s="20" t="str">
        <f t="shared" ref="F74:F137" si="2">IF(E74="","",ROUND(E74*(1-70%),2))</f>
        <v/>
      </c>
      <c r="G74" s="20" t="str">
        <f t="shared" ref="G74:G137" si="3">IF(E74="","",ROUND(E74*(1-60%),2))</f>
        <v/>
      </c>
    </row>
    <row r="75" spans="2:7" x14ac:dyDescent="0.2">
      <c r="B75" s="19" t="str">
        <f>IF('DDF Original'!B75="","",'DDF Original'!B75)</f>
        <v/>
      </c>
      <c r="C75" s="20" t="str">
        <f>IF('DDF Original'!C75="","",'DDF Original'!C75)</f>
        <v/>
      </c>
      <c r="D75" s="20" t="str">
        <f>IF('DDF Original'!F75="","",'DDF Original'!F75)</f>
        <v/>
      </c>
      <c r="E75" s="38" t="str">
        <f>'Recálculo Confissão (85-B)'!N75</f>
        <v/>
      </c>
      <c r="F75" s="20" t="str">
        <f t="shared" si="2"/>
        <v/>
      </c>
      <c r="G75" s="20" t="str">
        <f t="shared" si="3"/>
        <v/>
      </c>
    </row>
    <row r="76" spans="2:7" x14ac:dyDescent="0.2">
      <c r="B76" s="19" t="str">
        <f>IF('DDF Original'!B76="","",'DDF Original'!B76)</f>
        <v/>
      </c>
      <c r="C76" s="20" t="str">
        <f>IF('DDF Original'!C76="","",'DDF Original'!C76)</f>
        <v/>
      </c>
      <c r="D76" s="20" t="str">
        <f>IF('DDF Original'!F76="","",'DDF Original'!F76)</f>
        <v/>
      </c>
      <c r="E76" s="38" t="str">
        <f>'Recálculo Confissão (85-B)'!N76</f>
        <v/>
      </c>
      <c r="F76" s="20" t="str">
        <f t="shared" si="2"/>
        <v/>
      </c>
      <c r="G76" s="20" t="str">
        <f t="shared" si="3"/>
        <v/>
      </c>
    </row>
    <row r="77" spans="2:7" x14ac:dyDescent="0.2">
      <c r="B77" s="19" t="str">
        <f>IF('DDF Original'!B77="","",'DDF Original'!B77)</f>
        <v/>
      </c>
      <c r="C77" s="20" t="str">
        <f>IF('DDF Original'!C77="","",'DDF Original'!C77)</f>
        <v/>
      </c>
      <c r="D77" s="20" t="str">
        <f>IF('DDF Original'!F77="","",'DDF Original'!F77)</f>
        <v/>
      </c>
      <c r="E77" s="38" t="str">
        <f>'Recálculo Confissão (85-B)'!N77</f>
        <v/>
      </c>
      <c r="F77" s="20" t="str">
        <f t="shared" si="2"/>
        <v/>
      </c>
      <c r="G77" s="20" t="str">
        <f t="shared" si="3"/>
        <v/>
      </c>
    </row>
    <row r="78" spans="2:7" x14ac:dyDescent="0.2">
      <c r="B78" s="19" t="str">
        <f>IF('DDF Original'!B78="","",'DDF Original'!B78)</f>
        <v/>
      </c>
      <c r="C78" s="20" t="str">
        <f>IF('DDF Original'!C78="","",'DDF Original'!C78)</f>
        <v/>
      </c>
      <c r="D78" s="20" t="str">
        <f>IF('DDF Original'!F78="","",'DDF Original'!F78)</f>
        <v/>
      </c>
      <c r="E78" s="38" t="str">
        <f>'Recálculo Confissão (85-B)'!N78</f>
        <v/>
      </c>
      <c r="F78" s="20" t="str">
        <f t="shared" si="2"/>
        <v/>
      </c>
      <c r="G78" s="20" t="str">
        <f t="shared" si="3"/>
        <v/>
      </c>
    </row>
    <row r="79" spans="2:7" x14ac:dyDescent="0.2">
      <c r="B79" s="19" t="str">
        <f>IF('DDF Original'!B79="","",'DDF Original'!B79)</f>
        <v/>
      </c>
      <c r="C79" s="20" t="str">
        <f>IF('DDF Original'!C79="","",'DDF Original'!C79)</f>
        <v/>
      </c>
      <c r="D79" s="20" t="str">
        <f>IF('DDF Original'!F79="","",'DDF Original'!F79)</f>
        <v/>
      </c>
      <c r="E79" s="38" t="str">
        <f>'Recálculo Confissão (85-B)'!N79</f>
        <v/>
      </c>
      <c r="F79" s="20" t="str">
        <f t="shared" si="2"/>
        <v/>
      </c>
      <c r="G79" s="20" t="str">
        <f t="shared" si="3"/>
        <v/>
      </c>
    </row>
    <row r="80" spans="2:7" x14ac:dyDescent="0.2">
      <c r="B80" s="19" t="str">
        <f>IF('DDF Original'!B80="","",'DDF Original'!B80)</f>
        <v/>
      </c>
      <c r="C80" s="20" t="str">
        <f>IF('DDF Original'!C80="","",'DDF Original'!C80)</f>
        <v/>
      </c>
      <c r="D80" s="20" t="str">
        <f>IF('DDF Original'!F80="","",'DDF Original'!F80)</f>
        <v/>
      </c>
      <c r="E80" s="38" t="str">
        <f>'Recálculo Confissão (85-B)'!N80</f>
        <v/>
      </c>
      <c r="F80" s="20" t="str">
        <f t="shared" si="2"/>
        <v/>
      </c>
      <c r="G80" s="20" t="str">
        <f t="shared" si="3"/>
        <v/>
      </c>
    </row>
    <row r="81" spans="2:7" x14ac:dyDescent="0.2">
      <c r="B81" s="19" t="str">
        <f>IF('DDF Original'!B81="","",'DDF Original'!B81)</f>
        <v/>
      </c>
      <c r="C81" s="20" t="str">
        <f>IF('DDF Original'!C81="","",'DDF Original'!C81)</f>
        <v/>
      </c>
      <c r="D81" s="20" t="str">
        <f>IF('DDF Original'!F81="","",'DDF Original'!F81)</f>
        <v/>
      </c>
      <c r="E81" s="38" t="str">
        <f>'Recálculo Confissão (85-B)'!N81</f>
        <v/>
      </c>
      <c r="F81" s="20" t="str">
        <f t="shared" si="2"/>
        <v/>
      </c>
      <c r="G81" s="20" t="str">
        <f t="shared" si="3"/>
        <v/>
      </c>
    </row>
    <row r="82" spans="2:7" x14ac:dyDescent="0.2">
      <c r="B82" s="19" t="str">
        <f>IF('DDF Original'!B82="","",'DDF Original'!B82)</f>
        <v/>
      </c>
      <c r="C82" s="20" t="str">
        <f>IF('DDF Original'!C82="","",'DDF Original'!C82)</f>
        <v/>
      </c>
      <c r="D82" s="20" t="str">
        <f>IF('DDF Original'!F82="","",'DDF Original'!F82)</f>
        <v/>
      </c>
      <c r="E82" s="38" t="str">
        <f>'Recálculo Confissão (85-B)'!N82</f>
        <v/>
      </c>
      <c r="F82" s="20" t="str">
        <f t="shared" si="2"/>
        <v/>
      </c>
      <c r="G82" s="20" t="str">
        <f t="shared" si="3"/>
        <v/>
      </c>
    </row>
    <row r="83" spans="2:7" x14ac:dyDescent="0.2">
      <c r="B83" s="19" t="str">
        <f>IF('DDF Original'!B83="","",'DDF Original'!B83)</f>
        <v/>
      </c>
      <c r="C83" s="20" t="str">
        <f>IF('DDF Original'!C83="","",'DDF Original'!C83)</f>
        <v/>
      </c>
      <c r="D83" s="20" t="str">
        <f>IF('DDF Original'!F83="","",'DDF Original'!F83)</f>
        <v/>
      </c>
      <c r="E83" s="38" t="str">
        <f>'Recálculo Confissão (85-B)'!N83</f>
        <v/>
      </c>
      <c r="F83" s="20" t="str">
        <f t="shared" si="2"/>
        <v/>
      </c>
      <c r="G83" s="20" t="str">
        <f t="shared" si="3"/>
        <v/>
      </c>
    </row>
    <row r="84" spans="2:7" x14ac:dyDescent="0.2">
      <c r="B84" s="19" t="str">
        <f>IF('DDF Original'!B84="","",'DDF Original'!B84)</f>
        <v/>
      </c>
      <c r="C84" s="20" t="str">
        <f>IF('DDF Original'!C84="","",'DDF Original'!C84)</f>
        <v/>
      </c>
      <c r="D84" s="20" t="str">
        <f>IF('DDF Original'!F84="","",'DDF Original'!F84)</f>
        <v/>
      </c>
      <c r="E84" s="38" t="str">
        <f>'Recálculo Confissão (85-B)'!N84</f>
        <v/>
      </c>
      <c r="F84" s="20" t="str">
        <f t="shared" si="2"/>
        <v/>
      </c>
      <c r="G84" s="20" t="str">
        <f t="shared" si="3"/>
        <v/>
      </c>
    </row>
    <row r="85" spans="2:7" x14ac:dyDescent="0.2">
      <c r="B85" s="19" t="str">
        <f>IF('DDF Original'!B85="","",'DDF Original'!B85)</f>
        <v/>
      </c>
      <c r="C85" s="20" t="str">
        <f>IF('DDF Original'!C85="","",'DDF Original'!C85)</f>
        <v/>
      </c>
      <c r="D85" s="20" t="str">
        <f>IF('DDF Original'!F85="","",'DDF Original'!F85)</f>
        <v/>
      </c>
      <c r="E85" s="38" t="str">
        <f>'Recálculo Confissão (85-B)'!N85</f>
        <v/>
      </c>
      <c r="F85" s="20" t="str">
        <f t="shared" si="2"/>
        <v/>
      </c>
      <c r="G85" s="20" t="str">
        <f t="shared" si="3"/>
        <v/>
      </c>
    </row>
    <row r="86" spans="2:7" x14ac:dyDescent="0.2">
      <c r="B86" s="19" t="str">
        <f>IF('DDF Original'!B86="","",'DDF Original'!B86)</f>
        <v/>
      </c>
      <c r="C86" s="20" t="str">
        <f>IF('DDF Original'!C86="","",'DDF Original'!C86)</f>
        <v/>
      </c>
      <c r="D86" s="20" t="str">
        <f>IF('DDF Original'!F86="","",'DDF Original'!F86)</f>
        <v/>
      </c>
      <c r="E86" s="38" t="str">
        <f>'Recálculo Confissão (85-B)'!N86</f>
        <v/>
      </c>
      <c r="F86" s="20" t="str">
        <f t="shared" si="2"/>
        <v/>
      </c>
      <c r="G86" s="20" t="str">
        <f t="shared" si="3"/>
        <v/>
      </c>
    </row>
    <row r="87" spans="2:7" x14ac:dyDescent="0.2">
      <c r="B87" s="19" t="str">
        <f>IF('DDF Original'!B87="","",'DDF Original'!B87)</f>
        <v/>
      </c>
      <c r="C87" s="20" t="str">
        <f>IF('DDF Original'!C87="","",'DDF Original'!C87)</f>
        <v/>
      </c>
      <c r="D87" s="20" t="str">
        <f>IF('DDF Original'!F87="","",'DDF Original'!F87)</f>
        <v/>
      </c>
      <c r="E87" s="38" t="str">
        <f>'Recálculo Confissão (85-B)'!N87</f>
        <v/>
      </c>
      <c r="F87" s="20" t="str">
        <f t="shared" si="2"/>
        <v/>
      </c>
      <c r="G87" s="20" t="str">
        <f t="shared" si="3"/>
        <v/>
      </c>
    </row>
    <row r="88" spans="2:7" x14ac:dyDescent="0.2">
      <c r="B88" s="19" t="str">
        <f>IF('DDF Original'!B88="","",'DDF Original'!B88)</f>
        <v/>
      </c>
      <c r="C88" s="20" t="str">
        <f>IF('DDF Original'!C88="","",'DDF Original'!C88)</f>
        <v/>
      </c>
      <c r="D88" s="20" t="str">
        <f>IF('DDF Original'!F88="","",'DDF Original'!F88)</f>
        <v/>
      </c>
      <c r="E88" s="38" t="str">
        <f>'Recálculo Confissão (85-B)'!N88</f>
        <v/>
      </c>
      <c r="F88" s="20" t="str">
        <f t="shared" si="2"/>
        <v/>
      </c>
      <c r="G88" s="20" t="str">
        <f t="shared" si="3"/>
        <v/>
      </c>
    </row>
    <row r="89" spans="2:7" x14ac:dyDescent="0.2">
      <c r="B89" s="19" t="str">
        <f>IF('DDF Original'!B89="","",'DDF Original'!B89)</f>
        <v/>
      </c>
      <c r="C89" s="20" t="str">
        <f>IF('DDF Original'!C89="","",'DDF Original'!C89)</f>
        <v/>
      </c>
      <c r="D89" s="20" t="str">
        <f>IF('DDF Original'!F89="","",'DDF Original'!F89)</f>
        <v/>
      </c>
      <c r="E89" s="38" t="str">
        <f>'Recálculo Confissão (85-B)'!N89</f>
        <v/>
      </c>
      <c r="F89" s="20" t="str">
        <f t="shared" si="2"/>
        <v/>
      </c>
      <c r="G89" s="20" t="str">
        <f t="shared" si="3"/>
        <v/>
      </c>
    </row>
    <row r="90" spans="2:7" x14ac:dyDescent="0.2">
      <c r="B90" s="19" t="str">
        <f>IF('DDF Original'!B90="","",'DDF Original'!B90)</f>
        <v/>
      </c>
      <c r="C90" s="20" t="str">
        <f>IF('DDF Original'!C90="","",'DDF Original'!C90)</f>
        <v/>
      </c>
      <c r="D90" s="20" t="str">
        <f>IF('DDF Original'!F90="","",'DDF Original'!F90)</f>
        <v/>
      </c>
      <c r="E90" s="38" t="str">
        <f>'Recálculo Confissão (85-B)'!N90</f>
        <v/>
      </c>
      <c r="F90" s="20" t="str">
        <f t="shared" si="2"/>
        <v/>
      </c>
      <c r="G90" s="20" t="str">
        <f t="shared" si="3"/>
        <v/>
      </c>
    </row>
    <row r="91" spans="2:7" x14ac:dyDescent="0.2">
      <c r="B91" s="19" t="str">
        <f>IF('DDF Original'!B91="","",'DDF Original'!B91)</f>
        <v/>
      </c>
      <c r="C91" s="20" t="str">
        <f>IF('DDF Original'!C91="","",'DDF Original'!C91)</f>
        <v/>
      </c>
      <c r="D91" s="20" t="str">
        <f>IF('DDF Original'!F91="","",'DDF Original'!F91)</f>
        <v/>
      </c>
      <c r="E91" s="38" t="str">
        <f>'Recálculo Confissão (85-B)'!N91</f>
        <v/>
      </c>
      <c r="F91" s="20" t="str">
        <f t="shared" si="2"/>
        <v/>
      </c>
      <c r="G91" s="20" t="str">
        <f t="shared" si="3"/>
        <v/>
      </c>
    </row>
    <row r="92" spans="2:7" x14ac:dyDescent="0.2">
      <c r="B92" s="19" t="str">
        <f>IF('DDF Original'!B92="","",'DDF Original'!B92)</f>
        <v/>
      </c>
      <c r="C92" s="20" t="str">
        <f>IF('DDF Original'!C92="","",'DDF Original'!C92)</f>
        <v/>
      </c>
      <c r="D92" s="20" t="str">
        <f>IF('DDF Original'!F92="","",'DDF Original'!F92)</f>
        <v/>
      </c>
      <c r="E92" s="38" t="str">
        <f>'Recálculo Confissão (85-B)'!N92</f>
        <v/>
      </c>
      <c r="F92" s="20" t="str">
        <f t="shared" si="2"/>
        <v/>
      </c>
      <c r="G92" s="20" t="str">
        <f t="shared" si="3"/>
        <v/>
      </c>
    </row>
    <row r="93" spans="2:7" x14ac:dyDescent="0.2">
      <c r="B93" s="19" t="str">
        <f>IF('DDF Original'!B93="","",'DDF Original'!B93)</f>
        <v/>
      </c>
      <c r="C93" s="20" t="str">
        <f>IF('DDF Original'!C93="","",'DDF Original'!C93)</f>
        <v/>
      </c>
      <c r="D93" s="20" t="str">
        <f>IF('DDF Original'!F93="","",'DDF Original'!F93)</f>
        <v/>
      </c>
      <c r="E93" s="38" t="str">
        <f>'Recálculo Confissão (85-B)'!N93</f>
        <v/>
      </c>
      <c r="F93" s="20" t="str">
        <f t="shared" si="2"/>
        <v/>
      </c>
      <c r="G93" s="20" t="str">
        <f t="shared" si="3"/>
        <v/>
      </c>
    </row>
    <row r="94" spans="2:7" x14ac:dyDescent="0.2">
      <c r="B94" s="19" t="str">
        <f>IF('DDF Original'!B94="","",'DDF Original'!B94)</f>
        <v/>
      </c>
      <c r="C94" s="20" t="str">
        <f>IF('DDF Original'!C94="","",'DDF Original'!C94)</f>
        <v/>
      </c>
      <c r="D94" s="20" t="str">
        <f>IF('DDF Original'!F94="","",'DDF Original'!F94)</f>
        <v/>
      </c>
      <c r="E94" s="38" t="str">
        <f>'Recálculo Confissão (85-B)'!N94</f>
        <v/>
      </c>
      <c r="F94" s="20" t="str">
        <f t="shared" si="2"/>
        <v/>
      </c>
      <c r="G94" s="20" t="str">
        <f t="shared" si="3"/>
        <v/>
      </c>
    </row>
    <row r="95" spans="2:7" x14ac:dyDescent="0.2">
      <c r="B95" s="19" t="str">
        <f>IF('DDF Original'!B95="","",'DDF Original'!B95)</f>
        <v/>
      </c>
      <c r="C95" s="20" t="str">
        <f>IF('DDF Original'!C95="","",'DDF Original'!C95)</f>
        <v/>
      </c>
      <c r="D95" s="20" t="str">
        <f>IF('DDF Original'!F95="","",'DDF Original'!F95)</f>
        <v/>
      </c>
      <c r="E95" s="38" t="str">
        <f>'Recálculo Confissão (85-B)'!N95</f>
        <v/>
      </c>
      <c r="F95" s="20" t="str">
        <f t="shared" si="2"/>
        <v/>
      </c>
      <c r="G95" s="20" t="str">
        <f t="shared" si="3"/>
        <v/>
      </c>
    </row>
    <row r="96" spans="2:7" x14ac:dyDescent="0.2">
      <c r="B96" s="19" t="str">
        <f>IF('DDF Original'!B96="","",'DDF Original'!B96)</f>
        <v/>
      </c>
      <c r="C96" s="20" t="str">
        <f>IF('DDF Original'!C96="","",'DDF Original'!C96)</f>
        <v/>
      </c>
      <c r="D96" s="20" t="str">
        <f>IF('DDF Original'!F96="","",'DDF Original'!F96)</f>
        <v/>
      </c>
      <c r="E96" s="38" t="str">
        <f>'Recálculo Confissão (85-B)'!N96</f>
        <v/>
      </c>
      <c r="F96" s="20" t="str">
        <f t="shared" si="2"/>
        <v/>
      </c>
      <c r="G96" s="20" t="str">
        <f t="shared" si="3"/>
        <v/>
      </c>
    </row>
    <row r="97" spans="2:7" x14ac:dyDescent="0.2">
      <c r="B97" s="19" t="str">
        <f>IF('DDF Original'!B97="","",'DDF Original'!B97)</f>
        <v/>
      </c>
      <c r="C97" s="20" t="str">
        <f>IF('DDF Original'!C97="","",'DDF Original'!C97)</f>
        <v/>
      </c>
      <c r="D97" s="20" t="str">
        <f>IF('DDF Original'!F97="","",'DDF Original'!F97)</f>
        <v/>
      </c>
      <c r="E97" s="38" t="str">
        <f>'Recálculo Confissão (85-B)'!N97</f>
        <v/>
      </c>
      <c r="F97" s="20" t="str">
        <f t="shared" si="2"/>
        <v/>
      </c>
      <c r="G97" s="20" t="str">
        <f t="shared" si="3"/>
        <v/>
      </c>
    </row>
    <row r="98" spans="2:7" x14ac:dyDescent="0.2">
      <c r="B98" s="19" t="str">
        <f>IF('DDF Original'!B98="","",'DDF Original'!B98)</f>
        <v/>
      </c>
      <c r="C98" s="20" t="str">
        <f>IF('DDF Original'!C98="","",'DDF Original'!C98)</f>
        <v/>
      </c>
      <c r="D98" s="20" t="str">
        <f>IF('DDF Original'!F98="","",'DDF Original'!F98)</f>
        <v/>
      </c>
      <c r="E98" s="38" t="str">
        <f>'Recálculo Confissão (85-B)'!N98</f>
        <v/>
      </c>
      <c r="F98" s="20" t="str">
        <f t="shared" si="2"/>
        <v/>
      </c>
      <c r="G98" s="20" t="str">
        <f t="shared" si="3"/>
        <v/>
      </c>
    </row>
    <row r="99" spans="2:7" x14ac:dyDescent="0.2">
      <c r="B99" s="19" t="str">
        <f>IF('DDF Original'!B99="","",'DDF Original'!B99)</f>
        <v/>
      </c>
      <c r="C99" s="20" t="str">
        <f>IF('DDF Original'!C99="","",'DDF Original'!C99)</f>
        <v/>
      </c>
      <c r="D99" s="20" t="str">
        <f>IF('DDF Original'!F99="","",'DDF Original'!F99)</f>
        <v/>
      </c>
      <c r="E99" s="38" t="str">
        <f>'Recálculo Confissão (85-B)'!N99</f>
        <v/>
      </c>
      <c r="F99" s="20" t="str">
        <f t="shared" si="2"/>
        <v/>
      </c>
      <c r="G99" s="20" t="str">
        <f t="shared" si="3"/>
        <v/>
      </c>
    </row>
    <row r="100" spans="2:7" x14ac:dyDescent="0.2">
      <c r="B100" s="19" t="str">
        <f>IF('DDF Original'!B100="","",'DDF Original'!B100)</f>
        <v/>
      </c>
      <c r="C100" s="20" t="str">
        <f>IF('DDF Original'!C100="","",'DDF Original'!C100)</f>
        <v/>
      </c>
      <c r="D100" s="20" t="str">
        <f>IF('DDF Original'!F100="","",'DDF Original'!F100)</f>
        <v/>
      </c>
      <c r="E100" s="38" t="str">
        <f>'Recálculo Confissão (85-B)'!N100</f>
        <v/>
      </c>
      <c r="F100" s="20" t="str">
        <f t="shared" si="2"/>
        <v/>
      </c>
      <c r="G100" s="20" t="str">
        <f t="shared" si="3"/>
        <v/>
      </c>
    </row>
    <row r="101" spans="2:7" x14ac:dyDescent="0.2">
      <c r="B101" s="19" t="str">
        <f>IF('DDF Original'!B101="","",'DDF Original'!B101)</f>
        <v/>
      </c>
      <c r="C101" s="20" t="str">
        <f>IF('DDF Original'!C101="","",'DDF Original'!C101)</f>
        <v/>
      </c>
      <c r="D101" s="20" t="str">
        <f>IF('DDF Original'!F101="","",'DDF Original'!F101)</f>
        <v/>
      </c>
      <c r="E101" s="38" t="str">
        <f>'Recálculo Confissão (85-B)'!N101</f>
        <v/>
      </c>
      <c r="F101" s="20" t="str">
        <f t="shared" si="2"/>
        <v/>
      </c>
      <c r="G101" s="20" t="str">
        <f t="shared" si="3"/>
        <v/>
      </c>
    </row>
    <row r="102" spans="2:7" x14ac:dyDescent="0.2">
      <c r="B102" s="19" t="str">
        <f>IF('DDF Original'!B102="","",'DDF Original'!B102)</f>
        <v/>
      </c>
      <c r="C102" s="20" t="str">
        <f>IF('DDF Original'!C102="","",'DDF Original'!C102)</f>
        <v/>
      </c>
      <c r="D102" s="20" t="str">
        <f>IF('DDF Original'!F102="","",'DDF Original'!F102)</f>
        <v/>
      </c>
      <c r="E102" s="38" t="str">
        <f>'Recálculo Confissão (85-B)'!N102</f>
        <v/>
      </c>
      <c r="F102" s="20" t="str">
        <f t="shared" si="2"/>
        <v/>
      </c>
      <c r="G102" s="20" t="str">
        <f t="shared" si="3"/>
        <v/>
      </c>
    </row>
    <row r="103" spans="2:7" x14ac:dyDescent="0.2">
      <c r="B103" s="19" t="str">
        <f>IF('DDF Original'!B103="","",'DDF Original'!B103)</f>
        <v/>
      </c>
      <c r="C103" s="20" t="str">
        <f>IF('DDF Original'!C103="","",'DDF Original'!C103)</f>
        <v/>
      </c>
      <c r="D103" s="20" t="str">
        <f>IF('DDF Original'!F103="","",'DDF Original'!F103)</f>
        <v/>
      </c>
      <c r="E103" s="38" t="str">
        <f>'Recálculo Confissão (85-B)'!N103</f>
        <v/>
      </c>
      <c r="F103" s="20" t="str">
        <f t="shared" si="2"/>
        <v/>
      </c>
      <c r="G103" s="20" t="str">
        <f t="shared" si="3"/>
        <v/>
      </c>
    </row>
    <row r="104" spans="2:7" x14ac:dyDescent="0.2">
      <c r="B104" s="19" t="str">
        <f>IF('DDF Original'!B104="","",'DDF Original'!B104)</f>
        <v/>
      </c>
      <c r="C104" s="20" t="str">
        <f>IF('DDF Original'!C104="","",'DDF Original'!C104)</f>
        <v/>
      </c>
      <c r="D104" s="20" t="str">
        <f>IF('DDF Original'!F104="","",'DDF Original'!F104)</f>
        <v/>
      </c>
      <c r="E104" s="38" t="str">
        <f>'Recálculo Confissão (85-B)'!N104</f>
        <v/>
      </c>
      <c r="F104" s="20" t="str">
        <f t="shared" si="2"/>
        <v/>
      </c>
      <c r="G104" s="20" t="str">
        <f t="shared" si="3"/>
        <v/>
      </c>
    </row>
    <row r="105" spans="2:7" x14ac:dyDescent="0.2">
      <c r="B105" s="19" t="str">
        <f>IF('DDF Original'!B105="","",'DDF Original'!B105)</f>
        <v/>
      </c>
      <c r="C105" s="20" t="str">
        <f>IF('DDF Original'!C105="","",'DDF Original'!C105)</f>
        <v/>
      </c>
      <c r="D105" s="20" t="str">
        <f>IF('DDF Original'!F105="","",'DDF Original'!F105)</f>
        <v/>
      </c>
      <c r="E105" s="38" t="str">
        <f>'Recálculo Confissão (85-B)'!N105</f>
        <v/>
      </c>
      <c r="F105" s="20" t="str">
        <f t="shared" si="2"/>
        <v/>
      </c>
      <c r="G105" s="20" t="str">
        <f t="shared" si="3"/>
        <v/>
      </c>
    </row>
    <row r="106" spans="2:7" x14ac:dyDescent="0.2">
      <c r="B106" s="19" t="str">
        <f>IF('DDF Original'!B106="","",'DDF Original'!B106)</f>
        <v/>
      </c>
      <c r="C106" s="20" t="str">
        <f>IF('DDF Original'!C106="","",'DDF Original'!C106)</f>
        <v/>
      </c>
      <c r="D106" s="20" t="str">
        <f>IF('DDF Original'!F106="","",'DDF Original'!F106)</f>
        <v/>
      </c>
      <c r="E106" s="38" t="str">
        <f>'Recálculo Confissão (85-B)'!N106</f>
        <v/>
      </c>
      <c r="F106" s="20" t="str">
        <f t="shared" si="2"/>
        <v/>
      </c>
      <c r="G106" s="20" t="str">
        <f t="shared" si="3"/>
        <v/>
      </c>
    </row>
    <row r="107" spans="2:7" x14ac:dyDescent="0.2">
      <c r="B107" s="19" t="str">
        <f>IF('DDF Original'!B107="","",'DDF Original'!B107)</f>
        <v/>
      </c>
      <c r="C107" s="20" t="str">
        <f>IF('DDF Original'!C107="","",'DDF Original'!C107)</f>
        <v/>
      </c>
      <c r="D107" s="20" t="str">
        <f>IF('DDF Original'!F107="","",'DDF Original'!F107)</f>
        <v/>
      </c>
      <c r="E107" s="38" t="str">
        <f>'Recálculo Confissão (85-B)'!N107</f>
        <v/>
      </c>
      <c r="F107" s="20" t="str">
        <f t="shared" si="2"/>
        <v/>
      </c>
      <c r="G107" s="20" t="str">
        <f t="shared" si="3"/>
        <v/>
      </c>
    </row>
    <row r="108" spans="2:7" x14ac:dyDescent="0.2">
      <c r="B108" s="19" t="str">
        <f>IF('DDF Original'!B108="","",'DDF Original'!B108)</f>
        <v/>
      </c>
      <c r="C108" s="20" t="str">
        <f>IF('DDF Original'!C108="","",'DDF Original'!C108)</f>
        <v/>
      </c>
      <c r="D108" s="20" t="str">
        <f>IF('DDF Original'!F108="","",'DDF Original'!F108)</f>
        <v/>
      </c>
      <c r="E108" s="38" t="str">
        <f>'Recálculo Confissão (85-B)'!N108</f>
        <v/>
      </c>
      <c r="F108" s="20" t="str">
        <f t="shared" si="2"/>
        <v/>
      </c>
      <c r="G108" s="20" t="str">
        <f t="shared" si="3"/>
        <v/>
      </c>
    </row>
    <row r="109" spans="2:7" x14ac:dyDescent="0.2">
      <c r="B109" s="19" t="str">
        <f>IF('DDF Original'!B109="","",'DDF Original'!B109)</f>
        <v/>
      </c>
      <c r="C109" s="20" t="str">
        <f>IF('DDF Original'!C109="","",'DDF Original'!C109)</f>
        <v/>
      </c>
      <c r="D109" s="20" t="str">
        <f>IF('DDF Original'!F109="","",'DDF Original'!F109)</f>
        <v/>
      </c>
      <c r="E109" s="38" t="str">
        <f>'Recálculo Confissão (85-B)'!N109</f>
        <v/>
      </c>
      <c r="F109" s="20" t="str">
        <f t="shared" si="2"/>
        <v/>
      </c>
      <c r="G109" s="20" t="str">
        <f t="shared" si="3"/>
        <v/>
      </c>
    </row>
    <row r="110" spans="2:7" x14ac:dyDescent="0.2">
      <c r="B110" s="19" t="str">
        <f>IF('DDF Original'!B110="","",'DDF Original'!B110)</f>
        <v/>
      </c>
      <c r="C110" s="20" t="str">
        <f>IF('DDF Original'!C110="","",'DDF Original'!C110)</f>
        <v/>
      </c>
      <c r="D110" s="20" t="str">
        <f>IF('DDF Original'!F110="","",'DDF Original'!F110)</f>
        <v/>
      </c>
      <c r="E110" s="38" t="str">
        <f>'Recálculo Confissão (85-B)'!N110</f>
        <v/>
      </c>
      <c r="F110" s="20" t="str">
        <f t="shared" si="2"/>
        <v/>
      </c>
      <c r="G110" s="20" t="str">
        <f t="shared" si="3"/>
        <v/>
      </c>
    </row>
    <row r="111" spans="2:7" x14ac:dyDescent="0.2">
      <c r="B111" s="19" t="str">
        <f>IF('DDF Original'!B111="","",'DDF Original'!B111)</f>
        <v/>
      </c>
      <c r="C111" s="20" t="str">
        <f>IF('DDF Original'!C111="","",'DDF Original'!C111)</f>
        <v/>
      </c>
      <c r="D111" s="20" t="str">
        <f>IF('DDF Original'!F111="","",'DDF Original'!F111)</f>
        <v/>
      </c>
      <c r="E111" s="38" t="str">
        <f>'Recálculo Confissão (85-B)'!N111</f>
        <v/>
      </c>
      <c r="F111" s="20" t="str">
        <f t="shared" si="2"/>
        <v/>
      </c>
      <c r="G111" s="20" t="str">
        <f t="shared" si="3"/>
        <v/>
      </c>
    </row>
    <row r="112" spans="2:7" x14ac:dyDescent="0.2">
      <c r="B112" s="19" t="str">
        <f>IF('DDF Original'!B112="","",'DDF Original'!B112)</f>
        <v/>
      </c>
      <c r="C112" s="20" t="str">
        <f>IF('DDF Original'!C112="","",'DDF Original'!C112)</f>
        <v/>
      </c>
      <c r="D112" s="20" t="str">
        <f>IF('DDF Original'!F112="","",'DDF Original'!F112)</f>
        <v/>
      </c>
      <c r="E112" s="38" t="str">
        <f>'Recálculo Confissão (85-B)'!N112</f>
        <v/>
      </c>
      <c r="F112" s="20" t="str">
        <f t="shared" si="2"/>
        <v/>
      </c>
      <c r="G112" s="20" t="str">
        <f t="shared" si="3"/>
        <v/>
      </c>
    </row>
    <row r="113" spans="2:7" x14ac:dyDescent="0.2">
      <c r="B113" s="19" t="str">
        <f>IF('DDF Original'!B113="","",'DDF Original'!B113)</f>
        <v/>
      </c>
      <c r="C113" s="20" t="str">
        <f>IF('DDF Original'!C113="","",'DDF Original'!C113)</f>
        <v/>
      </c>
      <c r="D113" s="20" t="str">
        <f>IF('DDF Original'!F113="","",'DDF Original'!F113)</f>
        <v/>
      </c>
      <c r="E113" s="38" t="str">
        <f>'Recálculo Confissão (85-B)'!N113</f>
        <v/>
      </c>
      <c r="F113" s="20" t="str">
        <f t="shared" si="2"/>
        <v/>
      </c>
      <c r="G113" s="20" t="str">
        <f t="shared" si="3"/>
        <v/>
      </c>
    </row>
    <row r="114" spans="2:7" x14ac:dyDescent="0.2">
      <c r="B114" s="19" t="str">
        <f>IF('DDF Original'!B114="","",'DDF Original'!B114)</f>
        <v/>
      </c>
      <c r="C114" s="20" t="str">
        <f>IF('DDF Original'!C114="","",'DDF Original'!C114)</f>
        <v/>
      </c>
      <c r="D114" s="20" t="str">
        <f>IF('DDF Original'!F114="","",'DDF Original'!F114)</f>
        <v/>
      </c>
      <c r="E114" s="38" t="str">
        <f>'Recálculo Confissão (85-B)'!N114</f>
        <v/>
      </c>
      <c r="F114" s="20" t="str">
        <f t="shared" si="2"/>
        <v/>
      </c>
      <c r="G114" s="20" t="str">
        <f t="shared" si="3"/>
        <v/>
      </c>
    </row>
    <row r="115" spans="2:7" x14ac:dyDescent="0.2">
      <c r="B115" s="19" t="str">
        <f>IF('DDF Original'!B115="","",'DDF Original'!B115)</f>
        <v/>
      </c>
      <c r="C115" s="20" t="str">
        <f>IF('DDF Original'!C115="","",'DDF Original'!C115)</f>
        <v/>
      </c>
      <c r="D115" s="20" t="str">
        <f>IF('DDF Original'!F115="","",'DDF Original'!F115)</f>
        <v/>
      </c>
      <c r="E115" s="38" t="str">
        <f>'Recálculo Confissão (85-B)'!N115</f>
        <v/>
      </c>
      <c r="F115" s="20" t="str">
        <f t="shared" si="2"/>
        <v/>
      </c>
      <c r="G115" s="20" t="str">
        <f t="shared" si="3"/>
        <v/>
      </c>
    </row>
    <row r="116" spans="2:7" x14ac:dyDescent="0.2">
      <c r="B116" s="19" t="str">
        <f>IF('DDF Original'!B116="","",'DDF Original'!B116)</f>
        <v/>
      </c>
      <c r="C116" s="20" t="str">
        <f>IF('DDF Original'!C116="","",'DDF Original'!C116)</f>
        <v/>
      </c>
      <c r="D116" s="20" t="str">
        <f>IF('DDF Original'!F116="","",'DDF Original'!F116)</f>
        <v/>
      </c>
      <c r="E116" s="38" t="str">
        <f>'Recálculo Confissão (85-B)'!N116</f>
        <v/>
      </c>
      <c r="F116" s="20" t="str">
        <f t="shared" si="2"/>
        <v/>
      </c>
      <c r="G116" s="20" t="str">
        <f t="shared" si="3"/>
        <v/>
      </c>
    </row>
    <row r="117" spans="2:7" x14ac:dyDescent="0.2">
      <c r="B117" s="19" t="str">
        <f>IF('DDF Original'!B117="","",'DDF Original'!B117)</f>
        <v/>
      </c>
      <c r="C117" s="20" t="str">
        <f>IF('DDF Original'!C117="","",'DDF Original'!C117)</f>
        <v/>
      </c>
      <c r="D117" s="20" t="str">
        <f>IF('DDF Original'!F117="","",'DDF Original'!F117)</f>
        <v/>
      </c>
      <c r="E117" s="38" t="str">
        <f>'Recálculo Confissão (85-B)'!N117</f>
        <v/>
      </c>
      <c r="F117" s="20" t="str">
        <f t="shared" si="2"/>
        <v/>
      </c>
      <c r="G117" s="20" t="str">
        <f t="shared" si="3"/>
        <v/>
      </c>
    </row>
    <row r="118" spans="2:7" x14ac:dyDescent="0.2">
      <c r="B118" s="19" t="str">
        <f>IF('DDF Original'!B118="","",'DDF Original'!B118)</f>
        <v/>
      </c>
      <c r="C118" s="20" t="str">
        <f>IF('DDF Original'!C118="","",'DDF Original'!C118)</f>
        <v/>
      </c>
      <c r="D118" s="20" t="str">
        <f>IF('DDF Original'!F118="","",'DDF Original'!F118)</f>
        <v/>
      </c>
      <c r="E118" s="38" t="str">
        <f>'Recálculo Confissão (85-B)'!N118</f>
        <v/>
      </c>
      <c r="F118" s="20" t="str">
        <f t="shared" si="2"/>
        <v/>
      </c>
      <c r="G118" s="20" t="str">
        <f t="shared" si="3"/>
        <v/>
      </c>
    </row>
    <row r="119" spans="2:7" x14ac:dyDescent="0.2">
      <c r="B119" s="19" t="str">
        <f>IF('DDF Original'!B119="","",'DDF Original'!B119)</f>
        <v/>
      </c>
      <c r="C119" s="20" t="str">
        <f>IF('DDF Original'!C119="","",'DDF Original'!C119)</f>
        <v/>
      </c>
      <c r="D119" s="20" t="str">
        <f>IF('DDF Original'!F119="","",'DDF Original'!F119)</f>
        <v/>
      </c>
      <c r="E119" s="38" t="str">
        <f>'Recálculo Confissão (85-B)'!N119</f>
        <v/>
      </c>
      <c r="F119" s="20" t="str">
        <f t="shared" si="2"/>
        <v/>
      </c>
      <c r="G119" s="20" t="str">
        <f t="shared" si="3"/>
        <v/>
      </c>
    </row>
    <row r="120" spans="2:7" x14ac:dyDescent="0.2">
      <c r="B120" s="19" t="str">
        <f>IF('DDF Original'!B120="","",'DDF Original'!B120)</f>
        <v/>
      </c>
      <c r="C120" s="20" t="str">
        <f>IF('DDF Original'!C120="","",'DDF Original'!C120)</f>
        <v/>
      </c>
      <c r="D120" s="20" t="str">
        <f>IF('DDF Original'!F120="","",'DDF Original'!F120)</f>
        <v/>
      </c>
      <c r="E120" s="38" t="str">
        <f>'Recálculo Confissão (85-B)'!N120</f>
        <v/>
      </c>
      <c r="F120" s="20" t="str">
        <f t="shared" si="2"/>
        <v/>
      </c>
      <c r="G120" s="20" t="str">
        <f t="shared" si="3"/>
        <v/>
      </c>
    </row>
    <row r="121" spans="2:7" x14ac:dyDescent="0.2">
      <c r="B121" s="19" t="str">
        <f>IF('DDF Original'!B121="","",'DDF Original'!B121)</f>
        <v/>
      </c>
      <c r="C121" s="20" t="str">
        <f>IF('DDF Original'!C121="","",'DDF Original'!C121)</f>
        <v/>
      </c>
      <c r="D121" s="20" t="str">
        <f>IF('DDF Original'!F121="","",'DDF Original'!F121)</f>
        <v/>
      </c>
      <c r="E121" s="38" t="str">
        <f>'Recálculo Confissão (85-B)'!N121</f>
        <v/>
      </c>
      <c r="F121" s="20" t="str">
        <f t="shared" si="2"/>
        <v/>
      </c>
      <c r="G121" s="20" t="str">
        <f t="shared" si="3"/>
        <v/>
      </c>
    </row>
    <row r="122" spans="2:7" x14ac:dyDescent="0.2">
      <c r="B122" s="19" t="str">
        <f>IF('DDF Original'!B122="","",'DDF Original'!B122)</f>
        <v/>
      </c>
      <c r="C122" s="20" t="str">
        <f>IF('DDF Original'!C122="","",'DDF Original'!C122)</f>
        <v/>
      </c>
      <c r="D122" s="20" t="str">
        <f>IF('DDF Original'!F122="","",'DDF Original'!F122)</f>
        <v/>
      </c>
      <c r="E122" s="38" t="str">
        <f>'Recálculo Confissão (85-B)'!N122</f>
        <v/>
      </c>
      <c r="F122" s="20" t="str">
        <f t="shared" si="2"/>
        <v/>
      </c>
      <c r="G122" s="20" t="str">
        <f t="shared" si="3"/>
        <v/>
      </c>
    </row>
    <row r="123" spans="2:7" x14ac:dyDescent="0.2">
      <c r="B123" s="19" t="str">
        <f>IF('DDF Original'!B123="","",'DDF Original'!B123)</f>
        <v/>
      </c>
      <c r="C123" s="20" t="str">
        <f>IF('DDF Original'!C123="","",'DDF Original'!C123)</f>
        <v/>
      </c>
      <c r="D123" s="20" t="str">
        <f>IF('DDF Original'!F123="","",'DDF Original'!F123)</f>
        <v/>
      </c>
      <c r="E123" s="38" t="str">
        <f>'Recálculo Confissão (85-B)'!N123</f>
        <v/>
      </c>
      <c r="F123" s="20" t="str">
        <f t="shared" si="2"/>
        <v/>
      </c>
      <c r="G123" s="20" t="str">
        <f t="shared" si="3"/>
        <v/>
      </c>
    </row>
    <row r="124" spans="2:7" x14ac:dyDescent="0.2">
      <c r="B124" s="19" t="str">
        <f>IF('DDF Original'!B124="","",'DDF Original'!B124)</f>
        <v/>
      </c>
      <c r="C124" s="20" t="str">
        <f>IF('DDF Original'!C124="","",'DDF Original'!C124)</f>
        <v/>
      </c>
      <c r="D124" s="20" t="str">
        <f>IF('DDF Original'!F124="","",'DDF Original'!F124)</f>
        <v/>
      </c>
      <c r="E124" s="38" t="str">
        <f>'Recálculo Confissão (85-B)'!N124</f>
        <v/>
      </c>
      <c r="F124" s="20" t="str">
        <f t="shared" si="2"/>
        <v/>
      </c>
      <c r="G124" s="20" t="str">
        <f t="shared" si="3"/>
        <v/>
      </c>
    </row>
    <row r="125" spans="2:7" x14ac:dyDescent="0.2">
      <c r="B125" s="19" t="str">
        <f>IF('DDF Original'!B125="","",'DDF Original'!B125)</f>
        <v/>
      </c>
      <c r="C125" s="20" t="str">
        <f>IF('DDF Original'!C125="","",'DDF Original'!C125)</f>
        <v/>
      </c>
      <c r="D125" s="20" t="str">
        <f>IF('DDF Original'!F125="","",'DDF Original'!F125)</f>
        <v/>
      </c>
      <c r="E125" s="38" t="str">
        <f>'Recálculo Confissão (85-B)'!N125</f>
        <v/>
      </c>
      <c r="F125" s="20" t="str">
        <f t="shared" si="2"/>
        <v/>
      </c>
      <c r="G125" s="20" t="str">
        <f t="shared" si="3"/>
        <v/>
      </c>
    </row>
    <row r="126" spans="2:7" x14ac:dyDescent="0.2">
      <c r="B126" s="19" t="str">
        <f>IF('DDF Original'!B126="","",'DDF Original'!B126)</f>
        <v/>
      </c>
      <c r="C126" s="20" t="str">
        <f>IF('DDF Original'!C126="","",'DDF Original'!C126)</f>
        <v/>
      </c>
      <c r="D126" s="20" t="str">
        <f>IF('DDF Original'!F126="","",'DDF Original'!F126)</f>
        <v/>
      </c>
      <c r="E126" s="38" t="str">
        <f>'Recálculo Confissão (85-B)'!N126</f>
        <v/>
      </c>
      <c r="F126" s="20" t="str">
        <f t="shared" si="2"/>
        <v/>
      </c>
      <c r="G126" s="20" t="str">
        <f t="shared" si="3"/>
        <v/>
      </c>
    </row>
    <row r="127" spans="2:7" x14ac:dyDescent="0.2">
      <c r="B127" s="19" t="str">
        <f>IF('DDF Original'!B127="","",'DDF Original'!B127)</f>
        <v/>
      </c>
      <c r="C127" s="20" t="str">
        <f>IF('DDF Original'!C127="","",'DDF Original'!C127)</f>
        <v/>
      </c>
      <c r="D127" s="20" t="str">
        <f>IF('DDF Original'!F127="","",'DDF Original'!F127)</f>
        <v/>
      </c>
      <c r="E127" s="38" t="str">
        <f>'Recálculo Confissão (85-B)'!N127</f>
        <v/>
      </c>
      <c r="F127" s="20" t="str">
        <f t="shared" si="2"/>
        <v/>
      </c>
      <c r="G127" s="20" t="str">
        <f t="shared" si="3"/>
        <v/>
      </c>
    </row>
    <row r="128" spans="2:7" x14ac:dyDescent="0.2">
      <c r="B128" s="19" t="str">
        <f>IF('DDF Original'!B128="","",'DDF Original'!B128)</f>
        <v/>
      </c>
      <c r="C128" s="20" t="str">
        <f>IF('DDF Original'!C128="","",'DDF Original'!C128)</f>
        <v/>
      </c>
      <c r="D128" s="20" t="str">
        <f>IF('DDF Original'!F128="","",'DDF Original'!F128)</f>
        <v/>
      </c>
      <c r="E128" s="38" t="str">
        <f>'Recálculo Confissão (85-B)'!N128</f>
        <v/>
      </c>
      <c r="F128" s="20" t="str">
        <f t="shared" si="2"/>
        <v/>
      </c>
      <c r="G128" s="20" t="str">
        <f t="shared" si="3"/>
        <v/>
      </c>
    </row>
    <row r="129" spans="2:7" x14ac:dyDescent="0.2">
      <c r="B129" s="19" t="str">
        <f>IF('DDF Original'!B129="","",'DDF Original'!B129)</f>
        <v/>
      </c>
      <c r="C129" s="20" t="str">
        <f>IF('DDF Original'!C129="","",'DDF Original'!C129)</f>
        <v/>
      </c>
      <c r="D129" s="20" t="str">
        <f>IF('DDF Original'!F129="","",'DDF Original'!F129)</f>
        <v/>
      </c>
      <c r="E129" s="38" t="str">
        <f>'Recálculo Confissão (85-B)'!N129</f>
        <v/>
      </c>
      <c r="F129" s="20" t="str">
        <f t="shared" si="2"/>
        <v/>
      </c>
      <c r="G129" s="20" t="str">
        <f t="shared" si="3"/>
        <v/>
      </c>
    </row>
    <row r="130" spans="2:7" x14ac:dyDescent="0.2">
      <c r="B130" s="19" t="str">
        <f>IF('DDF Original'!B130="","",'DDF Original'!B130)</f>
        <v/>
      </c>
      <c r="C130" s="20" t="str">
        <f>IF('DDF Original'!C130="","",'DDF Original'!C130)</f>
        <v/>
      </c>
      <c r="D130" s="20" t="str">
        <f>IF('DDF Original'!F130="","",'DDF Original'!F130)</f>
        <v/>
      </c>
      <c r="E130" s="38" t="str">
        <f>'Recálculo Confissão (85-B)'!N130</f>
        <v/>
      </c>
      <c r="F130" s="20" t="str">
        <f t="shared" si="2"/>
        <v/>
      </c>
      <c r="G130" s="20" t="str">
        <f t="shared" si="3"/>
        <v/>
      </c>
    </row>
    <row r="131" spans="2:7" x14ac:dyDescent="0.2">
      <c r="B131" s="19" t="str">
        <f>IF('DDF Original'!B131="","",'DDF Original'!B131)</f>
        <v/>
      </c>
      <c r="C131" s="20" t="str">
        <f>IF('DDF Original'!C131="","",'DDF Original'!C131)</f>
        <v/>
      </c>
      <c r="D131" s="20" t="str">
        <f>IF('DDF Original'!F131="","",'DDF Original'!F131)</f>
        <v/>
      </c>
      <c r="E131" s="38" t="str">
        <f>'Recálculo Confissão (85-B)'!N131</f>
        <v/>
      </c>
      <c r="F131" s="20" t="str">
        <f t="shared" si="2"/>
        <v/>
      </c>
      <c r="G131" s="20" t="str">
        <f t="shared" si="3"/>
        <v/>
      </c>
    </row>
    <row r="132" spans="2:7" x14ac:dyDescent="0.2">
      <c r="B132" s="19" t="str">
        <f>IF('DDF Original'!B132="","",'DDF Original'!B132)</f>
        <v/>
      </c>
      <c r="C132" s="20" t="str">
        <f>IF('DDF Original'!C132="","",'DDF Original'!C132)</f>
        <v/>
      </c>
      <c r="D132" s="20" t="str">
        <f>IF('DDF Original'!F132="","",'DDF Original'!F132)</f>
        <v/>
      </c>
      <c r="E132" s="38" t="str">
        <f>'Recálculo Confissão (85-B)'!N132</f>
        <v/>
      </c>
      <c r="F132" s="20" t="str">
        <f t="shared" si="2"/>
        <v/>
      </c>
      <c r="G132" s="20" t="str">
        <f t="shared" si="3"/>
        <v/>
      </c>
    </row>
    <row r="133" spans="2:7" x14ac:dyDescent="0.2">
      <c r="B133" s="19" t="str">
        <f>IF('DDF Original'!B133="","",'DDF Original'!B133)</f>
        <v/>
      </c>
      <c r="C133" s="20" t="str">
        <f>IF('DDF Original'!C133="","",'DDF Original'!C133)</f>
        <v/>
      </c>
      <c r="D133" s="20" t="str">
        <f>IF('DDF Original'!F133="","",'DDF Original'!F133)</f>
        <v/>
      </c>
      <c r="E133" s="38" t="str">
        <f>'Recálculo Confissão (85-B)'!N133</f>
        <v/>
      </c>
      <c r="F133" s="20" t="str">
        <f t="shared" si="2"/>
        <v/>
      </c>
      <c r="G133" s="20" t="str">
        <f t="shared" si="3"/>
        <v/>
      </c>
    </row>
    <row r="134" spans="2:7" x14ac:dyDescent="0.2">
      <c r="B134" s="19" t="str">
        <f>IF('DDF Original'!B134="","",'DDF Original'!B134)</f>
        <v/>
      </c>
      <c r="C134" s="20" t="str">
        <f>IF('DDF Original'!C134="","",'DDF Original'!C134)</f>
        <v/>
      </c>
      <c r="D134" s="20" t="str">
        <f>IF('DDF Original'!F134="","",'DDF Original'!F134)</f>
        <v/>
      </c>
      <c r="E134" s="38" t="str">
        <f>'Recálculo Confissão (85-B)'!N134</f>
        <v/>
      </c>
      <c r="F134" s="20" t="str">
        <f t="shared" si="2"/>
        <v/>
      </c>
      <c r="G134" s="20" t="str">
        <f t="shared" si="3"/>
        <v/>
      </c>
    </row>
    <row r="135" spans="2:7" x14ac:dyDescent="0.2">
      <c r="B135" s="19" t="str">
        <f>IF('DDF Original'!B135="","",'DDF Original'!B135)</f>
        <v/>
      </c>
      <c r="C135" s="20" t="str">
        <f>IF('DDF Original'!C135="","",'DDF Original'!C135)</f>
        <v/>
      </c>
      <c r="D135" s="20" t="str">
        <f>IF('DDF Original'!F135="","",'DDF Original'!F135)</f>
        <v/>
      </c>
      <c r="E135" s="38" t="str">
        <f>'Recálculo Confissão (85-B)'!N135</f>
        <v/>
      </c>
      <c r="F135" s="20" t="str">
        <f t="shared" si="2"/>
        <v/>
      </c>
      <c r="G135" s="20" t="str">
        <f t="shared" si="3"/>
        <v/>
      </c>
    </row>
    <row r="136" spans="2:7" x14ac:dyDescent="0.2">
      <c r="B136" s="19" t="str">
        <f>IF('DDF Original'!B136="","",'DDF Original'!B136)</f>
        <v/>
      </c>
      <c r="C136" s="20" t="str">
        <f>IF('DDF Original'!C136="","",'DDF Original'!C136)</f>
        <v/>
      </c>
      <c r="D136" s="20" t="str">
        <f>IF('DDF Original'!F136="","",'DDF Original'!F136)</f>
        <v/>
      </c>
      <c r="E136" s="38" t="str">
        <f>'Recálculo Confissão (85-B)'!N136</f>
        <v/>
      </c>
      <c r="F136" s="20" t="str">
        <f t="shared" si="2"/>
        <v/>
      </c>
      <c r="G136" s="20" t="str">
        <f t="shared" si="3"/>
        <v/>
      </c>
    </row>
    <row r="137" spans="2:7" x14ac:dyDescent="0.2">
      <c r="B137" s="19" t="str">
        <f>IF('DDF Original'!B137="","",'DDF Original'!B137)</f>
        <v/>
      </c>
      <c r="C137" s="20" t="str">
        <f>IF('DDF Original'!C137="","",'DDF Original'!C137)</f>
        <v/>
      </c>
      <c r="D137" s="20" t="str">
        <f>IF('DDF Original'!F137="","",'DDF Original'!F137)</f>
        <v/>
      </c>
      <c r="E137" s="38" t="str">
        <f>'Recálculo Confissão (85-B)'!N137</f>
        <v/>
      </c>
      <c r="F137" s="20" t="str">
        <f t="shared" si="2"/>
        <v/>
      </c>
      <c r="G137" s="20" t="str">
        <f t="shared" si="3"/>
        <v/>
      </c>
    </row>
    <row r="138" spans="2:7" x14ac:dyDescent="0.2">
      <c r="B138" s="19" t="str">
        <f>IF('DDF Original'!B138="","",'DDF Original'!B138)</f>
        <v/>
      </c>
      <c r="C138" s="20" t="str">
        <f>IF('DDF Original'!C138="","",'DDF Original'!C138)</f>
        <v/>
      </c>
      <c r="D138" s="20" t="str">
        <f>IF('DDF Original'!F138="","",'DDF Original'!F138)</f>
        <v/>
      </c>
      <c r="E138" s="38" t="str">
        <f>'Recálculo Confissão (85-B)'!N138</f>
        <v/>
      </c>
      <c r="F138" s="20" t="str">
        <f t="shared" ref="F138:F201" si="4">IF(E138="","",ROUND(E138*(1-70%),2))</f>
        <v/>
      </c>
      <c r="G138" s="20" t="str">
        <f t="shared" ref="G138:G201" si="5">IF(E138="","",ROUND(E138*(1-60%),2))</f>
        <v/>
      </c>
    </row>
    <row r="139" spans="2:7" x14ac:dyDescent="0.2">
      <c r="B139" s="19" t="str">
        <f>IF('DDF Original'!B139="","",'DDF Original'!B139)</f>
        <v/>
      </c>
      <c r="C139" s="20" t="str">
        <f>IF('DDF Original'!C139="","",'DDF Original'!C139)</f>
        <v/>
      </c>
      <c r="D139" s="20" t="str">
        <f>IF('DDF Original'!F139="","",'DDF Original'!F139)</f>
        <v/>
      </c>
      <c r="E139" s="38" t="str">
        <f>'Recálculo Confissão (85-B)'!N139</f>
        <v/>
      </c>
      <c r="F139" s="20" t="str">
        <f t="shared" si="4"/>
        <v/>
      </c>
      <c r="G139" s="20" t="str">
        <f t="shared" si="5"/>
        <v/>
      </c>
    </row>
    <row r="140" spans="2:7" x14ac:dyDescent="0.2">
      <c r="B140" s="19" t="str">
        <f>IF('DDF Original'!B140="","",'DDF Original'!B140)</f>
        <v/>
      </c>
      <c r="C140" s="20" t="str">
        <f>IF('DDF Original'!C140="","",'DDF Original'!C140)</f>
        <v/>
      </c>
      <c r="D140" s="20" t="str">
        <f>IF('DDF Original'!F140="","",'DDF Original'!F140)</f>
        <v/>
      </c>
      <c r="E140" s="38" t="str">
        <f>'Recálculo Confissão (85-B)'!N140</f>
        <v/>
      </c>
      <c r="F140" s="20" t="str">
        <f t="shared" si="4"/>
        <v/>
      </c>
      <c r="G140" s="20" t="str">
        <f t="shared" si="5"/>
        <v/>
      </c>
    </row>
    <row r="141" spans="2:7" x14ac:dyDescent="0.2">
      <c r="B141" s="19" t="str">
        <f>IF('DDF Original'!B141="","",'DDF Original'!B141)</f>
        <v/>
      </c>
      <c r="C141" s="20" t="str">
        <f>IF('DDF Original'!C141="","",'DDF Original'!C141)</f>
        <v/>
      </c>
      <c r="D141" s="20" t="str">
        <f>IF('DDF Original'!F141="","",'DDF Original'!F141)</f>
        <v/>
      </c>
      <c r="E141" s="38" t="str">
        <f>'Recálculo Confissão (85-B)'!N141</f>
        <v/>
      </c>
      <c r="F141" s="20" t="str">
        <f t="shared" si="4"/>
        <v/>
      </c>
      <c r="G141" s="20" t="str">
        <f t="shared" si="5"/>
        <v/>
      </c>
    </row>
    <row r="142" spans="2:7" x14ac:dyDescent="0.2">
      <c r="B142" s="19" t="str">
        <f>IF('DDF Original'!B142="","",'DDF Original'!B142)</f>
        <v/>
      </c>
      <c r="C142" s="20" t="str">
        <f>IF('DDF Original'!C142="","",'DDF Original'!C142)</f>
        <v/>
      </c>
      <c r="D142" s="20" t="str">
        <f>IF('DDF Original'!F142="","",'DDF Original'!F142)</f>
        <v/>
      </c>
      <c r="E142" s="38" t="str">
        <f>'Recálculo Confissão (85-B)'!N142</f>
        <v/>
      </c>
      <c r="F142" s="20" t="str">
        <f t="shared" si="4"/>
        <v/>
      </c>
      <c r="G142" s="20" t="str">
        <f t="shared" si="5"/>
        <v/>
      </c>
    </row>
    <row r="143" spans="2:7" x14ac:dyDescent="0.2">
      <c r="B143" s="19" t="str">
        <f>IF('DDF Original'!B143="","",'DDF Original'!B143)</f>
        <v/>
      </c>
      <c r="C143" s="20" t="str">
        <f>IF('DDF Original'!C143="","",'DDF Original'!C143)</f>
        <v/>
      </c>
      <c r="D143" s="20" t="str">
        <f>IF('DDF Original'!F143="","",'DDF Original'!F143)</f>
        <v/>
      </c>
      <c r="E143" s="38" t="str">
        <f>'Recálculo Confissão (85-B)'!N143</f>
        <v/>
      </c>
      <c r="F143" s="20" t="str">
        <f t="shared" si="4"/>
        <v/>
      </c>
      <c r="G143" s="20" t="str">
        <f t="shared" si="5"/>
        <v/>
      </c>
    </row>
    <row r="144" spans="2:7" x14ac:dyDescent="0.2">
      <c r="B144" s="19" t="str">
        <f>IF('DDF Original'!B144="","",'DDF Original'!B144)</f>
        <v/>
      </c>
      <c r="C144" s="20" t="str">
        <f>IF('DDF Original'!C144="","",'DDF Original'!C144)</f>
        <v/>
      </c>
      <c r="D144" s="20" t="str">
        <f>IF('DDF Original'!F144="","",'DDF Original'!F144)</f>
        <v/>
      </c>
      <c r="E144" s="38" t="str">
        <f>'Recálculo Confissão (85-B)'!N144</f>
        <v/>
      </c>
      <c r="F144" s="20" t="str">
        <f t="shared" si="4"/>
        <v/>
      </c>
      <c r="G144" s="20" t="str">
        <f t="shared" si="5"/>
        <v/>
      </c>
    </row>
    <row r="145" spans="2:7" x14ac:dyDescent="0.2">
      <c r="B145" s="19" t="str">
        <f>IF('DDF Original'!B145="","",'DDF Original'!B145)</f>
        <v/>
      </c>
      <c r="C145" s="20" t="str">
        <f>IF('DDF Original'!C145="","",'DDF Original'!C145)</f>
        <v/>
      </c>
      <c r="D145" s="20" t="str">
        <f>IF('DDF Original'!F145="","",'DDF Original'!F145)</f>
        <v/>
      </c>
      <c r="E145" s="38" t="str">
        <f>'Recálculo Confissão (85-B)'!N145</f>
        <v/>
      </c>
      <c r="F145" s="20" t="str">
        <f t="shared" si="4"/>
        <v/>
      </c>
      <c r="G145" s="20" t="str">
        <f t="shared" si="5"/>
        <v/>
      </c>
    </row>
    <row r="146" spans="2:7" x14ac:dyDescent="0.2">
      <c r="B146" s="19" t="str">
        <f>IF('DDF Original'!B146="","",'DDF Original'!B146)</f>
        <v/>
      </c>
      <c r="C146" s="20" t="str">
        <f>IF('DDF Original'!C146="","",'DDF Original'!C146)</f>
        <v/>
      </c>
      <c r="D146" s="20" t="str">
        <f>IF('DDF Original'!F146="","",'DDF Original'!F146)</f>
        <v/>
      </c>
      <c r="E146" s="38" t="str">
        <f>'Recálculo Confissão (85-B)'!N146</f>
        <v/>
      </c>
      <c r="F146" s="20" t="str">
        <f t="shared" si="4"/>
        <v/>
      </c>
      <c r="G146" s="20" t="str">
        <f t="shared" si="5"/>
        <v/>
      </c>
    </row>
    <row r="147" spans="2:7" x14ac:dyDescent="0.2">
      <c r="B147" s="19" t="str">
        <f>IF('DDF Original'!B147="","",'DDF Original'!B147)</f>
        <v/>
      </c>
      <c r="C147" s="20" t="str">
        <f>IF('DDF Original'!C147="","",'DDF Original'!C147)</f>
        <v/>
      </c>
      <c r="D147" s="20" t="str">
        <f>IF('DDF Original'!F147="","",'DDF Original'!F147)</f>
        <v/>
      </c>
      <c r="E147" s="38" t="str">
        <f>'Recálculo Confissão (85-B)'!N147</f>
        <v/>
      </c>
      <c r="F147" s="20" t="str">
        <f t="shared" si="4"/>
        <v/>
      </c>
      <c r="G147" s="20" t="str">
        <f t="shared" si="5"/>
        <v/>
      </c>
    </row>
    <row r="148" spans="2:7" x14ac:dyDescent="0.2">
      <c r="B148" s="19" t="str">
        <f>IF('DDF Original'!B148="","",'DDF Original'!B148)</f>
        <v/>
      </c>
      <c r="C148" s="20" t="str">
        <f>IF('DDF Original'!C148="","",'DDF Original'!C148)</f>
        <v/>
      </c>
      <c r="D148" s="20" t="str">
        <f>IF('DDF Original'!F148="","",'DDF Original'!F148)</f>
        <v/>
      </c>
      <c r="E148" s="38" t="str">
        <f>'Recálculo Confissão (85-B)'!N148</f>
        <v/>
      </c>
      <c r="F148" s="20" t="str">
        <f t="shared" si="4"/>
        <v/>
      </c>
      <c r="G148" s="20" t="str">
        <f t="shared" si="5"/>
        <v/>
      </c>
    </row>
    <row r="149" spans="2:7" x14ac:dyDescent="0.2">
      <c r="B149" s="19" t="str">
        <f>IF('DDF Original'!B149="","",'DDF Original'!B149)</f>
        <v/>
      </c>
      <c r="C149" s="20" t="str">
        <f>IF('DDF Original'!C149="","",'DDF Original'!C149)</f>
        <v/>
      </c>
      <c r="D149" s="20" t="str">
        <f>IF('DDF Original'!F149="","",'DDF Original'!F149)</f>
        <v/>
      </c>
      <c r="E149" s="38" t="str">
        <f>'Recálculo Confissão (85-B)'!N149</f>
        <v/>
      </c>
      <c r="F149" s="20" t="str">
        <f t="shared" si="4"/>
        <v/>
      </c>
      <c r="G149" s="20" t="str">
        <f t="shared" si="5"/>
        <v/>
      </c>
    </row>
    <row r="150" spans="2:7" x14ac:dyDescent="0.2">
      <c r="B150" s="19" t="str">
        <f>IF('DDF Original'!B150="","",'DDF Original'!B150)</f>
        <v/>
      </c>
      <c r="C150" s="20" t="str">
        <f>IF('DDF Original'!C150="","",'DDF Original'!C150)</f>
        <v/>
      </c>
      <c r="D150" s="20" t="str">
        <f>IF('DDF Original'!F150="","",'DDF Original'!F150)</f>
        <v/>
      </c>
      <c r="E150" s="38" t="str">
        <f>'Recálculo Confissão (85-B)'!N150</f>
        <v/>
      </c>
      <c r="F150" s="20" t="str">
        <f t="shared" si="4"/>
        <v/>
      </c>
      <c r="G150" s="20" t="str">
        <f t="shared" si="5"/>
        <v/>
      </c>
    </row>
    <row r="151" spans="2:7" x14ac:dyDescent="0.2">
      <c r="B151" s="19" t="str">
        <f>IF('DDF Original'!B151="","",'DDF Original'!B151)</f>
        <v/>
      </c>
      <c r="C151" s="20" t="str">
        <f>IF('DDF Original'!C151="","",'DDF Original'!C151)</f>
        <v/>
      </c>
      <c r="D151" s="20" t="str">
        <f>IF('DDF Original'!F151="","",'DDF Original'!F151)</f>
        <v/>
      </c>
      <c r="E151" s="38" t="str">
        <f>'Recálculo Confissão (85-B)'!N151</f>
        <v/>
      </c>
      <c r="F151" s="20" t="str">
        <f t="shared" si="4"/>
        <v/>
      </c>
      <c r="G151" s="20" t="str">
        <f t="shared" si="5"/>
        <v/>
      </c>
    </row>
    <row r="152" spans="2:7" x14ac:dyDescent="0.2">
      <c r="B152" s="19" t="str">
        <f>IF('DDF Original'!B152="","",'DDF Original'!B152)</f>
        <v/>
      </c>
      <c r="C152" s="20" t="str">
        <f>IF('DDF Original'!C152="","",'DDF Original'!C152)</f>
        <v/>
      </c>
      <c r="D152" s="20" t="str">
        <f>IF('DDF Original'!F152="","",'DDF Original'!F152)</f>
        <v/>
      </c>
      <c r="E152" s="38" t="str">
        <f>'Recálculo Confissão (85-B)'!N152</f>
        <v/>
      </c>
      <c r="F152" s="20" t="str">
        <f t="shared" si="4"/>
        <v/>
      </c>
      <c r="G152" s="20" t="str">
        <f t="shared" si="5"/>
        <v/>
      </c>
    </row>
    <row r="153" spans="2:7" x14ac:dyDescent="0.2">
      <c r="B153" s="19" t="str">
        <f>IF('DDF Original'!B153="","",'DDF Original'!B153)</f>
        <v/>
      </c>
      <c r="C153" s="20" t="str">
        <f>IF('DDF Original'!C153="","",'DDF Original'!C153)</f>
        <v/>
      </c>
      <c r="D153" s="20" t="str">
        <f>IF('DDF Original'!F153="","",'DDF Original'!F153)</f>
        <v/>
      </c>
      <c r="E153" s="38" t="str">
        <f>'Recálculo Confissão (85-B)'!N153</f>
        <v/>
      </c>
      <c r="F153" s="20" t="str">
        <f t="shared" si="4"/>
        <v/>
      </c>
      <c r="G153" s="20" t="str">
        <f t="shared" si="5"/>
        <v/>
      </c>
    </row>
    <row r="154" spans="2:7" x14ac:dyDescent="0.2">
      <c r="B154" s="19" t="str">
        <f>IF('DDF Original'!B154="","",'DDF Original'!B154)</f>
        <v/>
      </c>
      <c r="C154" s="20" t="str">
        <f>IF('DDF Original'!C154="","",'DDF Original'!C154)</f>
        <v/>
      </c>
      <c r="D154" s="20" t="str">
        <f>IF('DDF Original'!F154="","",'DDF Original'!F154)</f>
        <v/>
      </c>
      <c r="E154" s="38" t="str">
        <f>'Recálculo Confissão (85-B)'!N154</f>
        <v/>
      </c>
      <c r="F154" s="20" t="str">
        <f t="shared" si="4"/>
        <v/>
      </c>
      <c r="G154" s="20" t="str">
        <f t="shared" si="5"/>
        <v/>
      </c>
    </row>
    <row r="155" spans="2:7" x14ac:dyDescent="0.2">
      <c r="B155" s="19" t="str">
        <f>IF('DDF Original'!B155="","",'DDF Original'!B155)</f>
        <v/>
      </c>
      <c r="C155" s="20" t="str">
        <f>IF('DDF Original'!C155="","",'DDF Original'!C155)</f>
        <v/>
      </c>
      <c r="D155" s="20" t="str">
        <f>IF('DDF Original'!F155="","",'DDF Original'!F155)</f>
        <v/>
      </c>
      <c r="E155" s="38" t="str">
        <f>'Recálculo Confissão (85-B)'!N155</f>
        <v/>
      </c>
      <c r="F155" s="20" t="str">
        <f t="shared" si="4"/>
        <v/>
      </c>
      <c r="G155" s="20" t="str">
        <f t="shared" si="5"/>
        <v/>
      </c>
    </row>
    <row r="156" spans="2:7" x14ac:dyDescent="0.2">
      <c r="B156" s="19" t="str">
        <f>IF('DDF Original'!B156="","",'DDF Original'!B156)</f>
        <v/>
      </c>
      <c r="C156" s="20" t="str">
        <f>IF('DDF Original'!C156="","",'DDF Original'!C156)</f>
        <v/>
      </c>
      <c r="D156" s="20" t="str">
        <f>IF('DDF Original'!F156="","",'DDF Original'!F156)</f>
        <v/>
      </c>
      <c r="E156" s="38" t="str">
        <f>'Recálculo Confissão (85-B)'!N156</f>
        <v/>
      </c>
      <c r="F156" s="20" t="str">
        <f t="shared" si="4"/>
        <v/>
      </c>
      <c r="G156" s="20" t="str">
        <f t="shared" si="5"/>
        <v/>
      </c>
    </row>
    <row r="157" spans="2:7" x14ac:dyDescent="0.2">
      <c r="B157" s="19" t="str">
        <f>IF('DDF Original'!B157="","",'DDF Original'!B157)</f>
        <v/>
      </c>
      <c r="C157" s="20" t="str">
        <f>IF('DDF Original'!C157="","",'DDF Original'!C157)</f>
        <v/>
      </c>
      <c r="D157" s="20" t="str">
        <f>IF('DDF Original'!F157="","",'DDF Original'!F157)</f>
        <v/>
      </c>
      <c r="E157" s="38" t="str">
        <f>'Recálculo Confissão (85-B)'!N157</f>
        <v/>
      </c>
      <c r="F157" s="20" t="str">
        <f t="shared" si="4"/>
        <v/>
      </c>
      <c r="G157" s="20" t="str">
        <f t="shared" si="5"/>
        <v/>
      </c>
    </row>
    <row r="158" spans="2:7" x14ac:dyDescent="0.2">
      <c r="B158" s="19" t="str">
        <f>IF('DDF Original'!B158="","",'DDF Original'!B158)</f>
        <v/>
      </c>
      <c r="C158" s="20" t="str">
        <f>IF('DDF Original'!C158="","",'DDF Original'!C158)</f>
        <v/>
      </c>
      <c r="D158" s="20" t="str">
        <f>IF('DDF Original'!F158="","",'DDF Original'!F158)</f>
        <v/>
      </c>
      <c r="E158" s="38" t="str">
        <f>'Recálculo Confissão (85-B)'!N158</f>
        <v/>
      </c>
      <c r="F158" s="20" t="str">
        <f t="shared" si="4"/>
        <v/>
      </c>
      <c r="G158" s="20" t="str">
        <f t="shared" si="5"/>
        <v/>
      </c>
    </row>
    <row r="159" spans="2:7" x14ac:dyDescent="0.2">
      <c r="B159" s="19" t="str">
        <f>IF('DDF Original'!B159="","",'DDF Original'!B159)</f>
        <v/>
      </c>
      <c r="C159" s="20" t="str">
        <f>IF('DDF Original'!C159="","",'DDF Original'!C159)</f>
        <v/>
      </c>
      <c r="D159" s="20" t="str">
        <f>IF('DDF Original'!F159="","",'DDF Original'!F159)</f>
        <v/>
      </c>
      <c r="E159" s="38" t="str">
        <f>'Recálculo Confissão (85-B)'!N159</f>
        <v/>
      </c>
      <c r="F159" s="20" t="str">
        <f t="shared" si="4"/>
        <v/>
      </c>
      <c r="G159" s="20" t="str">
        <f t="shared" si="5"/>
        <v/>
      </c>
    </row>
    <row r="160" spans="2:7" x14ac:dyDescent="0.2">
      <c r="B160" s="19" t="str">
        <f>IF('DDF Original'!B160="","",'DDF Original'!B160)</f>
        <v/>
      </c>
      <c r="C160" s="20" t="str">
        <f>IF('DDF Original'!C160="","",'DDF Original'!C160)</f>
        <v/>
      </c>
      <c r="D160" s="20" t="str">
        <f>IF('DDF Original'!F160="","",'DDF Original'!F160)</f>
        <v/>
      </c>
      <c r="E160" s="38" t="str">
        <f>'Recálculo Confissão (85-B)'!N160</f>
        <v/>
      </c>
      <c r="F160" s="20" t="str">
        <f t="shared" si="4"/>
        <v/>
      </c>
      <c r="G160" s="20" t="str">
        <f t="shared" si="5"/>
        <v/>
      </c>
    </row>
    <row r="161" spans="2:7" x14ac:dyDescent="0.2">
      <c r="B161" s="19" t="str">
        <f>IF('DDF Original'!B161="","",'DDF Original'!B161)</f>
        <v/>
      </c>
      <c r="C161" s="20" t="str">
        <f>IF('DDF Original'!C161="","",'DDF Original'!C161)</f>
        <v/>
      </c>
      <c r="D161" s="20" t="str">
        <f>IF('DDF Original'!F161="","",'DDF Original'!F161)</f>
        <v/>
      </c>
      <c r="E161" s="38" t="str">
        <f>'Recálculo Confissão (85-B)'!N161</f>
        <v/>
      </c>
      <c r="F161" s="20" t="str">
        <f t="shared" si="4"/>
        <v/>
      </c>
      <c r="G161" s="20" t="str">
        <f t="shared" si="5"/>
        <v/>
      </c>
    </row>
    <row r="162" spans="2:7" x14ac:dyDescent="0.2">
      <c r="B162" s="19" t="str">
        <f>IF('DDF Original'!B162="","",'DDF Original'!B162)</f>
        <v/>
      </c>
      <c r="C162" s="20" t="str">
        <f>IF('DDF Original'!C162="","",'DDF Original'!C162)</f>
        <v/>
      </c>
      <c r="D162" s="20" t="str">
        <f>IF('DDF Original'!F162="","",'DDF Original'!F162)</f>
        <v/>
      </c>
      <c r="E162" s="38" t="str">
        <f>'Recálculo Confissão (85-B)'!N162</f>
        <v/>
      </c>
      <c r="F162" s="20" t="str">
        <f t="shared" si="4"/>
        <v/>
      </c>
      <c r="G162" s="20" t="str">
        <f t="shared" si="5"/>
        <v/>
      </c>
    </row>
    <row r="163" spans="2:7" x14ac:dyDescent="0.2">
      <c r="B163" s="19" t="str">
        <f>IF('DDF Original'!B163="","",'DDF Original'!B163)</f>
        <v/>
      </c>
      <c r="C163" s="20" t="str">
        <f>IF('DDF Original'!C163="","",'DDF Original'!C163)</f>
        <v/>
      </c>
      <c r="D163" s="20" t="str">
        <f>IF('DDF Original'!F163="","",'DDF Original'!F163)</f>
        <v/>
      </c>
      <c r="E163" s="38" t="str">
        <f>'Recálculo Confissão (85-B)'!N163</f>
        <v/>
      </c>
      <c r="F163" s="20" t="str">
        <f t="shared" si="4"/>
        <v/>
      </c>
      <c r="G163" s="20" t="str">
        <f t="shared" si="5"/>
        <v/>
      </c>
    </row>
    <row r="164" spans="2:7" x14ac:dyDescent="0.2">
      <c r="B164" s="19" t="str">
        <f>IF('DDF Original'!B164="","",'DDF Original'!B164)</f>
        <v/>
      </c>
      <c r="C164" s="20" t="str">
        <f>IF('DDF Original'!C164="","",'DDF Original'!C164)</f>
        <v/>
      </c>
      <c r="D164" s="20" t="str">
        <f>IF('DDF Original'!F164="","",'DDF Original'!F164)</f>
        <v/>
      </c>
      <c r="E164" s="38" t="str">
        <f>'Recálculo Confissão (85-B)'!N164</f>
        <v/>
      </c>
      <c r="F164" s="20" t="str">
        <f t="shared" si="4"/>
        <v/>
      </c>
      <c r="G164" s="20" t="str">
        <f t="shared" si="5"/>
        <v/>
      </c>
    </row>
    <row r="165" spans="2:7" x14ac:dyDescent="0.2">
      <c r="B165" s="19" t="str">
        <f>IF('DDF Original'!B165="","",'DDF Original'!B165)</f>
        <v/>
      </c>
      <c r="C165" s="20" t="str">
        <f>IF('DDF Original'!C165="","",'DDF Original'!C165)</f>
        <v/>
      </c>
      <c r="D165" s="20" t="str">
        <f>IF('DDF Original'!F165="","",'DDF Original'!F165)</f>
        <v/>
      </c>
      <c r="E165" s="38" t="str">
        <f>'Recálculo Confissão (85-B)'!N165</f>
        <v/>
      </c>
      <c r="F165" s="20" t="str">
        <f t="shared" si="4"/>
        <v/>
      </c>
      <c r="G165" s="20" t="str">
        <f t="shared" si="5"/>
        <v/>
      </c>
    </row>
    <row r="166" spans="2:7" x14ac:dyDescent="0.2">
      <c r="B166" s="19" t="str">
        <f>IF('DDF Original'!B166="","",'DDF Original'!B166)</f>
        <v/>
      </c>
      <c r="C166" s="20" t="str">
        <f>IF('DDF Original'!C166="","",'DDF Original'!C166)</f>
        <v/>
      </c>
      <c r="D166" s="20" t="str">
        <f>IF('DDF Original'!F166="","",'DDF Original'!F166)</f>
        <v/>
      </c>
      <c r="E166" s="38" t="str">
        <f>'Recálculo Confissão (85-B)'!N166</f>
        <v/>
      </c>
      <c r="F166" s="20" t="str">
        <f t="shared" si="4"/>
        <v/>
      </c>
      <c r="G166" s="20" t="str">
        <f t="shared" si="5"/>
        <v/>
      </c>
    </row>
    <row r="167" spans="2:7" x14ac:dyDescent="0.2">
      <c r="B167" s="19" t="str">
        <f>IF('DDF Original'!B167="","",'DDF Original'!B167)</f>
        <v/>
      </c>
      <c r="C167" s="20" t="str">
        <f>IF('DDF Original'!C167="","",'DDF Original'!C167)</f>
        <v/>
      </c>
      <c r="D167" s="20" t="str">
        <f>IF('DDF Original'!F167="","",'DDF Original'!F167)</f>
        <v/>
      </c>
      <c r="E167" s="38" t="str">
        <f>'Recálculo Confissão (85-B)'!N167</f>
        <v/>
      </c>
      <c r="F167" s="20" t="str">
        <f t="shared" si="4"/>
        <v/>
      </c>
      <c r="G167" s="20" t="str">
        <f t="shared" si="5"/>
        <v/>
      </c>
    </row>
    <row r="168" spans="2:7" x14ac:dyDescent="0.2">
      <c r="B168" s="19" t="str">
        <f>IF('DDF Original'!B168="","",'DDF Original'!B168)</f>
        <v/>
      </c>
      <c r="C168" s="20" t="str">
        <f>IF('DDF Original'!C168="","",'DDF Original'!C168)</f>
        <v/>
      </c>
      <c r="D168" s="20" t="str">
        <f>IF('DDF Original'!F168="","",'DDF Original'!F168)</f>
        <v/>
      </c>
      <c r="E168" s="38" t="str">
        <f>'Recálculo Confissão (85-B)'!N168</f>
        <v/>
      </c>
      <c r="F168" s="20" t="str">
        <f t="shared" si="4"/>
        <v/>
      </c>
      <c r="G168" s="20" t="str">
        <f t="shared" si="5"/>
        <v/>
      </c>
    </row>
    <row r="169" spans="2:7" x14ac:dyDescent="0.2">
      <c r="B169" s="19" t="str">
        <f>IF('DDF Original'!B169="","",'DDF Original'!B169)</f>
        <v/>
      </c>
      <c r="C169" s="20" t="str">
        <f>IF('DDF Original'!C169="","",'DDF Original'!C169)</f>
        <v/>
      </c>
      <c r="D169" s="20" t="str">
        <f>IF('DDF Original'!F169="","",'DDF Original'!F169)</f>
        <v/>
      </c>
      <c r="E169" s="38" t="str">
        <f>'Recálculo Confissão (85-B)'!N169</f>
        <v/>
      </c>
      <c r="F169" s="20" t="str">
        <f t="shared" si="4"/>
        <v/>
      </c>
      <c r="G169" s="20" t="str">
        <f t="shared" si="5"/>
        <v/>
      </c>
    </row>
    <row r="170" spans="2:7" x14ac:dyDescent="0.2">
      <c r="B170" s="19" t="str">
        <f>IF('DDF Original'!B170="","",'DDF Original'!B170)</f>
        <v/>
      </c>
      <c r="C170" s="20" t="str">
        <f>IF('DDF Original'!C170="","",'DDF Original'!C170)</f>
        <v/>
      </c>
      <c r="D170" s="20" t="str">
        <f>IF('DDF Original'!F170="","",'DDF Original'!F170)</f>
        <v/>
      </c>
      <c r="E170" s="38" t="str">
        <f>'Recálculo Confissão (85-B)'!N170</f>
        <v/>
      </c>
      <c r="F170" s="20" t="str">
        <f t="shared" si="4"/>
        <v/>
      </c>
      <c r="G170" s="20" t="str">
        <f t="shared" si="5"/>
        <v/>
      </c>
    </row>
    <row r="171" spans="2:7" x14ac:dyDescent="0.2">
      <c r="B171" s="19" t="str">
        <f>IF('DDF Original'!B171="","",'DDF Original'!B171)</f>
        <v/>
      </c>
      <c r="C171" s="20" t="str">
        <f>IF('DDF Original'!C171="","",'DDF Original'!C171)</f>
        <v/>
      </c>
      <c r="D171" s="20" t="str">
        <f>IF('DDF Original'!F171="","",'DDF Original'!F171)</f>
        <v/>
      </c>
      <c r="E171" s="38" t="str">
        <f>'Recálculo Confissão (85-B)'!N171</f>
        <v/>
      </c>
      <c r="F171" s="20" t="str">
        <f t="shared" si="4"/>
        <v/>
      </c>
      <c r="G171" s="20" t="str">
        <f t="shared" si="5"/>
        <v/>
      </c>
    </row>
    <row r="172" spans="2:7" x14ac:dyDescent="0.2">
      <c r="B172" s="19" t="str">
        <f>IF('DDF Original'!B172="","",'DDF Original'!B172)</f>
        <v/>
      </c>
      <c r="C172" s="20" t="str">
        <f>IF('DDF Original'!C172="","",'DDF Original'!C172)</f>
        <v/>
      </c>
      <c r="D172" s="20" t="str">
        <f>IF('DDF Original'!F172="","",'DDF Original'!F172)</f>
        <v/>
      </c>
      <c r="E172" s="38" t="str">
        <f>'Recálculo Confissão (85-B)'!N172</f>
        <v/>
      </c>
      <c r="F172" s="20" t="str">
        <f t="shared" si="4"/>
        <v/>
      </c>
      <c r="G172" s="20" t="str">
        <f t="shared" si="5"/>
        <v/>
      </c>
    </row>
    <row r="173" spans="2:7" x14ac:dyDescent="0.2">
      <c r="B173" s="19" t="str">
        <f>IF('DDF Original'!B173="","",'DDF Original'!B173)</f>
        <v/>
      </c>
      <c r="C173" s="20" t="str">
        <f>IF('DDF Original'!C173="","",'DDF Original'!C173)</f>
        <v/>
      </c>
      <c r="D173" s="20" t="str">
        <f>IF('DDF Original'!F173="","",'DDF Original'!F173)</f>
        <v/>
      </c>
      <c r="E173" s="38" t="str">
        <f>'Recálculo Confissão (85-B)'!N173</f>
        <v/>
      </c>
      <c r="F173" s="20" t="str">
        <f t="shared" si="4"/>
        <v/>
      </c>
      <c r="G173" s="20" t="str">
        <f t="shared" si="5"/>
        <v/>
      </c>
    </row>
    <row r="174" spans="2:7" x14ac:dyDescent="0.2">
      <c r="B174" s="19" t="str">
        <f>IF('DDF Original'!B174="","",'DDF Original'!B174)</f>
        <v/>
      </c>
      <c r="C174" s="20" t="str">
        <f>IF('DDF Original'!C174="","",'DDF Original'!C174)</f>
        <v/>
      </c>
      <c r="D174" s="20" t="str">
        <f>IF('DDF Original'!F174="","",'DDF Original'!F174)</f>
        <v/>
      </c>
      <c r="E174" s="38" t="str">
        <f>'Recálculo Confissão (85-B)'!N174</f>
        <v/>
      </c>
      <c r="F174" s="20" t="str">
        <f t="shared" si="4"/>
        <v/>
      </c>
      <c r="G174" s="20" t="str">
        <f t="shared" si="5"/>
        <v/>
      </c>
    </row>
    <row r="175" spans="2:7" x14ac:dyDescent="0.2">
      <c r="B175" s="19" t="str">
        <f>IF('DDF Original'!B175="","",'DDF Original'!B175)</f>
        <v/>
      </c>
      <c r="C175" s="20" t="str">
        <f>IF('DDF Original'!C175="","",'DDF Original'!C175)</f>
        <v/>
      </c>
      <c r="D175" s="20" t="str">
        <f>IF('DDF Original'!F175="","",'DDF Original'!F175)</f>
        <v/>
      </c>
      <c r="E175" s="38" t="str">
        <f>'Recálculo Confissão (85-B)'!N175</f>
        <v/>
      </c>
      <c r="F175" s="20" t="str">
        <f t="shared" si="4"/>
        <v/>
      </c>
      <c r="G175" s="20" t="str">
        <f t="shared" si="5"/>
        <v/>
      </c>
    </row>
    <row r="176" spans="2:7" x14ac:dyDescent="0.2">
      <c r="B176" s="19" t="str">
        <f>IF('DDF Original'!B176="","",'DDF Original'!B176)</f>
        <v/>
      </c>
      <c r="C176" s="20" t="str">
        <f>IF('DDF Original'!C176="","",'DDF Original'!C176)</f>
        <v/>
      </c>
      <c r="D176" s="20" t="str">
        <f>IF('DDF Original'!F176="","",'DDF Original'!F176)</f>
        <v/>
      </c>
      <c r="E176" s="38" t="str">
        <f>'Recálculo Confissão (85-B)'!N176</f>
        <v/>
      </c>
      <c r="F176" s="20" t="str">
        <f t="shared" si="4"/>
        <v/>
      </c>
      <c r="G176" s="20" t="str">
        <f t="shared" si="5"/>
        <v/>
      </c>
    </row>
    <row r="177" spans="2:7" x14ac:dyDescent="0.2">
      <c r="B177" s="19" t="str">
        <f>IF('DDF Original'!B177="","",'DDF Original'!B177)</f>
        <v/>
      </c>
      <c r="C177" s="20" t="str">
        <f>IF('DDF Original'!C177="","",'DDF Original'!C177)</f>
        <v/>
      </c>
      <c r="D177" s="20" t="str">
        <f>IF('DDF Original'!F177="","",'DDF Original'!F177)</f>
        <v/>
      </c>
      <c r="E177" s="38" t="str">
        <f>'Recálculo Confissão (85-B)'!N177</f>
        <v/>
      </c>
      <c r="F177" s="20" t="str">
        <f t="shared" si="4"/>
        <v/>
      </c>
      <c r="G177" s="20" t="str">
        <f t="shared" si="5"/>
        <v/>
      </c>
    </row>
    <row r="178" spans="2:7" x14ac:dyDescent="0.2">
      <c r="B178" s="19" t="str">
        <f>IF('DDF Original'!B178="","",'DDF Original'!B178)</f>
        <v/>
      </c>
      <c r="C178" s="20" t="str">
        <f>IF('DDF Original'!C178="","",'DDF Original'!C178)</f>
        <v/>
      </c>
      <c r="D178" s="20" t="str">
        <f>IF('DDF Original'!F178="","",'DDF Original'!F178)</f>
        <v/>
      </c>
      <c r="E178" s="38" t="str">
        <f>'Recálculo Confissão (85-B)'!N178</f>
        <v/>
      </c>
      <c r="F178" s="20" t="str">
        <f t="shared" si="4"/>
        <v/>
      </c>
      <c r="G178" s="20" t="str">
        <f t="shared" si="5"/>
        <v/>
      </c>
    </row>
    <row r="179" spans="2:7" x14ac:dyDescent="0.2">
      <c r="B179" s="19" t="str">
        <f>IF('DDF Original'!B179="","",'DDF Original'!B179)</f>
        <v/>
      </c>
      <c r="C179" s="20" t="str">
        <f>IF('DDF Original'!C179="","",'DDF Original'!C179)</f>
        <v/>
      </c>
      <c r="D179" s="20" t="str">
        <f>IF('DDF Original'!F179="","",'DDF Original'!F179)</f>
        <v/>
      </c>
      <c r="E179" s="38" t="str">
        <f>'Recálculo Confissão (85-B)'!N179</f>
        <v/>
      </c>
      <c r="F179" s="20" t="str">
        <f t="shared" si="4"/>
        <v/>
      </c>
      <c r="G179" s="20" t="str">
        <f t="shared" si="5"/>
        <v/>
      </c>
    </row>
    <row r="180" spans="2:7" x14ac:dyDescent="0.2">
      <c r="B180" s="19" t="str">
        <f>IF('DDF Original'!B180="","",'DDF Original'!B180)</f>
        <v/>
      </c>
      <c r="C180" s="20" t="str">
        <f>IF('DDF Original'!C180="","",'DDF Original'!C180)</f>
        <v/>
      </c>
      <c r="D180" s="20" t="str">
        <f>IF('DDF Original'!F180="","",'DDF Original'!F180)</f>
        <v/>
      </c>
      <c r="E180" s="38" t="str">
        <f>'Recálculo Confissão (85-B)'!N180</f>
        <v/>
      </c>
      <c r="F180" s="20" t="str">
        <f t="shared" si="4"/>
        <v/>
      </c>
      <c r="G180" s="20" t="str">
        <f t="shared" si="5"/>
        <v/>
      </c>
    </row>
    <row r="181" spans="2:7" x14ac:dyDescent="0.2">
      <c r="B181" s="19" t="str">
        <f>IF('DDF Original'!B181="","",'DDF Original'!B181)</f>
        <v/>
      </c>
      <c r="C181" s="20" t="str">
        <f>IF('DDF Original'!C181="","",'DDF Original'!C181)</f>
        <v/>
      </c>
      <c r="D181" s="20" t="str">
        <f>IF('DDF Original'!F181="","",'DDF Original'!F181)</f>
        <v/>
      </c>
      <c r="E181" s="38" t="str">
        <f>'Recálculo Confissão (85-B)'!N181</f>
        <v/>
      </c>
      <c r="F181" s="20" t="str">
        <f t="shared" si="4"/>
        <v/>
      </c>
      <c r="G181" s="20" t="str">
        <f t="shared" si="5"/>
        <v/>
      </c>
    </row>
    <row r="182" spans="2:7" x14ac:dyDescent="0.2">
      <c r="B182" s="19" t="str">
        <f>IF('DDF Original'!B182="","",'DDF Original'!B182)</f>
        <v/>
      </c>
      <c r="C182" s="20" t="str">
        <f>IF('DDF Original'!C182="","",'DDF Original'!C182)</f>
        <v/>
      </c>
      <c r="D182" s="20" t="str">
        <f>IF('DDF Original'!F182="","",'DDF Original'!F182)</f>
        <v/>
      </c>
      <c r="E182" s="38" t="str">
        <f>'Recálculo Confissão (85-B)'!N182</f>
        <v/>
      </c>
      <c r="F182" s="20" t="str">
        <f t="shared" si="4"/>
        <v/>
      </c>
      <c r="G182" s="20" t="str">
        <f t="shared" si="5"/>
        <v/>
      </c>
    </row>
    <row r="183" spans="2:7" x14ac:dyDescent="0.2">
      <c r="B183" s="19" t="str">
        <f>IF('DDF Original'!B183="","",'DDF Original'!B183)</f>
        <v/>
      </c>
      <c r="C183" s="20" t="str">
        <f>IF('DDF Original'!C183="","",'DDF Original'!C183)</f>
        <v/>
      </c>
      <c r="D183" s="20" t="str">
        <f>IF('DDF Original'!F183="","",'DDF Original'!F183)</f>
        <v/>
      </c>
      <c r="E183" s="38" t="str">
        <f>'Recálculo Confissão (85-B)'!N183</f>
        <v/>
      </c>
      <c r="F183" s="20" t="str">
        <f t="shared" si="4"/>
        <v/>
      </c>
      <c r="G183" s="20" t="str">
        <f t="shared" si="5"/>
        <v/>
      </c>
    </row>
    <row r="184" spans="2:7" x14ac:dyDescent="0.2">
      <c r="B184" s="19" t="str">
        <f>IF('DDF Original'!B184="","",'DDF Original'!B184)</f>
        <v/>
      </c>
      <c r="C184" s="20" t="str">
        <f>IF('DDF Original'!C184="","",'DDF Original'!C184)</f>
        <v/>
      </c>
      <c r="D184" s="20" t="str">
        <f>IF('DDF Original'!F184="","",'DDF Original'!F184)</f>
        <v/>
      </c>
      <c r="E184" s="38" t="str">
        <f>'Recálculo Confissão (85-B)'!N184</f>
        <v/>
      </c>
      <c r="F184" s="20" t="str">
        <f t="shared" si="4"/>
        <v/>
      </c>
      <c r="G184" s="20" t="str">
        <f t="shared" si="5"/>
        <v/>
      </c>
    </row>
    <row r="185" spans="2:7" x14ac:dyDescent="0.2">
      <c r="B185" s="19" t="str">
        <f>IF('DDF Original'!B185="","",'DDF Original'!B185)</f>
        <v/>
      </c>
      <c r="C185" s="20" t="str">
        <f>IF('DDF Original'!C185="","",'DDF Original'!C185)</f>
        <v/>
      </c>
      <c r="D185" s="20" t="str">
        <f>IF('DDF Original'!F185="","",'DDF Original'!F185)</f>
        <v/>
      </c>
      <c r="E185" s="38" t="str">
        <f>'Recálculo Confissão (85-B)'!N185</f>
        <v/>
      </c>
      <c r="F185" s="20" t="str">
        <f t="shared" si="4"/>
        <v/>
      </c>
      <c r="G185" s="20" t="str">
        <f t="shared" si="5"/>
        <v/>
      </c>
    </row>
    <row r="186" spans="2:7" x14ac:dyDescent="0.2">
      <c r="B186" s="19" t="str">
        <f>IF('DDF Original'!B186="","",'DDF Original'!B186)</f>
        <v/>
      </c>
      <c r="C186" s="20" t="str">
        <f>IF('DDF Original'!C186="","",'DDF Original'!C186)</f>
        <v/>
      </c>
      <c r="D186" s="20" t="str">
        <f>IF('DDF Original'!F186="","",'DDF Original'!F186)</f>
        <v/>
      </c>
      <c r="E186" s="38" t="str">
        <f>'Recálculo Confissão (85-B)'!N186</f>
        <v/>
      </c>
      <c r="F186" s="20" t="str">
        <f t="shared" si="4"/>
        <v/>
      </c>
      <c r="G186" s="20" t="str">
        <f t="shared" si="5"/>
        <v/>
      </c>
    </row>
    <row r="187" spans="2:7" x14ac:dyDescent="0.2">
      <c r="B187" s="19" t="str">
        <f>IF('DDF Original'!B187="","",'DDF Original'!B187)</f>
        <v/>
      </c>
      <c r="C187" s="20" t="str">
        <f>IF('DDF Original'!C187="","",'DDF Original'!C187)</f>
        <v/>
      </c>
      <c r="D187" s="20" t="str">
        <f>IF('DDF Original'!F187="","",'DDF Original'!F187)</f>
        <v/>
      </c>
      <c r="E187" s="38" t="str">
        <f>'Recálculo Confissão (85-B)'!N187</f>
        <v/>
      </c>
      <c r="F187" s="20" t="str">
        <f t="shared" si="4"/>
        <v/>
      </c>
      <c r="G187" s="20" t="str">
        <f t="shared" si="5"/>
        <v/>
      </c>
    </row>
    <row r="188" spans="2:7" x14ac:dyDescent="0.2">
      <c r="B188" s="19" t="str">
        <f>IF('DDF Original'!B188="","",'DDF Original'!B188)</f>
        <v/>
      </c>
      <c r="C188" s="20" t="str">
        <f>IF('DDF Original'!C188="","",'DDF Original'!C188)</f>
        <v/>
      </c>
      <c r="D188" s="20" t="str">
        <f>IF('DDF Original'!F188="","",'DDF Original'!F188)</f>
        <v/>
      </c>
      <c r="E188" s="38" t="str">
        <f>'Recálculo Confissão (85-B)'!N188</f>
        <v/>
      </c>
      <c r="F188" s="20" t="str">
        <f t="shared" si="4"/>
        <v/>
      </c>
      <c r="G188" s="20" t="str">
        <f t="shared" si="5"/>
        <v/>
      </c>
    </row>
    <row r="189" spans="2:7" x14ac:dyDescent="0.2">
      <c r="B189" s="19" t="str">
        <f>IF('DDF Original'!B189="","",'DDF Original'!B189)</f>
        <v/>
      </c>
      <c r="C189" s="20" t="str">
        <f>IF('DDF Original'!C189="","",'DDF Original'!C189)</f>
        <v/>
      </c>
      <c r="D189" s="20" t="str">
        <f>IF('DDF Original'!F189="","",'DDF Original'!F189)</f>
        <v/>
      </c>
      <c r="E189" s="38" t="str">
        <f>'Recálculo Confissão (85-B)'!N189</f>
        <v/>
      </c>
      <c r="F189" s="20" t="str">
        <f t="shared" si="4"/>
        <v/>
      </c>
      <c r="G189" s="20" t="str">
        <f t="shared" si="5"/>
        <v/>
      </c>
    </row>
    <row r="190" spans="2:7" x14ac:dyDescent="0.2">
      <c r="B190" s="19" t="str">
        <f>IF('DDF Original'!B190="","",'DDF Original'!B190)</f>
        <v/>
      </c>
      <c r="C190" s="20" t="str">
        <f>IF('DDF Original'!C190="","",'DDF Original'!C190)</f>
        <v/>
      </c>
      <c r="D190" s="20" t="str">
        <f>IF('DDF Original'!F190="","",'DDF Original'!F190)</f>
        <v/>
      </c>
      <c r="E190" s="38" t="str">
        <f>'Recálculo Confissão (85-B)'!N190</f>
        <v/>
      </c>
      <c r="F190" s="20" t="str">
        <f t="shared" si="4"/>
        <v/>
      </c>
      <c r="G190" s="20" t="str">
        <f t="shared" si="5"/>
        <v/>
      </c>
    </row>
    <row r="191" spans="2:7" x14ac:dyDescent="0.2">
      <c r="B191" s="19" t="str">
        <f>IF('DDF Original'!B191="","",'DDF Original'!B191)</f>
        <v/>
      </c>
      <c r="C191" s="20" t="str">
        <f>IF('DDF Original'!C191="","",'DDF Original'!C191)</f>
        <v/>
      </c>
      <c r="D191" s="20" t="str">
        <f>IF('DDF Original'!F191="","",'DDF Original'!F191)</f>
        <v/>
      </c>
      <c r="E191" s="38" t="str">
        <f>'Recálculo Confissão (85-B)'!N191</f>
        <v/>
      </c>
      <c r="F191" s="20" t="str">
        <f t="shared" si="4"/>
        <v/>
      </c>
      <c r="G191" s="20" t="str">
        <f t="shared" si="5"/>
        <v/>
      </c>
    </row>
    <row r="192" spans="2:7" x14ac:dyDescent="0.2">
      <c r="B192" s="19" t="str">
        <f>IF('DDF Original'!B192="","",'DDF Original'!B192)</f>
        <v/>
      </c>
      <c r="C192" s="20" t="str">
        <f>IF('DDF Original'!C192="","",'DDF Original'!C192)</f>
        <v/>
      </c>
      <c r="D192" s="20" t="str">
        <f>IF('DDF Original'!F192="","",'DDF Original'!F192)</f>
        <v/>
      </c>
      <c r="E192" s="38" t="str">
        <f>'Recálculo Confissão (85-B)'!N192</f>
        <v/>
      </c>
      <c r="F192" s="20" t="str">
        <f t="shared" si="4"/>
        <v/>
      </c>
      <c r="G192" s="20" t="str">
        <f t="shared" si="5"/>
        <v/>
      </c>
    </row>
    <row r="193" spans="2:7" x14ac:dyDescent="0.2">
      <c r="B193" s="19" t="str">
        <f>IF('DDF Original'!B193="","",'DDF Original'!B193)</f>
        <v/>
      </c>
      <c r="C193" s="20" t="str">
        <f>IF('DDF Original'!C193="","",'DDF Original'!C193)</f>
        <v/>
      </c>
      <c r="D193" s="20" t="str">
        <f>IF('DDF Original'!F193="","",'DDF Original'!F193)</f>
        <v/>
      </c>
      <c r="E193" s="38" t="str">
        <f>'Recálculo Confissão (85-B)'!N193</f>
        <v/>
      </c>
      <c r="F193" s="20" t="str">
        <f t="shared" si="4"/>
        <v/>
      </c>
      <c r="G193" s="20" t="str">
        <f t="shared" si="5"/>
        <v/>
      </c>
    </row>
    <row r="194" spans="2:7" x14ac:dyDescent="0.2">
      <c r="B194" s="19" t="str">
        <f>IF('DDF Original'!B194="","",'DDF Original'!B194)</f>
        <v/>
      </c>
      <c r="C194" s="20" t="str">
        <f>IF('DDF Original'!C194="","",'DDF Original'!C194)</f>
        <v/>
      </c>
      <c r="D194" s="20" t="str">
        <f>IF('DDF Original'!F194="","",'DDF Original'!F194)</f>
        <v/>
      </c>
      <c r="E194" s="38" t="str">
        <f>'Recálculo Confissão (85-B)'!N194</f>
        <v/>
      </c>
      <c r="F194" s="20" t="str">
        <f t="shared" si="4"/>
        <v/>
      </c>
      <c r="G194" s="20" t="str">
        <f t="shared" si="5"/>
        <v/>
      </c>
    </row>
    <row r="195" spans="2:7" x14ac:dyDescent="0.2">
      <c r="B195" s="19" t="str">
        <f>IF('DDF Original'!B195="","",'DDF Original'!B195)</f>
        <v/>
      </c>
      <c r="C195" s="20" t="str">
        <f>IF('DDF Original'!C195="","",'DDF Original'!C195)</f>
        <v/>
      </c>
      <c r="D195" s="20" t="str">
        <f>IF('DDF Original'!F195="","",'DDF Original'!F195)</f>
        <v/>
      </c>
      <c r="E195" s="38" t="str">
        <f>'Recálculo Confissão (85-B)'!N195</f>
        <v/>
      </c>
      <c r="F195" s="20" t="str">
        <f t="shared" si="4"/>
        <v/>
      </c>
      <c r="G195" s="20" t="str">
        <f t="shared" si="5"/>
        <v/>
      </c>
    </row>
    <row r="196" spans="2:7" x14ac:dyDescent="0.2">
      <c r="B196" s="19" t="str">
        <f>IF('DDF Original'!B196="","",'DDF Original'!B196)</f>
        <v/>
      </c>
      <c r="C196" s="20" t="str">
        <f>IF('DDF Original'!C196="","",'DDF Original'!C196)</f>
        <v/>
      </c>
      <c r="D196" s="20" t="str">
        <f>IF('DDF Original'!F196="","",'DDF Original'!F196)</f>
        <v/>
      </c>
      <c r="E196" s="38" t="str">
        <f>'Recálculo Confissão (85-B)'!N196</f>
        <v/>
      </c>
      <c r="F196" s="20" t="str">
        <f t="shared" si="4"/>
        <v/>
      </c>
      <c r="G196" s="20" t="str">
        <f t="shared" si="5"/>
        <v/>
      </c>
    </row>
    <row r="197" spans="2:7" x14ac:dyDescent="0.2">
      <c r="B197" s="19" t="str">
        <f>IF('DDF Original'!B197="","",'DDF Original'!B197)</f>
        <v/>
      </c>
      <c r="C197" s="20" t="str">
        <f>IF('DDF Original'!C197="","",'DDF Original'!C197)</f>
        <v/>
      </c>
      <c r="D197" s="20" t="str">
        <f>IF('DDF Original'!F197="","",'DDF Original'!F197)</f>
        <v/>
      </c>
      <c r="E197" s="38" t="str">
        <f>'Recálculo Confissão (85-B)'!N197</f>
        <v/>
      </c>
      <c r="F197" s="20" t="str">
        <f t="shared" si="4"/>
        <v/>
      </c>
      <c r="G197" s="20" t="str">
        <f t="shared" si="5"/>
        <v/>
      </c>
    </row>
    <row r="198" spans="2:7" x14ac:dyDescent="0.2">
      <c r="B198" s="19" t="str">
        <f>IF('DDF Original'!B198="","",'DDF Original'!B198)</f>
        <v/>
      </c>
      <c r="C198" s="20" t="str">
        <f>IF('DDF Original'!C198="","",'DDF Original'!C198)</f>
        <v/>
      </c>
      <c r="D198" s="20" t="str">
        <f>IF('DDF Original'!F198="","",'DDF Original'!F198)</f>
        <v/>
      </c>
      <c r="E198" s="38" t="str">
        <f>'Recálculo Confissão (85-B)'!N198</f>
        <v/>
      </c>
      <c r="F198" s="20" t="str">
        <f t="shared" si="4"/>
        <v/>
      </c>
      <c r="G198" s="20" t="str">
        <f t="shared" si="5"/>
        <v/>
      </c>
    </row>
    <row r="199" spans="2:7" x14ac:dyDescent="0.2">
      <c r="B199" s="19" t="str">
        <f>IF('DDF Original'!B199="","",'DDF Original'!B199)</f>
        <v/>
      </c>
      <c r="C199" s="20" t="str">
        <f>IF('DDF Original'!C199="","",'DDF Original'!C199)</f>
        <v/>
      </c>
      <c r="D199" s="20" t="str">
        <f>IF('DDF Original'!F199="","",'DDF Original'!F199)</f>
        <v/>
      </c>
      <c r="E199" s="38" t="str">
        <f>'Recálculo Confissão (85-B)'!N199</f>
        <v/>
      </c>
      <c r="F199" s="20" t="str">
        <f t="shared" si="4"/>
        <v/>
      </c>
      <c r="G199" s="20" t="str">
        <f t="shared" si="5"/>
        <v/>
      </c>
    </row>
    <row r="200" spans="2:7" x14ac:dyDescent="0.2">
      <c r="B200" s="19" t="str">
        <f>IF('DDF Original'!B200="","",'DDF Original'!B200)</f>
        <v/>
      </c>
      <c r="C200" s="20" t="str">
        <f>IF('DDF Original'!C200="","",'DDF Original'!C200)</f>
        <v/>
      </c>
      <c r="D200" s="20" t="str">
        <f>IF('DDF Original'!F200="","",'DDF Original'!F200)</f>
        <v/>
      </c>
      <c r="E200" s="38" t="str">
        <f>'Recálculo Confissão (85-B)'!N200</f>
        <v/>
      </c>
      <c r="F200" s="20" t="str">
        <f t="shared" si="4"/>
        <v/>
      </c>
      <c r="G200" s="20" t="str">
        <f t="shared" si="5"/>
        <v/>
      </c>
    </row>
    <row r="201" spans="2:7" x14ac:dyDescent="0.2">
      <c r="B201" s="19" t="str">
        <f>IF('DDF Original'!B201="","",'DDF Original'!B201)</f>
        <v/>
      </c>
      <c r="C201" s="20" t="str">
        <f>IF('DDF Original'!C201="","",'DDF Original'!C201)</f>
        <v/>
      </c>
      <c r="D201" s="20" t="str">
        <f>IF('DDF Original'!F201="","",'DDF Original'!F201)</f>
        <v/>
      </c>
      <c r="E201" s="38" t="str">
        <f>'Recálculo Confissão (85-B)'!N201</f>
        <v/>
      </c>
      <c r="F201" s="20" t="str">
        <f t="shared" si="4"/>
        <v/>
      </c>
      <c r="G201" s="20" t="str">
        <f t="shared" si="5"/>
        <v/>
      </c>
    </row>
    <row r="202" spans="2:7" x14ac:dyDescent="0.2">
      <c r="B202" s="19" t="str">
        <f>IF('DDF Original'!B202="","",'DDF Original'!B202)</f>
        <v/>
      </c>
      <c r="C202" s="20" t="str">
        <f>IF('DDF Original'!C202="","",'DDF Original'!C202)</f>
        <v/>
      </c>
      <c r="D202" s="20" t="str">
        <f>IF('DDF Original'!F202="","",'DDF Original'!F202)</f>
        <v/>
      </c>
      <c r="E202" s="38" t="str">
        <f>'Recálculo Confissão (85-B)'!N202</f>
        <v/>
      </c>
      <c r="F202" s="20" t="str">
        <f t="shared" ref="F202:F265" si="6">IF(E202="","",ROUND(E202*(1-70%),2))</f>
        <v/>
      </c>
      <c r="G202" s="20" t="str">
        <f t="shared" ref="G202:G265" si="7">IF(E202="","",ROUND(E202*(1-60%),2))</f>
        <v/>
      </c>
    </row>
    <row r="203" spans="2:7" x14ac:dyDescent="0.2">
      <c r="B203" s="19" t="str">
        <f>IF('DDF Original'!B203="","",'DDF Original'!B203)</f>
        <v/>
      </c>
      <c r="C203" s="20" t="str">
        <f>IF('DDF Original'!C203="","",'DDF Original'!C203)</f>
        <v/>
      </c>
      <c r="D203" s="20" t="str">
        <f>IF('DDF Original'!F203="","",'DDF Original'!F203)</f>
        <v/>
      </c>
      <c r="E203" s="38" t="str">
        <f>'Recálculo Confissão (85-B)'!N203</f>
        <v/>
      </c>
      <c r="F203" s="20" t="str">
        <f t="shared" si="6"/>
        <v/>
      </c>
      <c r="G203" s="20" t="str">
        <f t="shared" si="7"/>
        <v/>
      </c>
    </row>
    <row r="204" spans="2:7" x14ac:dyDescent="0.2">
      <c r="B204" s="19" t="str">
        <f>IF('DDF Original'!B204="","",'DDF Original'!B204)</f>
        <v/>
      </c>
      <c r="C204" s="20" t="str">
        <f>IF('DDF Original'!C204="","",'DDF Original'!C204)</f>
        <v/>
      </c>
      <c r="D204" s="20" t="str">
        <f>IF('DDF Original'!F204="","",'DDF Original'!F204)</f>
        <v/>
      </c>
      <c r="E204" s="38" t="str">
        <f>'Recálculo Confissão (85-B)'!N204</f>
        <v/>
      </c>
      <c r="F204" s="20" t="str">
        <f t="shared" si="6"/>
        <v/>
      </c>
      <c r="G204" s="20" t="str">
        <f t="shared" si="7"/>
        <v/>
      </c>
    </row>
    <row r="205" spans="2:7" x14ac:dyDescent="0.2">
      <c r="B205" s="19" t="str">
        <f>IF('DDF Original'!B205="","",'DDF Original'!B205)</f>
        <v/>
      </c>
      <c r="C205" s="20" t="str">
        <f>IF('DDF Original'!C205="","",'DDF Original'!C205)</f>
        <v/>
      </c>
      <c r="D205" s="20" t="str">
        <f>IF('DDF Original'!F205="","",'DDF Original'!F205)</f>
        <v/>
      </c>
      <c r="E205" s="38" t="str">
        <f>'Recálculo Confissão (85-B)'!N205</f>
        <v/>
      </c>
      <c r="F205" s="20" t="str">
        <f t="shared" si="6"/>
        <v/>
      </c>
      <c r="G205" s="20" t="str">
        <f t="shared" si="7"/>
        <v/>
      </c>
    </row>
    <row r="206" spans="2:7" x14ac:dyDescent="0.2">
      <c r="B206" s="19" t="str">
        <f>IF('DDF Original'!B206="","",'DDF Original'!B206)</f>
        <v/>
      </c>
      <c r="C206" s="20" t="str">
        <f>IF('DDF Original'!C206="","",'DDF Original'!C206)</f>
        <v/>
      </c>
      <c r="D206" s="20" t="str">
        <f>IF('DDF Original'!F206="","",'DDF Original'!F206)</f>
        <v/>
      </c>
      <c r="E206" s="38" t="str">
        <f>'Recálculo Confissão (85-B)'!N206</f>
        <v/>
      </c>
      <c r="F206" s="20" t="str">
        <f t="shared" si="6"/>
        <v/>
      </c>
      <c r="G206" s="20" t="str">
        <f t="shared" si="7"/>
        <v/>
      </c>
    </row>
    <row r="207" spans="2:7" x14ac:dyDescent="0.2">
      <c r="B207" s="19" t="str">
        <f>IF('DDF Original'!B207="","",'DDF Original'!B207)</f>
        <v/>
      </c>
      <c r="C207" s="20" t="str">
        <f>IF('DDF Original'!C207="","",'DDF Original'!C207)</f>
        <v/>
      </c>
      <c r="D207" s="20" t="str">
        <f>IF('DDF Original'!F207="","",'DDF Original'!F207)</f>
        <v/>
      </c>
      <c r="E207" s="38" t="str">
        <f>'Recálculo Confissão (85-B)'!N207</f>
        <v/>
      </c>
      <c r="F207" s="20" t="str">
        <f t="shared" si="6"/>
        <v/>
      </c>
      <c r="G207" s="20" t="str">
        <f t="shared" si="7"/>
        <v/>
      </c>
    </row>
    <row r="208" spans="2:7" x14ac:dyDescent="0.2">
      <c r="B208" s="19" t="str">
        <f>IF('DDF Original'!B208="","",'DDF Original'!B208)</f>
        <v/>
      </c>
      <c r="C208" s="20" t="str">
        <f>IF('DDF Original'!C208="","",'DDF Original'!C208)</f>
        <v/>
      </c>
      <c r="D208" s="20" t="str">
        <f>IF('DDF Original'!F208="","",'DDF Original'!F208)</f>
        <v/>
      </c>
      <c r="E208" s="38" t="str">
        <f>'Recálculo Confissão (85-B)'!N208</f>
        <v/>
      </c>
      <c r="F208" s="20" t="str">
        <f t="shared" si="6"/>
        <v/>
      </c>
      <c r="G208" s="20" t="str">
        <f t="shared" si="7"/>
        <v/>
      </c>
    </row>
    <row r="209" spans="2:7" x14ac:dyDescent="0.2">
      <c r="B209" s="19" t="str">
        <f>IF('DDF Original'!B209="","",'DDF Original'!B209)</f>
        <v/>
      </c>
      <c r="C209" s="20" t="str">
        <f>IF('DDF Original'!C209="","",'DDF Original'!C209)</f>
        <v/>
      </c>
      <c r="D209" s="20" t="str">
        <f>IF('DDF Original'!F209="","",'DDF Original'!F209)</f>
        <v/>
      </c>
      <c r="E209" s="38" t="str">
        <f>'Recálculo Confissão (85-B)'!N209</f>
        <v/>
      </c>
      <c r="F209" s="20" t="str">
        <f t="shared" si="6"/>
        <v/>
      </c>
      <c r="G209" s="20" t="str">
        <f t="shared" si="7"/>
        <v/>
      </c>
    </row>
    <row r="210" spans="2:7" x14ac:dyDescent="0.2">
      <c r="B210" s="19" t="str">
        <f>IF('DDF Original'!B210="","",'DDF Original'!B210)</f>
        <v/>
      </c>
      <c r="C210" s="20" t="str">
        <f>IF('DDF Original'!C210="","",'DDF Original'!C210)</f>
        <v/>
      </c>
      <c r="D210" s="20" t="str">
        <f>IF('DDF Original'!F210="","",'DDF Original'!F210)</f>
        <v/>
      </c>
      <c r="E210" s="38" t="str">
        <f>'Recálculo Confissão (85-B)'!N210</f>
        <v/>
      </c>
      <c r="F210" s="20" t="str">
        <f t="shared" si="6"/>
        <v/>
      </c>
      <c r="G210" s="20" t="str">
        <f t="shared" si="7"/>
        <v/>
      </c>
    </row>
    <row r="211" spans="2:7" x14ac:dyDescent="0.2">
      <c r="B211" s="19" t="str">
        <f>IF('DDF Original'!B211="","",'DDF Original'!B211)</f>
        <v/>
      </c>
      <c r="C211" s="20" t="str">
        <f>IF('DDF Original'!C211="","",'DDF Original'!C211)</f>
        <v/>
      </c>
      <c r="D211" s="20" t="str">
        <f>IF('DDF Original'!F211="","",'DDF Original'!F211)</f>
        <v/>
      </c>
      <c r="E211" s="38" t="str">
        <f>'Recálculo Confissão (85-B)'!N211</f>
        <v/>
      </c>
      <c r="F211" s="20" t="str">
        <f t="shared" si="6"/>
        <v/>
      </c>
      <c r="G211" s="20" t="str">
        <f t="shared" si="7"/>
        <v/>
      </c>
    </row>
    <row r="212" spans="2:7" x14ac:dyDescent="0.2">
      <c r="B212" s="19" t="str">
        <f>IF('DDF Original'!B212="","",'DDF Original'!B212)</f>
        <v/>
      </c>
      <c r="C212" s="20" t="str">
        <f>IF('DDF Original'!C212="","",'DDF Original'!C212)</f>
        <v/>
      </c>
      <c r="D212" s="20" t="str">
        <f>IF('DDF Original'!F212="","",'DDF Original'!F212)</f>
        <v/>
      </c>
      <c r="E212" s="38" t="str">
        <f>'Recálculo Confissão (85-B)'!N212</f>
        <v/>
      </c>
      <c r="F212" s="20" t="str">
        <f t="shared" si="6"/>
        <v/>
      </c>
      <c r="G212" s="20" t="str">
        <f t="shared" si="7"/>
        <v/>
      </c>
    </row>
    <row r="213" spans="2:7" x14ac:dyDescent="0.2">
      <c r="B213" s="19" t="str">
        <f>IF('DDF Original'!B213="","",'DDF Original'!B213)</f>
        <v/>
      </c>
      <c r="C213" s="20" t="str">
        <f>IF('DDF Original'!C213="","",'DDF Original'!C213)</f>
        <v/>
      </c>
      <c r="D213" s="20" t="str">
        <f>IF('DDF Original'!F213="","",'DDF Original'!F213)</f>
        <v/>
      </c>
      <c r="E213" s="38" t="str">
        <f>'Recálculo Confissão (85-B)'!N213</f>
        <v/>
      </c>
      <c r="F213" s="20" t="str">
        <f t="shared" si="6"/>
        <v/>
      </c>
      <c r="G213" s="20" t="str">
        <f t="shared" si="7"/>
        <v/>
      </c>
    </row>
    <row r="214" spans="2:7" x14ac:dyDescent="0.2">
      <c r="B214" s="19" t="str">
        <f>IF('DDF Original'!B214="","",'DDF Original'!B214)</f>
        <v/>
      </c>
      <c r="C214" s="20" t="str">
        <f>IF('DDF Original'!C214="","",'DDF Original'!C214)</f>
        <v/>
      </c>
      <c r="D214" s="20" t="str">
        <f>IF('DDF Original'!F214="","",'DDF Original'!F214)</f>
        <v/>
      </c>
      <c r="E214" s="38" t="str">
        <f>'Recálculo Confissão (85-B)'!N214</f>
        <v/>
      </c>
      <c r="F214" s="20" t="str">
        <f t="shared" si="6"/>
        <v/>
      </c>
      <c r="G214" s="20" t="str">
        <f t="shared" si="7"/>
        <v/>
      </c>
    </row>
    <row r="215" spans="2:7" x14ac:dyDescent="0.2">
      <c r="B215" s="19" t="str">
        <f>IF('DDF Original'!B215="","",'DDF Original'!B215)</f>
        <v/>
      </c>
      <c r="C215" s="20" t="str">
        <f>IF('DDF Original'!C215="","",'DDF Original'!C215)</f>
        <v/>
      </c>
      <c r="D215" s="20" t="str">
        <f>IF('DDF Original'!F215="","",'DDF Original'!F215)</f>
        <v/>
      </c>
      <c r="E215" s="38" t="str">
        <f>'Recálculo Confissão (85-B)'!N215</f>
        <v/>
      </c>
      <c r="F215" s="20" t="str">
        <f t="shared" si="6"/>
        <v/>
      </c>
      <c r="G215" s="20" t="str">
        <f t="shared" si="7"/>
        <v/>
      </c>
    </row>
    <row r="216" spans="2:7" x14ac:dyDescent="0.2">
      <c r="B216" s="19" t="str">
        <f>IF('DDF Original'!B216="","",'DDF Original'!B216)</f>
        <v/>
      </c>
      <c r="C216" s="20" t="str">
        <f>IF('DDF Original'!C216="","",'DDF Original'!C216)</f>
        <v/>
      </c>
      <c r="D216" s="20" t="str">
        <f>IF('DDF Original'!F216="","",'DDF Original'!F216)</f>
        <v/>
      </c>
      <c r="E216" s="38" t="str">
        <f>'Recálculo Confissão (85-B)'!N216</f>
        <v/>
      </c>
      <c r="F216" s="20" t="str">
        <f t="shared" si="6"/>
        <v/>
      </c>
      <c r="G216" s="20" t="str">
        <f t="shared" si="7"/>
        <v/>
      </c>
    </row>
    <row r="217" spans="2:7" x14ac:dyDescent="0.2">
      <c r="B217" s="19" t="str">
        <f>IF('DDF Original'!B217="","",'DDF Original'!B217)</f>
        <v/>
      </c>
      <c r="C217" s="20" t="str">
        <f>IF('DDF Original'!C217="","",'DDF Original'!C217)</f>
        <v/>
      </c>
      <c r="D217" s="20" t="str">
        <f>IF('DDF Original'!F217="","",'DDF Original'!F217)</f>
        <v/>
      </c>
      <c r="E217" s="38" t="str">
        <f>'Recálculo Confissão (85-B)'!N217</f>
        <v/>
      </c>
      <c r="F217" s="20" t="str">
        <f t="shared" si="6"/>
        <v/>
      </c>
      <c r="G217" s="20" t="str">
        <f t="shared" si="7"/>
        <v/>
      </c>
    </row>
    <row r="218" spans="2:7" x14ac:dyDescent="0.2">
      <c r="B218" s="19" t="str">
        <f>IF('DDF Original'!B218="","",'DDF Original'!B218)</f>
        <v/>
      </c>
      <c r="C218" s="20" t="str">
        <f>IF('DDF Original'!C218="","",'DDF Original'!C218)</f>
        <v/>
      </c>
      <c r="D218" s="20" t="str">
        <f>IF('DDF Original'!F218="","",'DDF Original'!F218)</f>
        <v/>
      </c>
      <c r="E218" s="38" t="str">
        <f>'Recálculo Confissão (85-B)'!N218</f>
        <v/>
      </c>
      <c r="F218" s="20" t="str">
        <f t="shared" si="6"/>
        <v/>
      </c>
      <c r="G218" s="20" t="str">
        <f t="shared" si="7"/>
        <v/>
      </c>
    </row>
    <row r="219" spans="2:7" x14ac:dyDescent="0.2">
      <c r="B219" s="19" t="str">
        <f>IF('DDF Original'!B219="","",'DDF Original'!B219)</f>
        <v/>
      </c>
      <c r="C219" s="20" t="str">
        <f>IF('DDF Original'!C219="","",'DDF Original'!C219)</f>
        <v/>
      </c>
      <c r="D219" s="20" t="str">
        <f>IF('DDF Original'!F219="","",'DDF Original'!F219)</f>
        <v/>
      </c>
      <c r="E219" s="38" t="str">
        <f>'Recálculo Confissão (85-B)'!N219</f>
        <v/>
      </c>
      <c r="F219" s="20" t="str">
        <f t="shared" si="6"/>
        <v/>
      </c>
      <c r="G219" s="20" t="str">
        <f t="shared" si="7"/>
        <v/>
      </c>
    </row>
    <row r="220" spans="2:7" x14ac:dyDescent="0.2">
      <c r="B220" s="19" t="str">
        <f>IF('DDF Original'!B220="","",'DDF Original'!B220)</f>
        <v/>
      </c>
      <c r="C220" s="20" t="str">
        <f>IF('DDF Original'!C220="","",'DDF Original'!C220)</f>
        <v/>
      </c>
      <c r="D220" s="20" t="str">
        <f>IF('DDF Original'!F220="","",'DDF Original'!F220)</f>
        <v/>
      </c>
      <c r="E220" s="38" t="str">
        <f>'Recálculo Confissão (85-B)'!N220</f>
        <v/>
      </c>
      <c r="F220" s="20" t="str">
        <f t="shared" si="6"/>
        <v/>
      </c>
      <c r="G220" s="20" t="str">
        <f t="shared" si="7"/>
        <v/>
      </c>
    </row>
    <row r="221" spans="2:7" x14ac:dyDescent="0.2">
      <c r="B221" s="19" t="str">
        <f>IF('DDF Original'!B221="","",'DDF Original'!B221)</f>
        <v/>
      </c>
      <c r="C221" s="20" t="str">
        <f>IF('DDF Original'!C221="","",'DDF Original'!C221)</f>
        <v/>
      </c>
      <c r="D221" s="20" t="str">
        <f>IF('DDF Original'!F221="","",'DDF Original'!F221)</f>
        <v/>
      </c>
      <c r="E221" s="38" t="str">
        <f>'Recálculo Confissão (85-B)'!N221</f>
        <v/>
      </c>
      <c r="F221" s="20" t="str">
        <f t="shared" si="6"/>
        <v/>
      </c>
      <c r="G221" s="20" t="str">
        <f t="shared" si="7"/>
        <v/>
      </c>
    </row>
    <row r="222" spans="2:7" x14ac:dyDescent="0.2">
      <c r="B222" s="19" t="str">
        <f>IF('DDF Original'!B222="","",'DDF Original'!B222)</f>
        <v/>
      </c>
      <c r="C222" s="20" t="str">
        <f>IF('DDF Original'!C222="","",'DDF Original'!C222)</f>
        <v/>
      </c>
      <c r="D222" s="20" t="str">
        <f>IF('DDF Original'!F222="","",'DDF Original'!F222)</f>
        <v/>
      </c>
      <c r="E222" s="38" t="str">
        <f>'Recálculo Confissão (85-B)'!N222</f>
        <v/>
      </c>
      <c r="F222" s="20" t="str">
        <f t="shared" si="6"/>
        <v/>
      </c>
      <c r="G222" s="20" t="str">
        <f t="shared" si="7"/>
        <v/>
      </c>
    </row>
    <row r="223" spans="2:7" x14ac:dyDescent="0.2">
      <c r="B223" s="19" t="str">
        <f>IF('DDF Original'!B223="","",'DDF Original'!B223)</f>
        <v/>
      </c>
      <c r="C223" s="20" t="str">
        <f>IF('DDF Original'!C223="","",'DDF Original'!C223)</f>
        <v/>
      </c>
      <c r="D223" s="20" t="str">
        <f>IF('DDF Original'!F223="","",'DDF Original'!F223)</f>
        <v/>
      </c>
      <c r="E223" s="38" t="str">
        <f>'Recálculo Confissão (85-B)'!N223</f>
        <v/>
      </c>
      <c r="F223" s="20" t="str">
        <f t="shared" si="6"/>
        <v/>
      </c>
      <c r="G223" s="20" t="str">
        <f t="shared" si="7"/>
        <v/>
      </c>
    </row>
    <row r="224" spans="2:7" x14ac:dyDescent="0.2">
      <c r="B224" s="19" t="str">
        <f>IF('DDF Original'!B224="","",'DDF Original'!B224)</f>
        <v/>
      </c>
      <c r="C224" s="20" t="str">
        <f>IF('DDF Original'!C224="","",'DDF Original'!C224)</f>
        <v/>
      </c>
      <c r="D224" s="20" t="str">
        <f>IF('DDF Original'!F224="","",'DDF Original'!F224)</f>
        <v/>
      </c>
      <c r="E224" s="38" t="str">
        <f>'Recálculo Confissão (85-B)'!N224</f>
        <v/>
      </c>
      <c r="F224" s="20" t="str">
        <f t="shared" si="6"/>
        <v/>
      </c>
      <c r="G224" s="20" t="str">
        <f t="shared" si="7"/>
        <v/>
      </c>
    </row>
    <row r="225" spans="2:7" x14ac:dyDescent="0.2">
      <c r="B225" s="19" t="str">
        <f>IF('DDF Original'!B225="","",'DDF Original'!B225)</f>
        <v/>
      </c>
      <c r="C225" s="20" t="str">
        <f>IF('DDF Original'!C225="","",'DDF Original'!C225)</f>
        <v/>
      </c>
      <c r="D225" s="20" t="str">
        <f>IF('DDF Original'!F225="","",'DDF Original'!F225)</f>
        <v/>
      </c>
      <c r="E225" s="38" t="str">
        <f>'Recálculo Confissão (85-B)'!N225</f>
        <v/>
      </c>
      <c r="F225" s="20" t="str">
        <f t="shared" si="6"/>
        <v/>
      </c>
      <c r="G225" s="20" t="str">
        <f t="shared" si="7"/>
        <v/>
      </c>
    </row>
    <row r="226" spans="2:7" x14ac:dyDescent="0.2">
      <c r="B226" s="19" t="str">
        <f>IF('DDF Original'!B226="","",'DDF Original'!B226)</f>
        <v/>
      </c>
      <c r="C226" s="20" t="str">
        <f>IF('DDF Original'!C226="","",'DDF Original'!C226)</f>
        <v/>
      </c>
      <c r="D226" s="20" t="str">
        <f>IF('DDF Original'!F226="","",'DDF Original'!F226)</f>
        <v/>
      </c>
      <c r="E226" s="38" t="str">
        <f>'Recálculo Confissão (85-B)'!N226</f>
        <v/>
      </c>
      <c r="F226" s="20" t="str">
        <f t="shared" si="6"/>
        <v/>
      </c>
      <c r="G226" s="20" t="str">
        <f t="shared" si="7"/>
        <v/>
      </c>
    </row>
    <row r="227" spans="2:7" x14ac:dyDescent="0.2">
      <c r="B227" s="19" t="str">
        <f>IF('DDF Original'!B227="","",'DDF Original'!B227)</f>
        <v/>
      </c>
      <c r="C227" s="20" t="str">
        <f>IF('DDF Original'!C227="","",'DDF Original'!C227)</f>
        <v/>
      </c>
      <c r="D227" s="20" t="str">
        <f>IF('DDF Original'!F227="","",'DDF Original'!F227)</f>
        <v/>
      </c>
      <c r="E227" s="38" t="str">
        <f>'Recálculo Confissão (85-B)'!N227</f>
        <v/>
      </c>
      <c r="F227" s="20" t="str">
        <f t="shared" si="6"/>
        <v/>
      </c>
      <c r="G227" s="20" t="str">
        <f t="shared" si="7"/>
        <v/>
      </c>
    </row>
    <row r="228" spans="2:7" x14ac:dyDescent="0.2">
      <c r="B228" s="19" t="str">
        <f>IF('DDF Original'!B228="","",'DDF Original'!B228)</f>
        <v/>
      </c>
      <c r="C228" s="20" t="str">
        <f>IF('DDF Original'!C228="","",'DDF Original'!C228)</f>
        <v/>
      </c>
      <c r="D228" s="20" t="str">
        <f>IF('DDF Original'!F228="","",'DDF Original'!F228)</f>
        <v/>
      </c>
      <c r="E228" s="38" t="str">
        <f>'Recálculo Confissão (85-B)'!N228</f>
        <v/>
      </c>
      <c r="F228" s="20" t="str">
        <f t="shared" si="6"/>
        <v/>
      </c>
      <c r="G228" s="20" t="str">
        <f t="shared" si="7"/>
        <v/>
      </c>
    </row>
    <row r="229" spans="2:7" x14ac:dyDescent="0.2">
      <c r="B229" s="19" t="str">
        <f>IF('DDF Original'!B229="","",'DDF Original'!B229)</f>
        <v/>
      </c>
      <c r="C229" s="20" t="str">
        <f>IF('DDF Original'!C229="","",'DDF Original'!C229)</f>
        <v/>
      </c>
      <c r="D229" s="20" t="str">
        <f>IF('DDF Original'!F229="","",'DDF Original'!F229)</f>
        <v/>
      </c>
      <c r="E229" s="38" t="str">
        <f>'Recálculo Confissão (85-B)'!N229</f>
        <v/>
      </c>
      <c r="F229" s="20" t="str">
        <f t="shared" si="6"/>
        <v/>
      </c>
      <c r="G229" s="20" t="str">
        <f t="shared" si="7"/>
        <v/>
      </c>
    </row>
    <row r="230" spans="2:7" x14ac:dyDescent="0.2">
      <c r="B230" s="19" t="str">
        <f>IF('DDF Original'!B230="","",'DDF Original'!B230)</f>
        <v/>
      </c>
      <c r="C230" s="20" t="str">
        <f>IF('DDF Original'!C230="","",'DDF Original'!C230)</f>
        <v/>
      </c>
      <c r="D230" s="20" t="str">
        <f>IF('DDF Original'!F230="","",'DDF Original'!F230)</f>
        <v/>
      </c>
      <c r="E230" s="38" t="str">
        <f>'Recálculo Confissão (85-B)'!N230</f>
        <v/>
      </c>
      <c r="F230" s="20" t="str">
        <f t="shared" si="6"/>
        <v/>
      </c>
      <c r="G230" s="20" t="str">
        <f t="shared" si="7"/>
        <v/>
      </c>
    </row>
    <row r="231" spans="2:7" x14ac:dyDescent="0.2">
      <c r="B231" s="19" t="str">
        <f>IF('DDF Original'!B231="","",'DDF Original'!B231)</f>
        <v/>
      </c>
      <c r="C231" s="20" t="str">
        <f>IF('DDF Original'!C231="","",'DDF Original'!C231)</f>
        <v/>
      </c>
      <c r="D231" s="20" t="str">
        <f>IF('DDF Original'!F231="","",'DDF Original'!F231)</f>
        <v/>
      </c>
      <c r="E231" s="38" t="str">
        <f>'Recálculo Confissão (85-B)'!N231</f>
        <v/>
      </c>
      <c r="F231" s="20" t="str">
        <f t="shared" si="6"/>
        <v/>
      </c>
      <c r="G231" s="20" t="str">
        <f t="shared" si="7"/>
        <v/>
      </c>
    </row>
    <row r="232" spans="2:7" x14ac:dyDescent="0.2">
      <c r="B232" s="19" t="str">
        <f>IF('DDF Original'!B232="","",'DDF Original'!B232)</f>
        <v/>
      </c>
      <c r="C232" s="20" t="str">
        <f>IF('DDF Original'!C232="","",'DDF Original'!C232)</f>
        <v/>
      </c>
      <c r="D232" s="20" t="str">
        <f>IF('DDF Original'!F232="","",'DDF Original'!F232)</f>
        <v/>
      </c>
      <c r="E232" s="38" t="str">
        <f>'Recálculo Confissão (85-B)'!N232</f>
        <v/>
      </c>
      <c r="F232" s="20" t="str">
        <f t="shared" si="6"/>
        <v/>
      </c>
      <c r="G232" s="20" t="str">
        <f t="shared" si="7"/>
        <v/>
      </c>
    </row>
    <row r="233" spans="2:7" x14ac:dyDescent="0.2">
      <c r="B233" s="19" t="str">
        <f>IF('DDF Original'!B233="","",'DDF Original'!B233)</f>
        <v/>
      </c>
      <c r="C233" s="20" t="str">
        <f>IF('DDF Original'!C233="","",'DDF Original'!C233)</f>
        <v/>
      </c>
      <c r="D233" s="20" t="str">
        <f>IF('DDF Original'!F233="","",'DDF Original'!F233)</f>
        <v/>
      </c>
      <c r="E233" s="38" t="str">
        <f>'Recálculo Confissão (85-B)'!N233</f>
        <v/>
      </c>
      <c r="F233" s="20" t="str">
        <f t="shared" si="6"/>
        <v/>
      </c>
      <c r="G233" s="20" t="str">
        <f t="shared" si="7"/>
        <v/>
      </c>
    </row>
    <row r="234" spans="2:7" x14ac:dyDescent="0.2">
      <c r="B234" s="19" t="str">
        <f>IF('DDF Original'!B234="","",'DDF Original'!B234)</f>
        <v/>
      </c>
      <c r="C234" s="20" t="str">
        <f>IF('DDF Original'!C234="","",'DDF Original'!C234)</f>
        <v/>
      </c>
      <c r="D234" s="20" t="str">
        <f>IF('DDF Original'!F234="","",'DDF Original'!F234)</f>
        <v/>
      </c>
      <c r="E234" s="38" t="str">
        <f>'Recálculo Confissão (85-B)'!N234</f>
        <v/>
      </c>
      <c r="F234" s="20" t="str">
        <f t="shared" si="6"/>
        <v/>
      </c>
      <c r="G234" s="20" t="str">
        <f t="shared" si="7"/>
        <v/>
      </c>
    </row>
    <row r="235" spans="2:7" x14ac:dyDescent="0.2">
      <c r="B235" s="19" t="str">
        <f>IF('DDF Original'!B235="","",'DDF Original'!B235)</f>
        <v/>
      </c>
      <c r="C235" s="20" t="str">
        <f>IF('DDF Original'!C235="","",'DDF Original'!C235)</f>
        <v/>
      </c>
      <c r="D235" s="20" t="str">
        <f>IF('DDF Original'!F235="","",'DDF Original'!F235)</f>
        <v/>
      </c>
      <c r="E235" s="38" t="str">
        <f>'Recálculo Confissão (85-B)'!N235</f>
        <v/>
      </c>
      <c r="F235" s="20" t="str">
        <f t="shared" si="6"/>
        <v/>
      </c>
      <c r="G235" s="20" t="str">
        <f t="shared" si="7"/>
        <v/>
      </c>
    </row>
    <row r="236" spans="2:7" x14ac:dyDescent="0.2">
      <c r="B236" s="19" t="str">
        <f>IF('DDF Original'!B236="","",'DDF Original'!B236)</f>
        <v/>
      </c>
      <c r="C236" s="20" t="str">
        <f>IF('DDF Original'!C236="","",'DDF Original'!C236)</f>
        <v/>
      </c>
      <c r="D236" s="20" t="str">
        <f>IF('DDF Original'!F236="","",'DDF Original'!F236)</f>
        <v/>
      </c>
      <c r="E236" s="38" t="str">
        <f>'Recálculo Confissão (85-B)'!N236</f>
        <v/>
      </c>
      <c r="F236" s="20" t="str">
        <f t="shared" si="6"/>
        <v/>
      </c>
      <c r="G236" s="20" t="str">
        <f t="shared" si="7"/>
        <v/>
      </c>
    </row>
    <row r="237" spans="2:7" x14ac:dyDescent="0.2">
      <c r="B237" s="19" t="str">
        <f>IF('DDF Original'!B237="","",'DDF Original'!B237)</f>
        <v/>
      </c>
      <c r="C237" s="20" t="str">
        <f>IF('DDF Original'!C237="","",'DDF Original'!C237)</f>
        <v/>
      </c>
      <c r="D237" s="20" t="str">
        <f>IF('DDF Original'!F237="","",'DDF Original'!F237)</f>
        <v/>
      </c>
      <c r="E237" s="38" t="str">
        <f>'Recálculo Confissão (85-B)'!N237</f>
        <v/>
      </c>
      <c r="F237" s="20" t="str">
        <f t="shared" si="6"/>
        <v/>
      </c>
      <c r="G237" s="20" t="str">
        <f t="shared" si="7"/>
        <v/>
      </c>
    </row>
    <row r="238" spans="2:7" x14ac:dyDescent="0.2">
      <c r="B238" s="19" t="str">
        <f>IF('DDF Original'!B238="","",'DDF Original'!B238)</f>
        <v/>
      </c>
      <c r="C238" s="20" t="str">
        <f>IF('DDF Original'!C238="","",'DDF Original'!C238)</f>
        <v/>
      </c>
      <c r="D238" s="20" t="str">
        <f>IF('DDF Original'!F238="","",'DDF Original'!F238)</f>
        <v/>
      </c>
      <c r="E238" s="38" t="str">
        <f>'Recálculo Confissão (85-B)'!N238</f>
        <v/>
      </c>
      <c r="F238" s="20" t="str">
        <f t="shared" si="6"/>
        <v/>
      </c>
      <c r="G238" s="20" t="str">
        <f t="shared" si="7"/>
        <v/>
      </c>
    </row>
    <row r="239" spans="2:7" x14ac:dyDescent="0.2">
      <c r="B239" s="19" t="str">
        <f>IF('DDF Original'!B239="","",'DDF Original'!B239)</f>
        <v/>
      </c>
      <c r="C239" s="20" t="str">
        <f>IF('DDF Original'!C239="","",'DDF Original'!C239)</f>
        <v/>
      </c>
      <c r="D239" s="20" t="str">
        <f>IF('DDF Original'!F239="","",'DDF Original'!F239)</f>
        <v/>
      </c>
      <c r="E239" s="38" t="str">
        <f>'Recálculo Confissão (85-B)'!N239</f>
        <v/>
      </c>
      <c r="F239" s="20" t="str">
        <f t="shared" si="6"/>
        <v/>
      </c>
      <c r="G239" s="20" t="str">
        <f t="shared" si="7"/>
        <v/>
      </c>
    </row>
    <row r="240" spans="2:7" x14ac:dyDescent="0.2">
      <c r="B240" s="19" t="str">
        <f>IF('DDF Original'!B240="","",'DDF Original'!B240)</f>
        <v/>
      </c>
      <c r="C240" s="20" t="str">
        <f>IF('DDF Original'!C240="","",'DDF Original'!C240)</f>
        <v/>
      </c>
      <c r="D240" s="20" t="str">
        <f>IF('DDF Original'!F240="","",'DDF Original'!F240)</f>
        <v/>
      </c>
      <c r="E240" s="38" t="str">
        <f>'Recálculo Confissão (85-B)'!N240</f>
        <v/>
      </c>
      <c r="F240" s="20" t="str">
        <f t="shared" si="6"/>
        <v/>
      </c>
      <c r="G240" s="20" t="str">
        <f t="shared" si="7"/>
        <v/>
      </c>
    </row>
    <row r="241" spans="2:7" x14ac:dyDescent="0.2">
      <c r="B241" s="19" t="str">
        <f>IF('DDF Original'!B241="","",'DDF Original'!B241)</f>
        <v/>
      </c>
      <c r="C241" s="20" t="str">
        <f>IF('DDF Original'!C241="","",'DDF Original'!C241)</f>
        <v/>
      </c>
      <c r="D241" s="20" t="str">
        <f>IF('DDF Original'!F241="","",'DDF Original'!F241)</f>
        <v/>
      </c>
      <c r="E241" s="38" t="str">
        <f>'Recálculo Confissão (85-B)'!N241</f>
        <v/>
      </c>
      <c r="F241" s="20" t="str">
        <f t="shared" si="6"/>
        <v/>
      </c>
      <c r="G241" s="20" t="str">
        <f t="shared" si="7"/>
        <v/>
      </c>
    </row>
    <row r="242" spans="2:7" x14ac:dyDescent="0.2">
      <c r="B242" s="19" t="str">
        <f>IF('DDF Original'!B242="","",'DDF Original'!B242)</f>
        <v/>
      </c>
      <c r="C242" s="20" t="str">
        <f>IF('DDF Original'!C242="","",'DDF Original'!C242)</f>
        <v/>
      </c>
      <c r="D242" s="20" t="str">
        <f>IF('DDF Original'!F242="","",'DDF Original'!F242)</f>
        <v/>
      </c>
      <c r="E242" s="38" t="str">
        <f>'Recálculo Confissão (85-B)'!N242</f>
        <v/>
      </c>
      <c r="F242" s="20" t="str">
        <f t="shared" si="6"/>
        <v/>
      </c>
      <c r="G242" s="20" t="str">
        <f t="shared" si="7"/>
        <v/>
      </c>
    </row>
    <row r="243" spans="2:7" x14ac:dyDescent="0.2">
      <c r="B243" s="19" t="str">
        <f>IF('DDF Original'!B243="","",'DDF Original'!B243)</f>
        <v/>
      </c>
      <c r="C243" s="20" t="str">
        <f>IF('DDF Original'!C243="","",'DDF Original'!C243)</f>
        <v/>
      </c>
      <c r="D243" s="20" t="str">
        <f>IF('DDF Original'!F243="","",'DDF Original'!F243)</f>
        <v/>
      </c>
      <c r="E243" s="38" t="str">
        <f>'Recálculo Confissão (85-B)'!N243</f>
        <v/>
      </c>
      <c r="F243" s="20" t="str">
        <f t="shared" si="6"/>
        <v/>
      </c>
      <c r="G243" s="20" t="str">
        <f t="shared" si="7"/>
        <v/>
      </c>
    </row>
    <row r="244" spans="2:7" x14ac:dyDescent="0.2">
      <c r="B244" s="19" t="str">
        <f>IF('DDF Original'!B244="","",'DDF Original'!B244)</f>
        <v/>
      </c>
      <c r="C244" s="20" t="str">
        <f>IF('DDF Original'!C244="","",'DDF Original'!C244)</f>
        <v/>
      </c>
      <c r="D244" s="20" t="str">
        <f>IF('DDF Original'!F244="","",'DDF Original'!F244)</f>
        <v/>
      </c>
      <c r="E244" s="38" t="str">
        <f>'Recálculo Confissão (85-B)'!N244</f>
        <v/>
      </c>
      <c r="F244" s="20" t="str">
        <f t="shared" si="6"/>
        <v/>
      </c>
      <c r="G244" s="20" t="str">
        <f t="shared" si="7"/>
        <v/>
      </c>
    </row>
    <row r="245" spans="2:7" x14ac:dyDescent="0.2">
      <c r="B245" s="19" t="str">
        <f>IF('DDF Original'!B245="","",'DDF Original'!B245)</f>
        <v/>
      </c>
      <c r="C245" s="20" t="str">
        <f>IF('DDF Original'!C245="","",'DDF Original'!C245)</f>
        <v/>
      </c>
      <c r="D245" s="20" t="str">
        <f>IF('DDF Original'!F245="","",'DDF Original'!F245)</f>
        <v/>
      </c>
      <c r="E245" s="38" t="str">
        <f>'Recálculo Confissão (85-B)'!N245</f>
        <v/>
      </c>
      <c r="F245" s="20" t="str">
        <f t="shared" si="6"/>
        <v/>
      </c>
      <c r="G245" s="20" t="str">
        <f t="shared" si="7"/>
        <v/>
      </c>
    </row>
    <row r="246" spans="2:7" x14ac:dyDescent="0.2">
      <c r="B246" s="19" t="str">
        <f>IF('DDF Original'!B246="","",'DDF Original'!B246)</f>
        <v/>
      </c>
      <c r="C246" s="20" t="str">
        <f>IF('DDF Original'!C246="","",'DDF Original'!C246)</f>
        <v/>
      </c>
      <c r="D246" s="20" t="str">
        <f>IF('DDF Original'!F246="","",'DDF Original'!F246)</f>
        <v/>
      </c>
      <c r="E246" s="38" t="str">
        <f>'Recálculo Confissão (85-B)'!N246</f>
        <v/>
      </c>
      <c r="F246" s="20" t="str">
        <f t="shared" si="6"/>
        <v/>
      </c>
      <c r="G246" s="20" t="str">
        <f t="shared" si="7"/>
        <v/>
      </c>
    </row>
    <row r="247" spans="2:7" x14ac:dyDescent="0.2">
      <c r="B247" s="19" t="str">
        <f>IF('DDF Original'!B247="","",'DDF Original'!B247)</f>
        <v/>
      </c>
      <c r="C247" s="20" t="str">
        <f>IF('DDF Original'!C247="","",'DDF Original'!C247)</f>
        <v/>
      </c>
      <c r="D247" s="20" t="str">
        <f>IF('DDF Original'!F247="","",'DDF Original'!F247)</f>
        <v/>
      </c>
      <c r="E247" s="38" t="str">
        <f>'Recálculo Confissão (85-B)'!N247</f>
        <v/>
      </c>
      <c r="F247" s="20" t="str">
        <f t="shared" si="6"/>
        <v/>
      </c>
      <c r="G247" s="20" t="str">
        <f t="shared" si="7"/>
        <v/>
      </c>
    </row>
    <row r="248" spans="2:7" x14ac:dyDescent="0.2">
      <c r="B248" s="19" t="str">
        <f>IF('DDF Original'!B248="","",'DDF Original'!B248)</f>
        <v/>
      </c>
      <c r="C248" s="20" t="str">
        <f>IF('DDF Original'!C248="","",'DDF Original'!C248)</f>
        <v/>
      </c>
      <c r="D248" s="20" t="str">
        <f>IF('DDF Original'!F248="","",'DDF Original'!F248)</f>
        <v/>
      </c>
      <c r="E248" s="38" t="str">
        <f>'Recálculo Confissão (85-B)'!N248</f>
        <v/>
      </c>
      <c r="F248" s="20" t="str">
        <f t="shared" si="6"/>
        <v/>
      </c>
      <c r="G248" s="20" t="str">
        <f t="shared" si="7"/>
        <v/>
      </c>
    </row>
    <row r="249" spans="2:7" x14ac:dyDescent="0.2">
      <c r="B249" s="19" t="str">
        <f>IF('DDF Original'!B249="","",'DDF Original'!B249)</f>
        <v/>
      </c>
      <c r="C249" s="20" t="str">
        <f>IF('DDF Original'!C249="","",'DDF Original'!C249)</f>
        <v/>
      </c>
      <c r="D249" s="20" t="str">
        <f>IF('DDF Original'!F249="","",'DDF Original'!F249)</f>
        <v/>
      </c>
      <c r="E249" s="38" t="str">
        <f>'Recálculo Confissão (85-B)'!N249</f>
        <v/>
      </c>
      <c r="F249" s="20" t="str">
        <f t="shared" si="6"/>
        <v/>
      </c>
      <c r="G249" s="20" t="str">
        <f t="shared" si="7"/>
        <v/>
      </c>
    </row>
    <row r="250" spans="2:7" x14ac:dyDescent="0.2">
      <c r="B250" s="19" t="str">
        <f>IF('DDF Original'!B250="","",'DDF Original'!B250)</f>
        <v/>
      </c>
      <c r="C250" s="20" t="str">
        <f>IF('DDF Original'!C250="","",'DDF Original'!C250)</f>
        <v/>
      </c>
      <c r="D250" s="20" t="str">
        <f>IF('DDF Original'!F250="","",'DDF Original'!F250)</f>
        <v/>
      </c>
      <c r="E250" s="38" t="str">
        <f>'Recálculo Confissão (85-B)'!N250</f>
        <v/>
      </c>
      <c r="F250" s="20" t="str">
        <f t="shared" si="6"/>
        <v/>
      </c>
      <c r="G250" s="20" t="str">
        <f t="shared" si="7"/>
        <v/>
      </c>
    </row>
    <row r="251" spans="2:7" x14ac:dyDescent="0.2">
      <c r="B251" s="19" t="str">
        <f>IF('DDF Original'!B251="","",'DDF Original'!B251)</f>
        <v/>
      </c>
      <c r="C251" s="20" t="str">
        <f>IF('DDF Original'!C251="","",'DDF Original'!C251)</f>
        <v/>
      </c>
      <c r="D251" s="20" t="str">
        <f>IF('DDF Original'!F251="","",'DDF Original'!F251)</f>
        <v/>
      </c>
      <c r="E251" s="38" t="str">
        <f>'Recálculo Confissão (85-B)'!N251</f>
        <v/>
      </c>
      <c r="F251" s="20" t="str">
        <f t="shared" si="6"/>
        <v/>
      </c>
      <c r="G251" s="20" t="str">
        <f t="shared" si="7"/>
        <v/>
      </c>
    </row>
    <row r="252" spans="2:7" x14ac:dyDescent="0.2">
      <c r="B252" s="19" t="str">
        <f>IF('DDF Original'!B252="","",'DDF Original'!B252)</f>
        <v/>
      </c>
      <c r="C252" s="20" t="str">
        <f>IF('DDF Original'!C252="","",'DDF Original'!C252)</f>
        <v/>
      </c>
      <c r="D252" s="20" t="str">
        <f>IF('DDF Original'!F252="","",'DDF Original'!F252)</f>
        <v/>
      </c>
      <c r="E252" s="38" t="str">
        <f>'Recálculo Confissão (85-B)'!N252</f>
        <v/>
      </c>
      <c r="F252" s="20" t="str">
        <f t="shared" si="6"/>
        <v/>
      </c>
      <c r="G252" s="20" t="str">
        <f t="shared" si="7"/>
        <v/>
      </c>
    </row>
    <row r="253" spans="2:7" x14ac:dyDescent="0.2">
      <c r="B253" s="19" t="str">
        <f>IF('DDF Original'!B253="","",'DDF Original'!B253)</f>
        <v/>
      </c>
      <c r="C253" s="20" t="str">
        <f>IF('DDF Original'!C253="","",'DDF Original'!C253)</f>
        <v/>
      </c>
      <c r="D253" s="20" t="str">
        <f>IF('DDF Original'!F253="","",'DDF Original'!F253)</f>
        <v/>
      </c>
      <c r="E253" s="38" t="str">
        <f>'Recálculo Confissão (85-B)'!N253</f>
        <v/>
      </c>
      <c r="F253" s="20" t="str">
        <f t="shared" si="6"/>
        <v/>
      </c>
      <c r="G253" s="20" t="str">
        <f t="shared" si="7"/>
        <v/>
      </c>
    </row>
    <row r="254" spans="2:7" x14ac:dyDescent="0.2">
      <c r="B254" s="19" t="str">
        <f>IF('DDF Original'!B254="","",'DDF Original'!B254)</f>
        <v/>
      </c>
      <c r="C254" s="20" t="str">
        <f>IF('DDF Original'!C254="","",'DDF Original'!C254)</f>
        <v/>
      </c>
      <c r="D254" s="20" t="str">
        <f>IF('DDF Original'!F254="","",'DDF Original'!F254)</f>
        <v/>
      </c>
      <c r="E254" s="38" t="str">
        <f>'Recálculo Confissão (85-B)'!N254</f>
        <v/>
      </c>
      <c r="F254" s="20" t="str">
        <f t="shared" si="6"/>
        <v/>
      </c>
      <c r="G254" s="20" t="str">
        <f t="shared" si="7"/>
        <v/>
      </c>
    </row>
    <row r="255" spans="2:7" x14ac:dyDescent="0.2">
      <c r="B255" s="19" t="str">
        <f>IF('DDF Original'!B255="","",'DDF Original'!B255)</f>
        <v/>
      </c>
      <c r="C255" s="20" t="str">
        <f>IF('DDF Original'!C255="","",'DDF Original'!C255)</f>
        <v/>
      </c>
      <c r="D255" s="20" t="str">
        <f>IF('DDF Original'!F255="","",'DDF Original'!F255)</f>
        <v/>
      </c>
      <c r="E255" s="38" t="str">
        <f>'Recálculo Confissão (85-B)'!N255</f>
        <v/>
      </c>
      <c r="F255" s="20" t="str">
        <f t="shared" si="6"/>
        <v/>
      </c>
      <c r="G255" s="20" t="str">
        <f t="shared" si="7"/>
        <v/>
      </c>
    </row>
    <row r="256" spans="2:7" x14ac:dyDescent="0.2">
      <c r="B256" s="19" t="str">
        <f>IF('DDF Original'!B256="","",'DDF Original'!B256)</f>
        <v/>
      </c>
      <c r="C256" s="20" t="str">
        <f>IF('DDF Original'!C256="","",'DDF Original'!C256)</f>
        <v/>
      </c>
      <c r="D256" s="20" t="str">
        <f>IF('DDF Original'!F256="","",'DDF Original'!F256)</f>
        <v/>
      </c>
      <c r="E256" s="38" t="str">
        <f>'Recálculo Confissão (85-B)'!N256</f>
        <v/>
      </c>
      <c r="F256" s="20" t="str">
        <f t="shared" si="6"/>
        <v/>
      </c>
      <c r="G256" s="20" t="str">
        <f t="shared" si="7"/>
        <v/>
      </c>
    </row>
    <row r="257" spans="2:7" x14ac:dyDescent="0.2">
      <c r="B257" s="19" t="str">
        <f>IF('DDF Original'!B257="","",'DDF Original'!B257)</f>
        <v/>
      </c>
      <c r="C257" s="20" t="str">
        <f>IF('DDF Original'!C257="","",'DDF Original'!C257)</f>
        <v/>
      </c>
      <c r="D257" s="20" t="str">
        <f>IF('DDF Original'!F257="","",'DDF Original'!F257)</f>
        <v/>
      </c>
      <c r="E257" s="38" t="str">
        <f>'Recálculo Confissão (85-B)'!N257</f>
        <v/>
      </c>
      <c r="F257" s="20" t="str">
        <f t="shared" si="6"/>
        <v/>
      </c>
      <c r="G257" s="20" t="str">
        <f t="shared" si="7"/>
        <v/>
      </c>
    </row>
    <row r="258" spans="2:7" x14ac:dyDescent="0.2">
      <c r="B258" s="19" t="str">
        <f>IF('DDF Original'!B258="","",'DDF Original'!B258)</f>
        <v/>
      </c>
      <c r="C258" s="20" t="str">
        <f>IF('DDF Original'!C258="","",'DDF Original'!C258)</f>
        <v/>
      </c>
      <c r="D258" s="20" t="str">
        <f>IF('DDF Original'!F258="","",'DDF Original'!F258)</f>
        <v/>
      </c>
      <c r="E258" s="38" t="str">
        <f>'Recálculo Confissão (85-B)'!N258</f>
        <v/>
      </c>
      <c r="F258" s="20" t="str">
        <f t="shared" si="6"/>
        <v/>
      </c>
      <c r="G258" s="20" t="str">
        <f t="shared" si="7"/>
        <v/>
      </c>
    </row>
    <row r="259" spans="2:7" x14ac:dyDescent="0.2">
      <c r="B259" s="19" t="str">
        <f>IF('DDF Original'!B259="","",'DDF Original'!B259)</f>
        <v/>
      </c>
      <c r="C259" s="20" t="str">
        <f>IF('DDF Original'!C259="","",'DDF Original'!C259)</f>
        <v/>
      </c>
      <c r="D259" s="20" t="str">
        <f>IF('DDF Original'!F259="","",'DDF Original'!F259)</f>
        <v/>
      </c>
      <c r="E259" s="38" t="str">
        <f>'Recálculo Confissão (85-B)'!N259</f>
        <v/>
      </c>
      <c r="F259" s="20" t="str">
        <f t="shared" si="6"/>
        <v/>
      </c>
      <c r="G259" s="20" t="str">
        <f t="shared" si="7"/>
        <v/>
      </c>
    </row>
    <row r="260" spans="2:7" x14ac:dyDescent="0.2">
      <c r="B260" s="19" t="str">
        <f>IF('DDF Original'!B260="","",'DDF Original'!B260)</f>
        <v/>
      </c>
      <c r="C260" s="20" t="str">
        <f>IF('DDF Original'!C260="","",'DDF Original'!C260)</f>
        <v/>
      </c>
      <c r="D260" s="20" t="str">
        <f>IF('DDF Original'!F260="","",'DDF Original'!F260)</f>
        <v/>
      </c>
      <c r="E260" s="38" t="str">
        <f>'Recálculo Confissão (85-B)'!N260</f>
        <v/>
      </c>
      <c r="F260" s="20" t="str">
        <f t="shared" si="6"/>
        <v/>
      </c>
      <c r="G260" s="20" t="str">
        <f t="shared" si="7"/>
        <v/>
      </c>
    </row>
    <row r="261" spans="2:7" x14ac:dyDescent="0.2">
      <c r="B261" s="19" t="str">
        <f>IF('DDF Original'!B261="","",'DDF Original'!B261)</f>
        <v/>
      </c>
      <c r="C261" s="20" t="str">
        <f>IF('DDF Original'!C261="","",'DDF Original'!C261)</f>
        <v/>
      </c>
      <c r="D261" s="20" t="str">
        <f>IF('DDF Original'!F261="","",'DDF Original'!F261)</f>
        <v/>
      </c>
      <c r="E261" s="38" t="str">
        <f>'Recálculo Confissão (85-B)'!N261</f>
        <v/>
      </c>
      <c r="F261" s="20" t="str">
        <f t="shared" si="6"/>
        <v/>
      </c>
      <c r="G261" s="20" t="str">
        <f t="shared" si="7"/>
        <v/>
      </c>
    </row>
    <row r="262" spans="2:7" x14ac:dyDescent="0.2">
      <c r="B262" s="19" t="str">
        <f>IF('DDF Original'!B262="","",'DDF Original'!B262)</f>
        <v/>
      </c>
      <c r="C262" s="20" t="str">
        <f>IF('DDF Original'!C262="","",'DDF Original'!C262)</f>
        <v/>
      </c>
      <c r="D262" s="20" t="str">
        <f>IF('DDF Original'!F262="","",'DDF Original'!F262)</f>
        <v/>
      </c>
      <c r="E262" s="38" t="str">
        <f>'Recálculo Confissão (85-B)'!N262</f>
        <v/>
      </c>
      <c r="F262" s="20" t="str">
        <f t="shared" si="6"/>
        <v/>
      </c>
      <c r="G262" s="20" t="str">
        <f t="shared" si="7"/>
        <v/>
      </c>
    </row>
    <row r="263" spans="2:7" x14ac:dyDescent="0.2">
      <c r="B263" s="19" t="str">
        <f>IF('DDF Original'!B263="","",'DDF Original'!B263)</f>
        <v/>
      </c>
      <c r="C263" s="20" t="str">
        <f>IF('DDF Original'!C263="","",'DDF Original'!C263)</f>
        <v/>
      </c>
      <c r="D263" s="20" t="str">
        <f>IF('DDF Original'!F263="","",'DDF Original'!F263)</f>
        <v/>
      </c>
      <c r="E263" s="38" t="str">
        <f>'Recálculo Confissão (85-B)'!N263</f>
        <v/>
      </c>
      <c r="F263" s="20" t="str">
        <f t="shared" si="6"/>
        <v/>
      </c>
      <c r="G263" s="20" t="str">
        <f t="shared" si="7"/>
        <v/>
      </c>
    </row>
    <row r="264" spans="2:7" x14ac:dyDescent="0.2">
      <c r="B264" s="19" t="str">
        <f>IF('DDF Original'!B264="","",'DDF Original'!B264)</f>
        <v/>
      </c>
      <c r="C264" s="20" t="str">
        <f>IF('DDF Original'!C264="","",'DDF Original'!C264)</f>
        <v/>
      </c>
      <c r="D264" s="20" t="str">
        <f>IF('DDF Original'!F264="","",'DDF Original'!F264)</f>
        <v/>
      </c>
      <c r="E264" s="38" t="str">
        <f>'Recálculo Confissão (85-B)'!N264</f>
        <v/>
      </c>
      <c r="F264" s="20" t="str">
        <f t="shared" si="6"/>
        <v/>
      </c>
      <c r="G264" s="20" t="str">
        <f t="shared" si="7"/>
        <v/>
      </c>
    </row>
    <row r="265" spans="2:7" x14ac:dyDescent="0.2">
      <c r="B265" s="19" t="str">
        <f>IF('DDF Original'!B265="","",'DDF Original'!B265)</f>
        <v/>
      </c>
      <c r="C265" s="20" t="str">
        <f>IF('DDF Original'!C265="","",'DDF Original'!C265)</f>
        <v/>
      </c>
      <c r="D265" s="20" t="str">
        <f>IF('DDF Original'!F265="","",'DDF Original'!F265)</f>
        <v/>
      </c>
      <c r="E265" s="38" t="str">
        <f>'Recálculo Confissão (85-B)'!N265</f>
        <v/>
      </c>
      <c r="F265" s="20" t="str">
        <f t="shared" si="6"/>
        <v/>
      </c>
      <c r="G265" s="20" t="str">
        <f t="shared" si="7"/>
        <v/>
      </c>
    </row>
    <row r="266" spans="2:7" x14ac:dyDescent="0.2">
      <c r="B266" s="19" t="str">
        <f>IF('DDF Original'!B266="","",'DDF Original'!B266)</f>
        <v/>
      </c>
      <c r="C266" s="20" t="str">
        <f>IF('DDF Original'!C266="","",'DDF Original'!C266)</f>
        <v/>
      </c>
      <c r="D266" s="20" t="str">
        <f>IF('DDF Original'!F266="","",'DDF Original'!F266)</f>
        <v/>
      </c>
      <c r="E266" s="38" t="str">
        <f>'Recálculo Confissão (85-B)'!N266</f>
        <v/>
      </c>
      <c r="F266" s="20" t="str">
        <f t="shared" ref="F266:F329" si="8">IF(E266="","",ROUND(E266*(1-70%),2))</f>
        <v/>
      </c>
      <c r="G266" s="20" t="str">
        <f t="shared" ref="G266:G329" si="9">IF(E266="","",ROUND(E266*(1-60%),2))</f>
        <v/>
      </c>
    </row>
    <row r="267" spans="2:7" x14ac:dyDescent="0.2">
      <c r="B267" s="19" t="str">
        <f>IF('DDF Original'!B267="","",'DDF Original'!B267)</f>
        <v/>
      </c>
      <c r="C267" s="20" t="str">
        <f>IF('DDF Original'!C267="","",'DDF Original'!C267)</f>
        <v/>
      </c>
      <c r="D267" s="20" t="str">
        <f>IF('DDF Original'!F267="","",'DDF Original'!F267)</f>
        <v/>
      </c>
      <c r="E267" s="38" t="str">
        <f>'Recálculo Confissão (85-B)'!N267</f>
        <v/>
      </c>
      <c r="F267" s="20" t="str">
        <f t="shared" si="8"/>
        <v/>
      </c>
      <c r="G267" s="20" t="str">
        <f t="shared" si="9"/>
        <v/>
      </c>
    </row>
    <row r="268" spans="2:7" x14ac:dyDescent="0.2">
      <c r="B268" s="19" t="str">
        <f>IF('DDF Original'!B268="","",'DDF Original'!B268)</f>
        <v/>
      </c>
      <c r="C268" s="20" t="str">
        <f>IF('DDF Original'!C268="","",'DDF Original'!C268)</f>
        <v/>
      </c>
      <c r="D268" s="20" t="str">
        <f>IF('DDF Original'!F268="","",'DDF Original'!F268)</f>
        <v/>
      </c>
      <c r="E268" s="38" t="str">
        <f>'Recálculo Confissão (85-B)'!N268</f>
        <v/>
      </c>
      <c r="F268" s="20" t="str">
        <f t="shared" si="8"/>
        <v/>
      </c>
      <c r="G268" s="20" t="str">
        <f t="shared" si="9"/>
        <v/>
      </c>
    </row>
    <row r="269" spans="2:7" x14ac:dyDescent="0.2">
      <c r="B269" s="19" t="str">
        <f>IF('DDF Original'!B269="","",'DDF Original'!B269)</f>
        <v/>
      </c>
      <c r="C269" s="20" t="str">
        <f>IF('DDF Original'!C269="","",'DDF Original'!C269)</f>
        <v/>
      </c>
      <c r="D269" s="20" t="str">
        <f>IF('DDF Original'!F269="","",'DDF Original'!F269)</f>
        <v/>
      </c>
      <c r="E269" s="38" t="str">
        <f>'Recálculo Confissão (85-B)'!N269</f>
        <v/>
      </c>
      <c r="F269" s="20" t="str">
        <f t="shared" si="8"/>
        <v/>
      </c>
      <c r="G269" s="20" t="str">
        <f t="shared" si="9"/>
        <v/>
      </c>
    </row>
    <row r="270" spans="2:7" x14ac:dyDescent="0.2">
      <c r="B270" s="19" t="str">
        <f>IF('DDF Original'!B270="","",'DDF Original'!B270)</f>
        <v/>
      </c>
      <c r="C270" s="20" t="str">
        <f>IF('DDF Original'!C270="","",'DDF Original'!C270)</f>
        <v/>
      </c>
      <c r="D270" s="20" t="str">
        <f>IF('DDF Original'!F270="","",'DDF Original'!F270)</f>
        <v/>
      </c>
      <c r="E270" s="38" t="str">
        <f>'Recálculo Confissão (85-B)'!N270</f>
        <v/>
      </c>
      <c r="F270" s="20" t="str">
        <f t="shared" si="8"/>
        <v/>
      </c>
      <c r="G270" s="20" t="str">
        <f t="shared" si="9"/>
        <v/>
      </c>
    </row>
    <row r="271" spans="2:7" x14ac:dyDescent="0.2">
      <c r="B271" s="19" t="str">
        <f>IF('DDF Original'!B271="","",'DDF Original'!B271)</f>
        <v/>
      </c>
      <c r="C271" s="20" t="str">
        <f>IF('DDF Original'!C271="","",'DDF Original'!C271)</f>
        <v/>
      </c>
      <c r="D271" s="20" t="str">
        <f>IF('DDF Original'!F271="","",'DDF Original'!F271)</f>
        <v/>
      </c>
      <c r="E271" s="38" t="str">
        <f>'Recálculo Confissão (85-B)'!N271</f>
        <v/>
      </c>
      <c r="F271" s="20" t="str">
        <f t="shared" si="8"/>
        <v/>
      </c>
      <c r="G271" s="20" t="str">
        <f t="shared" si="9"/>
        <v/>
      </c>
    </row>
    <row r="272" spans="2:7" x14ac:dyDescent="0.2">
      <c r="B272" s="19" t="str">
        <f>IF('DDF Original'!B272="","",'DDF Original'!B272)</f>
        <v/>
      </c>
      <c r="C272" s="20" t="str">
        <f>IF('DDF Original'!C272="","",'DDF Original'!C272)</f>
        <v/>
      </c>
      <c r="D272" s="20" t="str">
        <f>IF('DDF Original'!F272="","",'DDF Original'!F272)</f>
        <v/>
      </c>
      <c r="E272" s="38" t="str">
        <f>'Recálculo Confissão (85-B)'!N272</f>
        <v/>
      </c>
      <c r="F272" s="20" t="str">
        <f t="shared" si="8"/>
        <v/>
      </c>
      <c r="G272" s="20" t="str">
        <f t="shared" si="9"/>
        <v/>
      </c>
    </row>
    <row r="273" spans="2:7" x14ac:dyDescent="0.2">
      <c r="B273" s="19" t="str">
        <f>IF('DDF Original'!B273="","",'DDF Original'!B273)</f>
        <v/>
      </c>
      <c r="C273" s="20" t="str">
        <f>IF('DDF Original'!C273="","",'DDF Original'!C273)</f>
        <v/>
      </c>
      <c r="D273" s="20" t="str">
        <f>IF('DDF Original'!F273="","",'DDF Original'!F273)</f>
        <v/>
      </c>
      <c r="E273" s="38" t="str">
        <f>'Recálculo Confissão (85-B)'!N273</f>
        <v/>
      </c>
      <c r="F273" s="20" t="str">
        <f t="shared" si="8"/>
        <v/>
      </c>
      <c r="G273" s="20" t="str">
        <f t="shared" si="9"/>
        <v/>
      </c>
    </row>
    <row r="274" spans="2:7" x14ac:dyDescent="0.2">
      <c r="B274" s="19" t="str">
        <f>IF('DDF Original'!B274="","",'DDF Original'!B274)</f>
        <v/>
      </c>
      <c r="C274" s="20" t="str">
        <f>IF('DDF Original'!C274="","",'DDF Original'!C274)</f>
        <v/>
      </c>
      <c r="D274" s="20" t="str">
        <f>IF('DDF Original'!F274="","",'DDF Original'!F274)</f>
        <v/>
      </c>
      <c r="E274" s="38" t="str">
        <f>'Recálculo Confissão (85-B)'!N274</f>
        <v/>
      </c>
      <c r="F274" s="20" t="str">
        <f t="shared" si="8"/>
        <v/>
      </c>
      <c r="G274" s="20" t="str">
        <f t="shared" si="9"/>
        <v/>
      </c>
    </row>
    <row r="275" spans="2:7" x14ac:dyDescent="0.2">
      <c r="B275" s="19" t="str">
        <f>IF('DDF Original'!B275="","",'DDF Original'!B275)</f>
        <v/>
      </c>
      <c r="C275" s="20" t="str">
        <f>IF('DDF Original'!C275="","",'DDF Original'!C275)</f>
        <v/>
      </c>
      <c r="D275" s="20" t="str">
        <f>IF('DDF Original'!F275="","",'DDF Original'!F275)</f>
        <v/>
      </c>
      <c r="E275" s="38" t="str">
        <f>'Recálculo Confissão (85-B)'!N275</f>
        <v/>
      </c>
      <c r="F275" s="20" t="str">
        <f t="shared" si="8"/>
        <v/>
      </c>
      <c r="G275" s="20" t="str">
        <f t="shared" si="9"/>
        <v/>
      </c>
    </row>
    <row r="276" spans="2:7" x14ac:dyDescent="0.2">
      <c r="B276" s="19" t="str">
        <f>IF('DDF Original'!B276="","",'DDF Original'!B276)</f>
        <v/>
      </c>
      <c r="C276" s="20" t="str">
        <f>IF('DDF Original'!C276="","",'DDF Original'!C276)</f>
        <v/>
      </c>
      <c r="D276" s="20" t="str">
        <f>IF('DDF Original'!F276="","",'DDF Original'!F276)</f>
        <v/>
      </c>
      <c r="E276" s="38" t="str">
        <f>'Recálculo Confissão (85-B)'!N276</f>
        <v/>
      </c>
      <c r="F276" s="20" t="str">
        <f t="shared" si="8"/>
        <v/>
      </c>
      <c r="G276" s="20" t="str">
        <f t="shared" si="9"/>
        <v/>
      </c>
    </row>
    <row r="277" spans="2:7" x14ac:dyDescent="0.2">
      <c r="B277" s="19" t="str">
        <f>IF('DDF Original'!B277="","",'DDF Original'!B277)</f>
        <v/>
      </c>
      <c r="C277" s="20" t="str">
        <f>IF('DDF Original'!C277="","",'DDF Original'!C277)</f>
        <v/>
      </c>
      <c r="D277" s="20" t="str">
        <f>IF('DDF Original'!F277="","",'DDF Original'!F277)</f>
        <v/>
      </c>
      <c r="E277" s="38" t="str">
        <f>'Recálculo Confissão (85-B)'!N277</f>
        <v/>
      </c>
      <c r="F277" s="20" t="str">
        <f t="shared" si="8"/>
        <v/>
      </c>
      <c r="G277" s="20" t="str">
        <f t="shared" si="9"/>
        <v/>
      </c>
    </row>
    <row r="278" spans="2:7" x14ac:dyDescent="0.2">
      <c r="B278" s="19" t="str">
        <f>IF('DDF Original'!B278="","",'DDF Original'!B278)</f>
        <v/>
      </c>
      <c r="C278" s="20" t="str">
        <f>IF('DDF Original'!C278="","",'DDF Original'!C278)</f>
        <v/>
      </c>
      <c r="D278" s="20" t="str">
        <f>IF('DDF Original'!F278="","",'DDF Original'!F278)</f>
        <v/>
      </c>
      <c r="E278" s="38" t="str">
        <f>'Recálculo Confissão (85-B)'!N278</f>
        <v/>
      </c>
      <c r="F278" s="20" t="str">
        <f t="shared" si="8"/>
        <v/>
      </c>
      <c r="G278" s="20" t="str">
        <f t="shared" si="9"/>
        <v/>
      </c>
    </row>
    <row r="279" spans="2:7" x14ac:dyDescent="0.2">
      <c r="B279" s="19" t="str">
        <f>IF('DDF Original'!B279="","",'DDF Original'!B279)</f>
        <v/>
      </c>
      <c r="C279" s="20" t="str">
        <f>IF('DDF Original'!C279="","",'DDF Original'!C279)</f>
        <v/>
      </c>
      <c r="D279" s="20" t="str">
        <f>IF('DDF Original'!F279="","",'DDF Original'!F279)</f>
        <v/>
      </c>
      <c r="E279" s="38" t="str">
        <f>'Recálculo Confissão (85-B)'!N279</f>
        <v/>
      </c>
      <c r="F279" s="20" t="str">
        <f t="shared" si="8"/>
        <v/>
      </c>
      <c r="G279" s="20" t="str">
        <f t="shared" si="9"/>
        <v/>
      </c>
    </row>
    <row r="280" spans="2:7" x14ac:dyDescent="0.2">
      <c r="B280" s="19" t="str">
        <f>IF('DDF Original'!B280="","",'DDF Original'!B280)</f>
        <v/>
      </c>
      <c r="C280" s="20" t="str">
        <f>IF('DDF Original'!C280="","",'DDF Original'!C280)</f>
        <v/>
      </c>
      <c r="D280" s="20" t="str">
        <f>IF('DDF Original'!F280="","",'DDF Original'!F280)</f>
        <v/>
      </c>
      <c r="E280" s="38" t="str">
        <f>'Recálculo Confissão (85-B)'!N280</f>
        <v/>
      </c>
      <c r="F280" s="20" t="str">
        <f t="shared" si="8"/>
        <v/>
      </c>
      <c r="G280" s="20" t="str">
        <f t="shared" si="9"/>
        <v/>
      </c>
    </row>
    <row r="281" spans="2:7" x14ac:dyDescent="0.2">
      <c r="B281" s="19" t="str">
        <f>IF('DDF Original'!B281="","",'DDF Original'!B281)</f>
        <v/>
      </c>
      <c r="C281" s="20" t="str">
        <f>IF('DDF Original'!C281="","",'DDF Original'!C281)</f>
        <v/>
      </c>
      <c r="D281" s="20" t="str">
        <f>IF('DDF Original'!F281="","",'DDF Original'!F281)</f>
        <v/>
      </c>
      <c r="E281" s="38" t="str">
        <f>'Recálculo Confissão (85-B)'!N281</f>
        <v/>
      </c>
      <c r="F281" s="20" t="str">
        <f t="shared" si="8"/>
        <v/>
      </c>
      <c r="G281" s="20" t="str">
        <f t="shared" si="9"/>
        <v/>
      </c>
    </row>
    <row r="282" spans="2:7" x14ac:dyDescent="0.2">
      <c r="B282" s="19" t="str">
        <f>IF('DDF Original'!B282="","",'DDF Original'!B282)</f>
        <v/>
      </c>
      <c r="C282" s="20" t="str">
        <f>IF('DDF Original'!C282="","",'DDF Original'!C282)</f>
        <v/>
      </c>
      <c r="D282" s="20" t="str">
        <f>IF('DDF Original'!F282="","",'DDF Original'!F282)</f>
        <v/>
      </c>
      <c r="E282" s="38" t="str">
        <f>'Recálculo Confissão (85-B)'!N282</f>
        <v/>
      </c>
      <c r="F282" s="20" t="str">
        <f t="shared" si="8"/>
        <v/>
      </c>
      <c r="G282" s="20" t="str">
        <f t="shared" si="9"/>
        <v/>
      </c>
    </row>
    <row r="283" spans="2:7" x14ac:dyDescent="0.2">
      <c r="B283" s="19" t="str">
        <f>IF('DDF Original'!B283="","",'DDF Original'!B283)</f>
        <v/>
      </c>
      <c r="C283" s="20" t="str">
        <f>IF('DDF Original'!C283="","",'DDF Original'!C283)</f>
        <v/>
      </c>
      <c r="D283" s="20" t="str">
        <f>IF('DDF Original'!F283="","",'DDF Original'!F283)</f>
        <v/>
      </c>
      <c r="E283" s="38" t="str">
        <f>'Recálculo Confissão (85-B)'!N283</f>
        <v/>
      </c>
      <c r="F283" s="20" t="str">
        <f t="shared" si="8"/>
        <v/>
      </c>
      <c r="G283" s="20" t="str">
        <f t="shared" si="9"/>
        <v/>
      </c>
    </row>
    <row r="284" spans="2:7" x14ac:dyDescent="0.2">
      <c r="B284" s="19" t="str">
        <f>IF('DDF Original'!B284="","",'DDF Original'!B284)</f>
        <v/>
      </c>
      <c r="C284" s="20" t="str">
        <f>IF('DDF Original'!C284="","",'DDF Original'!C284)</f>
        <v/>
      </c>
      <c r="D284" s="20" t="str">
        <f>IF('DDF Original'!F284="","",'DDF Original'!F284)</f>
        <v/>
      </c>
      <c r="E284" s="38" t="str">
        <f>'Recálculo Confissão (85-B)'!N284</f>
        <v/>
      </c>
      <c r="F284" s="20" t="str">
        <f t="shared" si="8"/>
        <v/>
      </c>
      <c r="G284" s="20" t="str">
        <f t="shared" si="9"/>
        <v/>
      </c>
    </row>
    <row r="285" spans="2:7" x14ac:dyDescent="0.2">
      <c r="B285" s="19" t="str">
        <f>IF('DDF Original'!B285="","",'DDF Original'!B285)</f>
        <v/>
      </c>
      <c r="C285" s="20" t="str">
        <f>IF('DDF Original'!C285="","",'DDF Original'!C285)</f>
        <v/>
      </c>
      <c r="D285" s="20" t="str">
        <f>IF('DDF Original'!F285="","",'DDF Original'!F285)</f>
        <v/>
      </c>
      <c r="E285" s="38" t="str">
        <f>'Recálculo Confissão (85-B)'!N285</f>
        <v/>
      </c>
      <c r="F285" s="20" t="str">
        <f t="shared" si="8"/>
        <v/>
      </c>
      <c r="G285" s="20" t="str">
        <f t="shared" si="9"/>
        <v/>
      </c>
    </row>
    <row r="286" spans="2:7" x14ac:dyDescent="0.2">
      <c r="B286" s="19" t="str">
        <f>IF('DDF Original'!B286="","",'DDF Original'!B286)</f>
        <v/>
      </c>
      <c r="C286" s="20" t="str">
        <f>IF('DDF Original'!C286="","",'DDF Original'!C286)</f>
        <v/>
      </c>
      <c r="D286" s="20" t="str">
        <f>IF('DDF Original'!F286="","",'DDF Original'!F286)</f>
        <v/>
      </c>
      <c r="E286" s="38" t="str">
        <f>'Recálculo Confissão (85-B)'!N286</f>
        <v/>
      </c>
      <c r="F286" s="20" t="str">
        <f t="shared" si="8"/>
        <v/>
      </c>
      <c r="G286" s="20" t="str">
        <f t="shared" si="9"/>
        <v/>
      </c>
    </row>
    <row r="287" spans="2:7" x14ac:dyDescent="0.2">
      <c r="B287" s="19" t="str">
        <f>IF('DDF Original'!B287="","",'DDF Original'!B287)</f>
        <v/>
      </c>
      <c r="C287" s="20" t="str">
        <f>IF('DDF Original'!C287="","",'DDF Original'!C287)</f>
        <v/>
      </c>
      <c r="D287" s="20" t="str">
        <f>IF('DDF Original'!F287="","",'DDF Original'!F287)</f>
        <v/>
      </c>
      <c r="E287" s="38" t="str">
        <f>'Recálculo Confissão (85-B)'!N287</f>
        <v/>
      </c>
      <c r="F287" s="20" t="str">
        <f t="shared" si="8"/>
        <v/>
      </c>
      <c r="G287" s="20" t="str">
        <f t="shared" si="9"/>
        <v/>
      </c>
    </row>
    <row r="288" spans="2:7" x14ac:dyDescent="0.2">
      <c r="B288" s="19" t="str">
        <f>IF('DDF Original'!B288="","",'DDF Original'!B288)</f>
        <v/>
      </c>
      <c r="C288" s="20" t="str">
        <f>IF('DDF Original'!C288="","",'DDF Original'!C288)</f>
        <v/>
      </c>
      <c r="D288" s="20" t="str">
        <f>IF('DDF Original'!F288="","",'DDF Original'!F288)</f>
        <v/>
      </c>
      <c r="E288" s="38" t="str">
        <f>'Recálculo Confissão (85-B)'!N288</f>
        <v/>
      </c>
      <c r="F288" s="20" t="str">
        <f t="shared" si="8"/>
        <v/>
      </c>
      <c r="G288" s="20" t="str">
        <f t="shared" si="9"/>
        <v/>
      </c>
    </row>
    <row r="289" spans="2:7" x14ac:dyDescent="0.2">
      <c r="B289" s="19" t="str">
        <f>IF('DDF Original'!B289="","",'DDF Original'!B289)</f>
        <v/>
      </c>
      <c r="C289" s="20" t="str">
        <f>IF('DDF Original'!C289="","",'DDF Original'!C289)</f>
        <v/>
      </c>
      <c r="D289" s="20" t="str">
        <f>IF('DDF Original'!F289="","",'DDF Original'!F289)</f>
        <v/>
      </c>
      <c r="E289" s="38" t="str">
        <f>'Recálculo Confissão (85-B)'!N289</f>
        <v/>
      </c>
      <c r="F289" s="20" t="str">
        <f t="shared" si="8"/>
        <v/>
      </c>
      <c r="G289" s="20" t="str">
        <f t="shared" si="9"/>
        <v/>
      </c>
    </row>
    <row r="290" spans="2:7" x14ac:dyDescent="0.2">
      <c r="B290" s="19" t="str">
        <f>IF('DDF Original'!B290="","",'DDF Original'!B290)</f>
        <v/>
      </c>
      <c r="C290" s="20" t="str">
        <f>IF('DDF Original'!C290="","",'DDF Original'!C290)</f>
        <v/>
      </c>
      <c r="D290" s="20" t="str">
        <f>IF('DDF Original'!F290="","",'DDF Original'!F290)</f>
        <v/>
      </c>
      <c r="E290" s="38" t="str">
        <f>'Recálculo Confissão (85-B)'!N290</f>
        <v/>
      </c>
      <c r="F290" s="20" t="str">
        <f t="shared" si="8"/>
        <v/>
      </c>
      <c r="G290" s="20" t="str">
        <f t="shared" si="9"/>
        <v/>
      </c>
    </row>
    <row r="291" spans="2:7" x14ac:dyDescent="0.2">
      <c r="B291" s="19" t="str">
        <f>IF('DDF Original'!B291="","",'DDF Original'!B291)</f>
        <v/>
      </c>
      <c r="C291" s="20" t="str">
        <f>IF('DDF Original'!C291="","",'DDF Original'!C291)</f>
        <v/>
      </c>
      <c r="D291" s="20" t="str">
        <f>IF('DDF Original'!F291="","",'DDF Original'!F291)</f>
        <v/>
      </c>
      <c r="E291" s="38" t="str">
        <f>'Recálculo Confissão (85-B)'!N291</f>
        <v/>
      </c>
      <c r="F291" s="20" t="str">
        <f t="shared" si="8"/>
        <v/>
      </c>
      <c r="G291" s="20" t="str">
        <f t="shared" si="9"/>
        <v/>
      </c>
    </row>
    <row r="292" spans="2:7" x14ac:dyDescent="0.2">
      <c r="B292" s="19" t="str">
        <f>IF('DDF Original'!B292="","",'DDF Original'!B292)</f>
        <v/>
      </c>
      <c r="C292" s="20" t="str">
        <f>IF('DDF Original'!C292="","",'DDF Original'!C292)</f>
        <v/>
      </c>
      <c r="D292" s="20" t="str">
        <f>IF('DDF Original'!F292="","",'DDF Original'!F292)</f>
        <v/>
      </c>
      <c r="E292" s="38" t="str">
        <f>'Recálculo Confissão (85-B)'!N292</f>
        <v/>
      </c>
      <c r="F292" s="20" t="str">
        <f t="shared" si="8"/>
        <v/>
      </c>
      <c r="G292" s="20" t="str">
        <f t="shared" si="9"/>
        <v/>
      </c>
    </row>
    <row r="293" spans="2:7" x14ac:dyDescent="0.2">
      <c r="B293" s="19" t="str">
        <f>IF('DDF Original'!B293="","",'DDF Original'!B293)</f>
        <v/>
      </c>
      <c r="C293" s="20" t="str">
        <f>IF('DDF Original'!C293="","",'DDF Original'!C293)</f>
        <v/>
      </c>
      <c r="D293" s="20" t="str">
        <f>IF('DDF Original'!F293="","",'DDF Original'!F293)</f>
        <v/>
      </c>
      <c r="E293" s="38" t="str">
        <f>'Recálculo Confissão (85-B)'!N293</f>
        <v/>
      </c>
      <c r="F293" s="20" t="str">
        <f t="shared" si="8"/>
        <v/>
      </c>
      <c r="G293" s="20" t="str">
        <f t="shared" si="9"/>
        <v/>
      </c>
    </row>
    <row r="294" spans="2:7" x14ac:dyDescent="0.2">
      <c r="B294" s="19" t="str">
        <f>IF('DDF Original'!B294="","",'DDF Original'!B294)</f>
        <v/>
      </c>
      <c r="C294" s="20" t="str">
        <f>IF('DDF Original'!C294="","",'DDF Original'!C294)</f>
        <v/>
      </c>
      <c r="D294" s="20" t="str">
        <f>IF('DDF Original'!F294="","",'DDF Original'!F294)</f>
        <v/>
      </c>
      <c r="E294" s="38" t="str">
        <f>'Recálculo Confissão (85-B)'!N294</f>
        <v/>
      </c>
      <c r="F294" s="20" t="str">
        <f t="shared" si="8"/>
        <v/>
      </c>
      <c r="G294" s="20" t="str">
        <f t="shared" si="9"/>
        <v/>
      </c>
    </row>
    <row r="295" spans="2:7" x14ac:dyDescent="0.2">
      <c r="B295" s="19" t="str">
        <f>IF('DDF Original'!B295="","",'DDF Original'!B295)</f>
        <v/>
      </c>
      <c r="C295" s="20" t="str">
        <f>IF('DDF Original'!C295="","",'DDF Original'!C295)</f>
        <v/>
      </c>
      <c r="D295" s="20" t="str">
        <f>IF('DDF Original'!F295="","",'DDF Original'!F295)</f>
        <v/>
      </c>
      <c r="E295" s="38" t="str">
        <f>'Recálculo Confissão (85-B)'!N295</f>
        <v/>
      </c>
      <c r="F295" s="20" t="str">
        <f t="shared" si="8"/>
        <v/>
      </c>
      <c r="G295" s="20" t="str">
        <f t="shared" si="9"/>
        <v/>
      </c>
    </row>
    <row r="296" spans="2:7" x14ac:dyDescent="0.2">
      <c r="B296" s="19" t="str">
        <f>IF('DDF Original'!B296="","",'DDF Original'!B296)</f>
        <v/>
      </c>
      <c r="C296" s="20" t="str">
        <f>IF('DDF Original'!C296="","",'DDF Original'!C296)</f>
        <v/>
      </c>
      <c r="D296" s="20" t="str">
        <f>IF('DDF Original'!F296="","",'DDF Original'!F296)</f>
        <v/>
      </c>
      <c r="E296" s="38" t="str">
        <f>'Recálculo Confissão (85-B)'!N296</f>
        <v/>
      </c>
      <c r="F296" s="20" t="str">
        <f t="shared" si="8"/>
        <v/>
      </c>
      <c r="G296" s="20" t="str">
        <f t="shared" si="9"/>
        <v/>
      </c>
    </row>
    <row r="297" spans="2:7" x14ac:dyDescent="0.2">
      <c r="B297" s="19" t="str">
        <f>IF('DDF Original'!B297="","",'DDF Original'!B297)</f>
        <v/>
      </c>
      <c r="C297" s="20" t="str">
        <f>IF('DDF Original'!C297="","",'DDF Original'!C297)</f>
        <v/>
      </c>
      <c r="D297" s="20" t="str">
        <f>IF('DDF Original'!F297="","",'DDF Original'!F297)</f>
        <v/>
      </c>
      <c r="E297" s="38" t="str">
        <f>'Recálculo Confissão (85-B)'!N297</f>
        <v/>
      </c>
      <c r="F297" s="20" t="str">
        <f t="shared" si="8"/>
        <v/>
      </c>
      <c r="G297" s="20" t="str">
        <f t="shared" si="9"/>
        <v/>
      </c>
    </row>
    <row r="298" spans="2:7" x14ac:dyDescent="0.2">
      <c r="B298" s="19" t="str">
        <f>IF('DDF Original'!B298="","",'DDF Original'!B298)</f>
        <v/>
      </c>
      <c r="C298" s="20" t="str">
        <f>IF('DDF Original'!C298="","",'DDF Original'!C298)</f>
        <v/>
      </c>
      <c r="D298" s="20" t="str">
        <f>IF('DDF Original'!F298="","",'DDF Original'!F298)</f>
        <v/>
      </c>
      <c r="E298" s="38" t="str">
        <f>'Recálculo Confissão (85-B)'!N298</f>
        <v/>
      </c>
      <c r="F298" s="20" t="str">
        <f t="shared" si="8"/>
        <v/>
      </c>
      <c r="G298" s="20" t="str">
        <f t="shared" si="9"/>
        <v/>
      </c>
    </row>
    <row r="299" spans="2:7" x14ac:dyDescent="0.2">
      <c r="B299" s="19" t="str">
        <f>IF('DDF Original'!B299="","",'DDF Original'!B299)</f>
        <v/>
      </c>
      <c r="C299" s="20" t="str">
        <f>IF('DDF Original'!C299="","",'DDF Original'!C299)</f>
        <v/>
      </c>
      <c r="D299" s="20" t="str">
        <f>IF('DDF Original'!F299="","",'DDF Original'!F299)</f>
        <v/>
      </c>
      <c r="E299" s="38" t="str">
        <f>'Recálculo Confissão (85-B)'!N299</f>
        <v/>
      </c>
      <c r="F299" s="20" t="str">
        <f t="shared" si="8"/>
        <v/>
      </c>
      <c r="G299" s="20" t="str">
        <f t="shared" si="9"/>
        <v/>
      </c>
    </row>
    <row r="300" spans="2:7" x14ac:dyDescent="0.2">
      <c r="B300" s="19" t="str">
        <f>IF('DDF Original'!B300="","",'DDF Original'!B300)</f>
        <v/>
      </c>
      <c r="C300" s="20" t="str">
        <f>IF('DDF Original'!C300="","",'DDF Original'!C300)</f>
        <v/>
      </c>
      <c r="D300" s="20" t="str">
        <f>IF('DDF Original'!F300="","",'DDF Original'!F300)</f>
        <v/>
      </c>
      <c r="E300" s="38" t="str">
        <f>'Recálculo Confissão (85-B)'!N300</f>
        <v/>
      </c>
      <c r="F300" s="20" t="str">
        <f t="shared" si="8"/>
        <v/>
      </c>
      <c r="G300" s="20" t="str">
        <f t="shared" si="9"/>
        <v/>
      </c>
    </row>
    <row r="301" spans="2:7" x14ac:dyDescent="0.2">
      <c r="B301" s="19" t="str">
        <f>IF('DDF Original'!B301="","",'DDF Original'!B301)</f>
        <v/>
      </c>
      <c r="C301" s="20" t="str">
        <f>IF('DDF Original'!C301="","",'DDF Original'!C301)</f>
        <v/>
      </c>
      <c r="D301" s="20" t="str">
        <f>IF('DDF Original'!F301="","",'DDF Original'!F301)</f>
        <v/>
      </c>
      <c r="E301" s="38" t="str">
        <f>'Recálculo Confissão (85-B)'!N301</f>
        <v/>
      </c>
      <c r="F301" s="20" t="str">
        <f t="shared" si="8"/>
        <v/>
      </c>
      <c r="G301" s="20" t="str">
        <f t="shared" si="9"/>
        <v/>
      </c>
    </row>
    <row r="302" spans="2:7" x14ac:dyDescent="0.2">
      <c r="B302" s="19" t="str">
        <f>IF('DDF Original'!B302="","",'DDF Original'!B302)</f>
        <v/>
      </c>
      <c r="C302" s="20" t="str">
        <f>IF('DDF Original'!C302="","",'DDF Original'!C302)</f>
        <v/>
      </c>
      <c r="D302" s="20" t="str">
        <f>IF('DDF Original'!F302="","",'DDF Original'!F302)</f>
        <v/>
      </c>
      <c r="E302" s="38" t="str">
        <f>'Recálculo Confissão (85-B)'!N302</f>
        <v/>
      </c>
      <c r="F302" s="20" t="str">
        <f t="shared" si="8"/>
        <v/>
      </c>
      <c r="G302" s="20" t="str">
        <f t="shared" si="9"/>
        <v/>
      </c>
    </row>
    <row r="303" spans="2:7" x14ac:dyDescent="0.2">
      <c r="B303" s="19" t="str">
        <f>IF('DDF Original'!B303="","",'DDF Original'!B303)</f>
        <v/>
      </c>
      <c r="C303" s="20" t="str">
        <f>IF('DDF Original'!C303="","",'DDF Original'!C303)</f>
        <v/>
      </c>
      <c r="D303" s="20" t="str">
        <f>IF('DDF Original'!F303="","",'DDF Original'!F303)</f>
        <v/>
      </c>
      <c r="E303" s="38" t="str">
        <f>'Recálculo Confissão (85-B)'!N303</f>
        <v/>
      </c>
      <c r="F303" s="20" t="str">
        <f t="shared" si="8"/>
        <v/>
      </c>
      <c r="G303" s="20" t="str">
        <f t="shared" si="9"/>
        <v/>
      </c>
    </row>
    <row r="304" spans="2:7" x14ac:dyDescent="0.2">
      <c r="B304" s="19" t="str">
        <f>IF('DDF Original'!B304="","",'DDF Original'!B304)</f>
        <v/>
      </c>
      <c r="C304" s="20" t="str">
        <f>IF('DDF Original'!C304="","",'DDF Original'!C304)</f>
        <v/>
      </c>
      <c r="D304" s="20" t="str">
        <f>IF('DDF Original'!F304="","",'DDF Original'!F304)</f>
        <v/>
      </c>
      <c r="E304" s="38" t="str">
        <f>'Recálculo Confissão (85-B)'!N304</f>
        <v/>
      </c>
      <c r="F304" s="20" t="str">
        <f t="shared" si="8"/>
        <v/>
      </c>
      <c r="G304" s="20" t="str">
        <f t="shared" si="9"/>
        <v/>
      </c>
    </row>
    <row r="305" spans="2:7" x14ac:dyDescent="0.2">
      <c r="B305" s="19" t="str">
        <f>IF('DDF Original'!B305="","",'DDF Original'!B305)</f>
        <v/>
      </c>
      <c r="C305" s="20" t="str">
        <f>IF('DDF Original'!C305="","",'DDF Original'!C305)</f>
        <v/>
      </c>
      <c r="D305" s="20" t="str">
        <f>IF('DDF Original'!F305="","",'DDF Original'!F305)</f>
        <v/>
      </c>
      <c r="E305" s="38" t="str">
        <f>'Recálculo Confissão (85-B)'!N305</f>
        <v/>
      </c>
      <c r="F305" s="20" t="str">
        <f t="shared" si="8"/>
        <v/>
      </c>
      <c r="G305" s="20" t="str">
        <f t="shared" si="9"/>
        <v/>
      </c>
    </row>
    <row r="306" spans="2:7" x14ac:dyDescent="0.2">
      <c r="B306" s="19" t="str">
        <f>IF('DDF Original'!B306="","",'DDF Original'!B306)</f>
        <v/>
      </c>
      <c r="C306" s="20" t="str">
        <f>IF('DDF Original'!C306="","",'DDF Original'!C306)</f>
        <v/>
      </c>
      <c r="D306" s="20" t="str">
        <f>IF('DDF Original'!F306="","",'DDF Original'!F306)</f>
        <v/>
      </c>
      <c r="E306" s="38" t="str">
        <f>'Recálculo Confissão (85-B)'!N306</f>
        <v/>
      </c>
      <c r="F306" s="20" t="str">
        <f t="shared" si="8"/>
        <v/>
      </c>
      <c r="G306" s="20" t="str">
        <f t="shared" si="9"/>
        <v/>
      </c>
    </row>
    <row r="307" spans="2:7" x14ac:dyDescent="0.2">
      <c r="B307" s="19" t="str">
        <f>IF('DDF Original'!B307="","",'DDF Original'!B307)</f>
        <v/>
      </c>
      <c r="C307" s="20" t="str">
        <f>IF('DDF Original'!C307="","",'DDF Original'!C307)</f>
        <v/>
      </c>
      <c r="D307" s="20" t="str">
        <f>IF('DDF Original'!F307="","",'DDF Original'!F307)</f>
        <v/>
      </c>
      <c r="E307" s="38" t="str">
        <f>'Recálculo Confissão (85-B)'!N307</f>
        <v/>
      </c>
      <c r="F307" s="20" t="str">
        <f t="shared" si="8"/>
        <v/>
      </c>
      <c r="G307" s="20" t="str">
        <f t="shared" si="9"/>
        <v/>
      </c>
    </row>
    <row r="308" spans="2:7" x14ac:dyDescent="0.2">
      <c r="B308" s="19" t="str">
        <f>IF('DDF Original'!B308="","",'DDF Original'!B308)</f>
        <v/>
      </c>
      <c r="C308" s="20" t="str">
        <f>IF('DDF Original'!C308="","",'DDF Original'!C308)</f>
        <v/>
      </c>
      <c r="D308" s="20" t="str">
        <f>IF('DDF Original'!F308="","",'DDF Original'!F308)</f>
        <v/>
      </c>
      <c r="E308" s="38" t="str">
        <f>'Recálculo Confissão (85-B)'!N308</f>
        <v/>
      </c>
      <c r="F308" s="20" t="str">
        <f t="shared" si="8"/>
        <v/>
      </c>
      <c r="G308" s="20" t="str">
        <f t="shared" si="9"/>
        <v/>
      </c>
    </row>
    <row r="309" spans="2:7" x14ac:dyDescent="0.2">
      <c r="B309" s="19" t="str">
        <f>IF('DDF Original'!B309="","",'DDF Original'!B309)</f>
        <v/>
      </c>
      <c r="C309" s="20" t="str">
        <f>IF('DDF Original'!C309="","",'DDF Original'!C309)</f>
        <v/>
      </c>
      <c r="D309" s="20" t="str">
        <f>IF('DDF Original'!F309="","",'DDF Original'!F309)</f>
        <v/>
      </c>
      <c r="E309" s="38" t="str">
        <f>'Recálculo Confissão (85-B)'!N309</f>
        <v/>
      </c>
      <c r="F309" s="20" t="str">
        <f t="shared" si="8"/>
        <v/>
      </c>
      <c r="G309" s="20" t="str">
        <f t="shared" si="9"/>
        <v/>
      </c>
    </row>
    <row r="310" spans="2:7" x14ac:dyDescent="0.2">
      <c r="B310" s="19" t="str">
        <f>IF('DDF Original'!B310="","",'DDF Original'!B310)</f>
        <v/>
      </c>
      <c r="C310" s="20" t="str">
        <f>IF('DDF Original'!C310="","",'DDF Original'!C310)</f>
        <v/>
      </c>
      <c r="D310" s="20" t="str">
        <f>IF('DDF Original'!F310="","",'DDF Original'!F310)</f>
        <v/>
      </c>
      <c r="E310" s="38" t="str">
        <f>'Recálculo Confissão (85-B)'!N310</f>
        <v/>
      </c>
      <c r="F310" s="20" t="str">
        <f t="shared" si="8"/>
        <v/>
      </c>
      <c r="G310" s="20" t="str">
        <f t="shared" si="9"/>
        <v/>
      </c>
    </row>
    <row r="311" spans="2:7" x14ac:dyDescent="0.2">
      <c r="B311" s="19" t="str">
        <f>IF('DDF Original'!B311="","",'DDF Original'!B311)</f>
        <v/>
      </c>
      <c r="C311" s="20" t="str">
        <f>IF('DDF Original'!C311="","",'DDF Original'!C311)</f>
        <v/>
      </c>
      <c r="D311" s="20" t="str">
        <f>IF('DDF Original'!F311="","",'DDF Original'!F311)</f>
        <v/>
      </c>
      <c r="E311" s="38" t="str">
        <f>'Recálculo Confissão (85-B)'!N311</f>
        <v/>
      </c>
      <c r="F311" s="20" t="str">
        <f t="shared" si="8"/>
        <v/>
      </c>
      <c r="G311" s="20" t="str">
        <f t="shared" si="9"/>
        <v/>
      </c>
    </row>
    <row r="312" spans="2:7" x14ac:dyDescent="0.2">
      <c r="B312" s="19" t="str">
        <f>IF('DDF Original'!B312="","",'DDF Original'!B312)</f>
        <v/>
      </c>
      <c r="C312" s="20" t="str">
        <f>IF('DDF Original'!C312="","",'DDF Original'!C312)</f>
        <v/>
      </c>
      <c r="D312" s="20" t="str">
        <f>IF('DDF Original'!F312="","",'DDF Original'!F312)</f>
        <v/>
      </c>
      <c r="E312" s="38" t="str">
        <f>'Recálculo Confissão (85-B)'!N312</f>
        <v/>
      </c>
      <c r="F312" s="20" t="str">
        <f t="shared" si="8"/>
        <v/>
      </c>
      <c r="G312" s="20" t="str">
        <f t="shared" si="9"/>
        <v/>
      </c>
    </row>
    <row r="313" spans="2:7" x14ac:dyDescent="0.2">
      <c r="B313" s="19" t="str">
        <f>IF('DDF Original'!B313="","",'DDF Original'!B313)</f>
        <v/>
      </c>
      <c r="C313" s="20" t="str">
        <f>IF('DDF Original'!C313="","",'DDF Original'!C313)</f>
        <v/>
      </c>
      <c r="D313" s="20" t="str">
        <f>IF('DDF Original'!F313="","",'DDF Original'!F313)</f>
        <v/>
      </c>
      <c r="E313" s="38" t="str">
        <f>'Recálculo Confissão (85-B)'!N313</f>
        <v/>
      </c>
      <c r="F313" s="20" t="str">
        <f t="shared" si="8"/>
        <v/>
      </c>
      <c r="G313" s="20" t="str">
        <f t="shared" si="9"/>
        <v/>
      </c>
    </row>
    <row r="314" spans="2:7" x14ac:dyDescent="0.2">
      <c r="B314" s="19" t="str">
        <f>IF('DDF Original'!B314="","",'DDF Original'!B314)</f>
        <v/>
      </c>
      <c r="C314" s="20" t="str">
        <f>IF('DDF Original'!C314="","",'DDF Original'!C314)</f>
        <v/>
      </c>
      <c r="D314" s="20" t="str">
        <f>IF('DDF Original'!F314="","",'DDF Original'!F314)</f>
        <v/>
      </c>
      <c r="E314" s="38" t="str">
        <f>'Recálculo Confissão (85-B)'!N314</f>
        <v/>
      </c>
      <c r="F314" s="20" t="str">
        <f t="shared" si="8"/>
        <v/>
      </c>
      <c r="G314" s="20" t="str">
        <f t="shared" si="9"/>
        <v/>
      </c>
    </row>
    <row r="315" spans="2:7" x14ac:dyDescent="0.2">
      <c r="B315" s="19" t="str">
        <f>IF('DDF Original'!B315="","",'DDF Original'!B315)</f>
        <v/>
      </c>
      <c r="C315" s="20" t="str">
        <f>IF('DDF Original'!C315="","",'DDF Original'!C315)</f>
        <v/>
      </c>
      <c r="D315" s="20" t="str">
        <f>IF('DDF Original'!F315="","",'DDF Original'!F315)</f>
        <v/>
      </c>
      <c r="E315" s="38" t="str">
        <f>'Recálculo Confissão (85-B)'!N315</f>
        <v/>
      </c>
      <c r="F315" s="20" t="str">
        <f t="shared" si="8"/>
        <v/>
      </c>
      <c r="G315" s="20" t="str">
        <f t="shared" si="9"/>
        <v/>
      </c>
    </row>
    <row r="316" spans="2:7" x14ac:dyDescent="0.2">
      <c r="B316" s="19" t="str">
        <f>IF('DDF Original'!B316="","",'DDF Original'!B316)</f>
        <v/>
      </c>
      <c r="C316" s="20" t="str">
        <f>IF('DDF Original'!C316="","",'DDF Original'!C316)</f>
        <v/>
      </c>
      <c r="D316" s="20" t="str">
        <f>IF('DDF Original'!F316="","",'DDF Original'!F316)</f>
        <v/>
      </c>
      <c r="E316" s="38" t="str">
        <f>'Recálculo Confissão (85-B)'!N316</f>
        <v/>
      </c>
      <c r="F316" s="20" t="str">
        <f t="shared" si="8"/>
        <v/>
      </c>
      <c r="G316" s="20" t="str">
        <f t="shared" si="9"/>
        <v/>
      </c>
    </row>
    <row r="317" spans="2:7" x14ac:dyDescent="0.2">
      <c r="B317" s="19" t="str">
        <f>IF('DDF Original'!B317="","",'DDF Original'!B317)</f>
        <v/>
      </c>
      <c r="C317" s="20" t="str">
        <f>IF('DDF Original'!C317="","",'DDF Original'!C317)</f>
        <v/>
      </c>
      <c r="D317" s="20" t="str">
        <f>IF('DDF Original'!F317="","",'DDF Original'!F317)</f>
        <v/>
      </c>
      <c r="E317" s="38" t="str">
        <f>'Recálculo Confissão (85-B)'!N317</f>
        <v/>
      </c>
      <c r="F317" s="20" t="str">
        <f t="shared" si="8"/>
        <v/>
      </c>
      <c r="G317" s="20" t="str">
        <f t="shared" si="9"/>
        <v/>
      </c>
    </row>
    <row r="318" spans="2:7" x14ac:dyDescent="0.2">
      <c r="B318" s="19" t="str">
        <f>IF('DDF Original'!B318="","",'DDF Original'!B318)</f>
        <v/>
      </c>
      <c r="C318" s="20" t="str">
        <f>IF('DDF Original'!C318="","",'DDF Original'!C318)</f>
        <v/>
      </c>
      <c r="D318" s="20" t="str">
        <f>IF('DDF Original'!F318="","",'DDF Original'!F318)</f>
        <v/>
      </c>
      <c r="E318" s="38" t="str">
        <f>'Recálculo Confissão (85-B)'!N318</f>
        <v/>
      </c>
      <c r="F318" s="20" t="str">
        <f t="shared" si="8"/>
        <v/>
      </c>
      <c r="G318" s="20" t="str">
        <f t="shared" si="9"/>
        <v/>
      </c>
    </row>
    <row r="319" spans="2:7" x14ac:dyDescent="0.2">
      <c r="B319" s="19" t="str">
        <f>IF('DDF Original'!B319="","",'DDF Original'!B319)</f>
        <v/>
      </c>
      <c r="C319" s="20" t="str">
        <f>IF('DDF Original'!C319="","",'DDF Original'!C319)</f>
        <v/>
      </c>
      <c r="D319" s="20" t="str">
        <f>IF('DDF Original'!F319="","",'DDF Original'!F319)</f>
        <v/>
      </c>
      <c r="E319" s="38" t="str">
        <f>'Recálculo Confissão (85-B)'!N319</f>
        <v/>
      </c>
      <c r="F319" s="20" t="str">
        <f t="shared" si="8"/>
        <v/>
      </c>
      <c r="G319" s="20" t="str">
        <f t="shared" si="9"/>
        <v/>
      </c>
    </row>
    <row r="320" spans="2:7" x14ac:dyDescent="0.2">
      <c r="B320" s="19" t="str">
        <f>IF('DDF Original'!B320="","",'DDF Original'!B320)</f>
        <v/>
      </c>
      <c r="C320" s="20" t="str">
        <f>IF('DDF Original'!C320="","",'DDF Original'!C320)</f>
        <v/>
      </c>
      <c r="D320" s="20" t="str">
        <f>IF('DDF Original'!F320="","",'DDF Original'!F320)</f>
        <v/>
      </c>
      <c r="E320" s="38" t="str">
        <f>'Recálculo Confissão (85-B)'!N320</f>
        <v/>
      </c>
      <c r="F320" s="20" t="str">
        <f t="shared" si="8"/>
        <v/>
      </c>
      <c r="G320" s="20" t="str">
        <f t="shared" si="9"/>
        <v/>
      </c>
    </row>
    <row r="321" spans="2:7" x14ac:dyDescent="0.2">
      <c r="B321" s="19" t="str">
        <f>IF('DDF Original'!B321="","",'DDF Original'!B321)</f>
        <v/>
      </c>
      <c r="C321" s="20" t="str">
        <f>IF('DDF Original'!C321="","",'DDF Original'!C321)</f>
        <v/>
      </c>
      <c r="D321" s="20" t="str">
        <f>IF('DDF Original'!F321="","",'DDF Original'!F321)</f>
        <v/>
      </c>
      <c r="E321" s="38" t="str">
        <f>'Recálculo Confissão (85-B)'!N321</f>
        <v/>
      </c>
      <c r="F321" s="20" t="str">
        <f t="shared" si="8"/>
        <v/>
      </c>
      <c r="G321" s="20" t="str">
        <f t="shared" si="9"/>
        <v/>
      </c>
    </row>
    <row r="322" spans="2:7" x14ac:dyDescent="0.2">
      <c r="B322" s="19" t="str">
        <f>IF('DDF Original'!B322="","",'DDF Original'!B322)</f>
        <v/>
      </c>
      <c r="C322" s="20" t="str">
        <f>IF('DDF Original'!C322="","",'DDF Original'!C322)</f>
        <v/>
      </c>
      <c r="D322" s="20" t="str">
        <f>IF('DDF Original'!F322="","",'DDF Original'!F322)</f>
        <v/>
      </c>
      <c r="E322" s="38" t="str">
        <f>'Recálculo Confissão (85-B)'!N322</f>
        <v/>
      </c>
      <c r="F322" s="20" t="str">
        <f t="shared" si="8"/>
        <v/>
      </c>
      <c r="G322" s="20" t="str">
        <f t="shared" si="9"/>
        <v/>
      </c>
    </row>
    <row r="323" spans="2:7" x14ac:dyDescent="0.2">
      <c r="B323" s="19" t="str">
        <f>IF('DDF Original'!B323="","",'DDF Original'!B323)</f>
        <v/>
      </c>
      <c r="C323" s="20" t="str">
        <f>IF('DDF Original'!C323="","",'DDF Original'!C323)</f>
        <v/>
      </c>
      <c r="D323" s="20" t="str">
        <f>IF('DDF Original'!F323="","",'DDF Original'!F323)</f>
        <v/>
      </c>
      <c r="E323" s="38" t="str">
        <f>'Recálculo Confissão (85-B)'!N323</f>
        <v/>
      </c>
      <c r="F323" s="20" t="str">
        <f t="shared" si="8"/>
        <v/>
      </c>
      <c r="G323" s="20" t="str">
        <f t="shared" si="9"/>
        <v/>
      </c>
    </row>
    <row r="324" spans="2:7" x14ac:dyDescent="0.2">
      <c r="B324" s="19" t="str">
        <f>IF('DDF Original'!B324="","",'DDF Original'!B324)</f>
        <v/>
      </c>
      <c r="C324" s="20" t="str">
        <f>IF('DDF Original'!C324="","",'DDF Original'!C324)</f>
        <v/>
      </c>
      <c r="D324" s="20" t="str">
        <f>IF('DDF Original'!F324="","",'DDF Original'!F324)</f>
        <v/>
      </c>
      <c r="E324" s="38" t="str">
        <f>'Recálculo Confissão (85-B)'!N324</f>
        <v/>
      </c>
      <c r="F324" s="20" t="str">
        <f t="shared" si="8"/>
        <v/>
      </c>
      <c r="G324" s="20" t="str">
        <f t="shared" si="9"/>
        <v/>
      </c>
    </row>
    <row r="325" spans="2:7" x14ac:dyDescent="0.2">
      <c r="B325" s="19" t="str">
        <f>IF('DDF Original'!B325="","",'DDF Original'!B325)</f>
        <v/>
      </c>
      <c r="C325" s="20" t="str">
        <f>IF('DDF Original'!C325="","",'DDF Original'!C325)</f>
        <v/>
      </c>
      <c r="D325" s="20" t="str">
        <f>IF('DDF Original'!F325="","",'DDF Original'!F325)</f>
        <v/>
      </c>
      <c r="E325" s="38" t="str">
        <f>'Recálculo Confissão (85-B)'!N325</f>
        <v/>
      </c>
      <c r="F325" s="20" t="str">
        <f t="shared" si="8"/>
        <v/>
      </c>
      <c r="G325" s="20" t="str">
        <f t="shared" si="9"/>
        <v/>
      </c>
    </row>
    <row r="326" spans="2:7" x14ac:dyDescent="0.2">
      <c r="B326" s="19" t="str">
        <f>IF('DDF Original'!B326="","",'DDF Original'!B326)</f>
        <v/>
      </c>
      <c r="C326" s="20" t="str">
        <f>IF('DDF Original'!C326="","",'DDF Original'!C326)</f>
        <v/>
      </c>
      <c r="D326" s="20" t="str">
        <f>IF('DDF Original'!F326="","",'DDF Original'!F326)</f>
        <v/>
      </c>
      <c r="E326" s="38" t="str">
        <f>'Recálculo Confissão (85-B)'!N326</f>
        <v/>
      </c>
      <c r="F326" s="20" t="str">
        <f t="shared" si="8"/>
        <v/>
      </c>
      <c r="G326" s="20" t="str">
        <f t="shared" si="9"/>
        <v/>
      </c>
    </row>
    <row r="327" spans="2:7" x14ac:dyDescent="0.2">
      <c r="B327" s="19" t="str">
        <f>IF('DDF Original'!B327="","",'DDF Original'!B327)</f>
        <v/>
      </c>
      <c r="C327" s="20" t="str">
        <f>IF('DDF Original'!C327="","",'DDF Original'!C327)</f>
        <v/>
      </c>
      <c r="D327" s="20" t="str">
        <f>IF('DDF Original'!F327="","",'DDF Original'!F327)</f>
        <v/>
      </c>
      <c r="E327" s="38" t="str">
        <f>'Recálculo Confissão (85-B)'!N327</f>
        <v/>
      </c>
      <c r="F327" s="20" t="str">
        <f t="shared" si="8"/>
        <v/>
      </c>
      <c r="G327" s="20" t="str">
        <f t="shared" si="9"/>
        <v/>
      </c>
    </row>
    <row r="328" spans="2:7" x14ac:dyDescent="0.2">
      <c r="B328" s="19" t="str">
        <f>IF('DDF Original'!B328="","",'DDF Original'!B328)</f>
        <v/>
      </c>
      <c r="C328" s="20" t="str">
        <f>IF('DDF Original'!C328="","",'DDF Original'!C328)</f>
        <v/>
      </c>
      <c r="D328" s="20" t="str">
        <f>IF('DDF Original'!F328="","",'DDF Original'!F328)</f>
        <v/>
      </c>
      <c r="E328" s="38" t="str">
        <f>'Recálculo Confissão (85-B)'!N328</f>
        <v/>
      </c>
      <c r="F328" s="20" t="str">
        <f t="shared" si="8"/>
        <v/>
      </c>
      <c r="G328" s="20" t="str">
        <f t="shared" si="9"/>
        <v/>
      </c>
    </row>
    <row r="329" spans="2:7" x14ac:dyDescent="0.2">
      <c r="B329" s="19" t="str">
        <f>IF('DDF Original'!B329="","",'DDF Original'!B329)</f>
        <v/>
      </c>
      <c r="C329" s="20" t="str">
        <f>IF('DDF Original'!C329="","",'DDF Original'!C329)</f>
        <v/>
      </c>
      <c r="D329" s="20" t="str">
        <f>IF('DDF Original'!F329="","",'DDF Original'!F329)</f>
        <v/>
      </c>
      <c r="E329" s="38" t="str">
        <f>'Recálculo Confissão (85-B)'!N329</f>
        <v/>
      </c>
      <c r="F329" s="20" t="str">
        <f t="shared" si="8"/>
        <v/>
      </c>
      <c r="G329" s="20" t="str">
        <f t="shared" si="9"/>
        <v/>
      </c>
    </row>
    <row r="330" spans="2:7" x14ac:dyDescent="0.2">
      <c r="B330" s="19" t="str">
        <f>IF('DDF Original'!B330="","",'DDF Original'!B330)</f>
        <v/>
      </c>
      <c r="C330" s="20" t="str">
        <f>IF('DDF Original'!C330="","",'DDF Original'!C330)</f>
        <v/>
      </c>
      <c r="D330" s="20" t="str">
        <f>IF('DDF Original'!F330="","",'DDF Original'!F330)</f>
        <v/>
      </c>
      <c r="E330" s="38" t="str">
        <f>'Recálculo Confissão (85-B)'!N330</f>
        <v/>
      </c>
      <c r="F330" s="20" t="str">
        <f t="shared" ref="F330:F393" si="10">IF(E330="","",ROUND(E330*(1-70%),2))</f>
        <v/>
      </c>
      <c r="G330" s="20" t="str">
        <f t="shared" ref="G330:G393" si="11">IF(E330="","",ROUND(E330*(1-60%),2))</f>
        <v/>
      </c>
    </row>
    <row r="331" spans="2:7" x14ac:dyDescent="0.2">
      <c r="B331" s="19" t="str">
        <f>IF('DDF Original'!B331="","",'DDF Original'!B331)</f>
        <v/>
      </c>
      <c r="C331" s="20" t="str">
        <f>IF('DDF Original'!C331="","",'DDF Original'!C331)</f>
        <v/>
      </c>
      <c r="D331" s="20" t="str">
        <f>IF('DDF Original'!F331="","",'DDF Original'!F331)</f>
        <v/>
      </c>
      <c r="E331" s="38" t="str">
        <f>'Recálculo Confissão (85-B)'!N331</f>
        <v/>
      </c>
      <c r="F331" s="20" t="str">
        <f t="shared" si="10"/>
        <v/>
      </c>
      <c r="G331" s="20" t="str">
        <f t="shared" si="11"/>
        <v/>
      </c>
    </row>
    <row r="332" spans="2:7" x14ac:dyDescent="0.2">
      <c r="B332" s="19" t="str">
        <f>IF('DDF Original'!B332="","",'DDF Original'!B332)</f>
        <v/>
      </c>
      <c r="C332" s="20" t="str">
        <f>IF('DDF Original'!C332="","",'DDF Original'!C332)</f>
        <v/>
      </c>
      <c r="D332" s="20" t="str">
        <f>IF('DDF Original'!F332="","",'DDF Original'!F332)</f>
        <v/>
      </c>
      <c r="E332" s="38" t="str">
        <f>'Recálculo Confissão (85-B)'!N332</f>
        <v/>
      </c>
      <c r="F332" s="20" t="str">
        <f t="shared" si="10"/>
        <v/>
      </c>
      <c r="G332" s="20" t="str">
        <f t="shared" si="11"/>
        <v/>
      </c>
    </row>
    <row r="333" spans="2:7" x14ac:dyDescent="0.2">
      <c r="B333" s="19" t="str">
        <f>IF('DDF Original'!B333="","",'DDF Original'!B333)</f>
        <v/>
      </c>
      <c r="C333" s="20" t="str">
        <f>IF('DDF Original'!C333="","",'DDF Original'!C333)</f>
        <v/>
      </c>
      <c r="D333" s="20" t="str">
        <f>IF('DDF Original'!F333="","",'DDF Original'!F333)</f>
        <v/>
      </c>
      <c r="E333" s="38" t="str">
        <f>'Recálculo Confissão (85-B)'!N333</f>
        <v/>
      </c>
      <c r="F333" s="20" t="str">
        <f t="shared" si="10"/>
        <v/>
      </c>
      <c r="G333" s="20" t="str">
        <f t="shared" si="11"/>
        <v/>
      </c>
    </row>
    <row r="334" spans="2:7" x14ac:dyDescent="0.2">
      <c r="B334" s="19" t="str">
        <f>IF('DDF Original'!B334="","",'DDF Original'!B334)</f>
        <v/>
      </c>
      <c r="C334" s="20" t="str">
        <f>IF('DDF Original'!C334="","",'DDF Original'!C334)</f>
        <v/>
      </c>
      <c r="D334" s="20" t="str">
        <f>IF('DDF Original'!F334="","",'DDF Original'!F334)</f>
        <v/>
      </c>
      <c r="E334" s="38" t="str">
        <f>'Recálculo Confissão (85-B)'!N334</f>
        <v/>
      </c>
      <c r="F334" s="20" t="str">
        <f t="shared" si="10"/>
        <v/>
      </c>
      <c r="G334" s="20" t="str">
        <f t="shared" si="11"/>
        <v/>
      </c>
    </row>
    <row r="335" spans="2:7" x14ac:dyDescent="0.2">
      <c r="B335" s="19" t="str">
        <f>IF('DDF Original'!B335="","",'DDF Original'!B335)</f>
        <v/>
      </c>
      <c r="C335" s="20" t="str">
        <f>IF('DDF Original'!C335="","",'DDF Original'!C335)</f>
        <v/>
      </c>
      <c r="D335" s="20" t="str">
        <f>IF('DDF Original'!F335="","",'DDF Original'!F335)</f>
        <v/>
      </c>
      <c r="E335" s="38" t="str">
        <f>'Recálculo Confissão (85-B)'!N335</f>
        <v/>
      </c>
      <c r="F335" s="20" t="str">
        <f t="shared" si="10"/>
        <v/>
      </c>
      <c r="G335" s="20" t="str">
        <f t="shared" si="11"/>
        <v/>
      </c>
    </row>
    <row r="336" spans="2:7" x14ac:dyDescent="0.2">
      <c r="B336" s="19" t="str">
        <f>IF('DDF Original'!B336="","",'DDF Original'!B336)</f>
        <v/>
      </c>
      <c r="C336" s="20" t="str">
        <f>IF('DDF Original'!C336="","",'DDF Original'!C336)</f>
        <v/>
      </c>
      <c r="D336" s="20" t="str">
        <f>IF('DDF Original'!F336="","",'DDF Original'!F336)</f>
        <v/>
      </c>
      <c r="E336" s="38" t="str">
        <f>'Recálculo Confissão (85-B)'!N336</f>
        <v/>
      </c>
      <c r="F336" s="20" t="str">
        <f t="shared" si="10"/>
        <v/>
      </c>
      <c r="G336" s="20" t="str">
        <f t="shared" si="11"/>
        <v/>
      </c>
    </row>
    <row r="337" spans="2:7" x14ac:dyDescent="0.2">
      <c r="B337" s="19" t="str">
        <f>IF('DDF Original'!B337="","",'DDF Original'!B337)</f>
        <v/>
      </c>
      <c r="C337" s="20" t="str">
        <f>IF('DDF Original'!C337="","",'DDF Original'!C337)</f>
        <v/>
      </c>
      <c r="D337" s="20" t="str">
        <f>IF('DDF Original'!F337="","",'DDF Original'!F337)</f>
        <v/>
      </c>
      <c r="E337" s="38" t="str">
        <f>'Recálculo Confissão (85-B)'!N337</f>
        <v/>
      </c>
      <c r="F337" s="20" t="str">
        <f t="shared" si="10"/>
        <v/>
      </c>
      <c r="G337" s="20" t="str">
        <f t="shared" si="11"/>
        <v/>
      </c>
    </row>
    <row r="338" spans="2:7" x14ac:dyDescent="0.2">
      <c r="B338" s="19" t="str">
        <f>IF('DDF Original'!B338="","",'DDF Original'!B338)</f>
        <v/>
      </c>
      <c r="C338" s="20" t="str">
        <f>IF('DDF Original'!C338="","",'DDF Original'!C338)</f>
        <v/>
      </c>
      <c r="D338" s="20" t="str">
        <f>IF('DDF Original'!F338="","",'DDF Original'!F338)</f>
        <v/>
      </c>
      <c r="E338" s="38" t="str">
        <f>'Recálculo Confissão (85-B)'!N338</f>
        <v/>
      </c>
      <c r="F338" s="20" t="str">
        <f t="shared" si="10"/>
        <v/>
      </c>
      <c r="G338" s="20" t="str">
        <f t="shared" si="11"/>
        <v/>
      </c>
    </row>
    <row r="339" spans="2:7" x14ac:dyDescent="0.2">
      <c r="B339" s="19" t="str">
        <f>IF('DDF Original'!B339="","",'DDF Original'!B339)</f>
        <v/>
      </c>
      <c r="C339" s="20" t="str">
        <f>IF('DDF Original'!C339="","",'DDF Original'!C339)</f>
        <v/>
      </c>
      <c r="D339" s="20" t="str">
        <f>IF('DDF Original'!F339="","",'DDF Original'!F339)</f>
        <v/>
      </c>
      <c r="E339" s="38" t="str">
        <f>'Recálculo Confissão (85-B)'!N339</f>
        <v/>
      </c>
      <c r="F339" s="20" t="str">
        <f t="shared" si="10"/>
        <v/>
      </c>
      <c r="G339" s="20" t="str">
        <f t="shared" si="11"/>
        <v/>
      </c>
    </row>
    <row r="340" spans="2:7" x14ac:dyDescent="0.2">
      <c r="B340" s="19" t="str">
        <f>IF('DDF Original'!B340="","",'DDF Original'!B340)</f>
        <v/>
      </c>
      <c r="C340" s="20" t="str">
        <f>IF('DDF Original'!C340="","",'DDF Original'!C340)</f>
        <v/>
      </c>
      <c r="D340" s="20" t="str">
        <f>IF('DDF Original'!F340="","",'DDF Original'!F340)</f>
        <v/>
      </c>
      <c r="E340" s="38" t="str">
        <f>'Recálculo Confissão (85-B)'!N340</f>
        <v/>
      </c>
      <c r="F340" s="20" t="str">
        <f t="shared" si="10"/>
        <v/>
      </c>
      <c r="G340" s="20" t="str">
        <f t="shared" si="11"/>
        <v/>
      </c>
    </row>
    <row r="341" spans="2:7" x14ac:dyDescent="0.2">
      <c r="B341" s="19" t="str">
        <f>IF('DDF Original'!B341="","",'DDF Original'!B341)</f>
        <v/>
      </c>
      <c r="C341" s="20" t="str">
        <f>IF('DDF Original'!C341="","",'DDF Original'!C341)</f>
        <v/>
      </c>
      <c r="D341" s="20" t="str">
        <f>IF('DDF Original'!F341="","",'DDF Original'!F341)</f>
        <v/>
      </c>
      <c r="E341" s="38" t="str">
        <f>'Recálculo Confissão (85-B)'!N341</f>
        <v/>
      </c>
      <c r="F341" s="20" t="str">
        <f t="shared" si="10"/>
        <v/>
      </c>
      <c r="G341" s="20" t="str">
        <f t="shared" si="11"/>
        <v/>
      </c>
    </row>
    <row r="342" spans="2:7" x14ac:dyDescent="0.2">
      <c r="B342" s="19" t="str">
        <f>IF('DDF Original'!B342="","",'DDF Original'!B342)</f>
        <v/>
      </c>
      <c r="C342" s="20" t="str">
        <f>IF('DDF Original'!C342="","",'DDF Original'!C342)</f>
        <v/>
      </c>
      <c r="D342" s="20" t="str">
        <f>IF('DDF Original'!F342="","",'DDF Original'!F342)</f>
        <v/>
      </c>
      <c r="E342" s="38" t="str">
        <f>'Recálculo Confissão (85-B)'!N342</f>
        <v/>
      </c>
      <c r="F342" s="20" t="str">
        <f t="shared" si="10"/>
        <v/>
      </c>
      <c r="G342" s="20" t="str">
        <f t="shared" si="11"/>
        <v/>
      </c>
    </row>
    <row r="343" spans="2:7" x14ac:dyDescent="0.2">
      <c r="B343" s="19" t="str">
        <f>IF('DDF Original'!B343="","",'DDF Original'!B343)</f>
        <v/>
      </c>
      <c r="C343" s="20" t="str">
        <f>IF('DDF Original'!C343="","",'DDF Original'!C343)</f>
        <v/>
      </c>
      <c r="D343" s="20" t="str">
        <f>IF('DDF Original'!F343="","",'DDF Original'!F343)</f>
        <v/>
      </c>
      <c r="E343" s="38" t="str">
        <f>'Recálculo Confissão (85-B)'!N343</f>
        <v/>
      </c>
      <c r="F343" s="20" t="str">
        <f t="shared" si="10"/>
        <v/>
      </c>
      <c r="G343" s="20" t="str">
        <f t="shared" si="11"/>
        <v/>
      </c>
    </row>
    <row r="344" spans="2:7" x14ac:dyDescent="0.2">
      <c r="B344" s="19" t="str">
        <f>IF('DDF Original'!B344="","",'DDF Original'!B344)</f>
        <v/>
      </c>
      <c r="C344" s="20" t="str">
        <f>IF('DDF Original'!C344="","",'DDF Original'!C344)</f>
        <v/>
      </c>
      <c r="D344" s="20" t="str">
        <f>IF('DDF Original'!F344="","",'DDF Original'!F344)</f>
        <v/>
      </c>
      <c r="E344" s="38" t="str">
        <f>'Recálculo Confissão (85-B)'!N344</f>
        <v/>
      </c>
      <c r="F344" s="20" t="str">
        <f t="shared" si="10"/>
        <v/>
      </c>
      <c r="G344" s="20" t="str">
        <f t="shared" si="11"/>
        <v/>
      </c>
    </row>
    <row r="345" spans="2:7" x14ac:dyDescent="0.2">
      <c r="B345" s="19" t="str">
        <f>IF('DDF Original'!B345="","",'DDF Original'!B345)</f>
        <v/>
      </c>
      <c r="C345" s="20" t="str">
        <f>IF('DDF Original'!C345="","",'DDF Original'!C345)</f>
        <v/>
      </c>
      <c r="D345" s="20" t="str">
        <f>IF('DDF Original'!F345="","",'DDF Original'!F345)</f>
        <v/>
      </c>
      <c r="E345" s="38" t="str">
        <f>'Recálculo Confissão (85-B)'!N345</f>
        <v/>
      </c>
      <c r="F345" s="20" t="str">
        <f t="shared" si="10"/>
        <v/>
      </c>
      <c r="G345" s="20" t="str">
        <f t="shared" si="11"/>
        <v/>
      </c>
    </row>
    <row r="346" spans="2:7" x14ac:dyDescent="0.2">
      <c r="B346" s="19" t="str">
        <f>IF('DDF Original'!B346="","",'DDF Original'!B346)</f>
        <v/>
      </c>
      <c r="C346" s="20" t="str">
        <f>IF('DDF Original'!C346="","",'DDF Original'!C346)</f>
        <v/>
      </c>
      <c r="D346" s="20" t="str">
        <f>IF('DDF Original'!F346="","",'DDF Original'!F346)</f>
        <v/>
      </c>
      <c r="E346" s="38" t="str">
        <f>'Recálculo Confissão (85-B)'!N346</f>
        <v/>
      </c>
      <c r="F346" s="20" t="str">
        <f t="shared" si="10"/>
        <v/>
      </c>
      <c r="G346" s="20" t="str">
        <f t="shared" si="11"/>
        <v/>
      </c>
    </row>
    <row r="347" spans="2:7" x14ac:dyDescent="0.2">
      <c r="B347" s="19" t="str">
        <f>IF('DDF Original'!B347="","",'DDF Original'!B347)</f>
        <v/>
      </c>
      <c r="C347" s="20" t="str">
        <f>IF('DDF Original'!C347="","",'DDF Original'!C347)</f>
        <v/>
      </c>
      <c r="D347" s="20" t="str">
        <f>IF('DDF Original'!F347="","",'DDF Original'!F347)</f>
        <v/>
      </c>
      <c r="E347" s="38" t="str">
        <f>'Recálculo Confissão (85-B)'!N347</f>
        <v/>
      </c>
      <c r="F347" s="20" t="str">
        <f t="shared" si="10"/>
        <v/>
      </c>
      <c r="G347" s="20" t="str">
        <f t="shared" si="11"/>
        <v/>
      </c>
    </row>
    <row r="348" spans="2:7" x14ac:dyDescent="0.2">
      <c r="B348" s="19" t="str">
        <f>IF('DDF Original'!B348="","",'DDF Original'!B348)</f>
        <v/>
      </c>
      <c r="C348" s="20" t="str">
        <f>IF('DDF Original'!C348="","",'DDF Original'!C348)</f>
        <v/>
      </c>
      <c r="D348" s="20" t="str">
        <f>IF('DDF Original'!F348="","",'DDF Original'!F348)</f>
        <v/>
      </c>
      <c r="E348" s="38" t="str">
        <f>'Recálculo Confissão (85-B)'!N348</f>
        <v/>
      </c>
      <c r="F348" s="20" t="str">
        <f t="shared" si="10"/>
        <v/>
      </c>
      <c r="G348" s="20" t="str">
        <f t="shared" si="11"/>
        <v/>
      </c>
    </row>
    <row r="349" spans="2:7" x14ac:dyDescent="0.2">
      <c r="B349" s="19" t="str">
        <f>IF('DDF Original'!B349="","",'DDF Original'!B349)</f>
        <v/>
      </c>
      <c r="C349" s="20" t="str">
        <f>IF('DDF Original'!C349="","",'DDF Original'!C349)</f>
        <v/>
      </c>
      <c r="D349" s="20" t="str">
        <f>IF('DDF Original'!F349="","",'DDF Original'!F349)</f>
        <v/>
      </c>
      <c r="E349" s="38" t="str">
        <f>'Recálculo Confissão (85-B)'!N349</f>
        <v/>
      </c>
      <c r="F349" s="20" t="str">
        <f t="shared" si="10"/>
        <v/>
      </c>
      <c r="G349" s="20" t="str">
        <f t="shared" si="11"/>
        <v/>
      </c>
    </row>
    <row r="350" spans="2:7" x14ac:dyDescent="0.2">
      <c r="B350" s="19" t="str">
        <f>IF('DDF Original'!B350="","",'DDF Original'!B350)</f>
        <v/>
      </c>
      <c r="C350" s="20" t="str">
        <f>IF('DDF Original'!C350="","",'DDF Original'!C350)</f>
        <v/>
      </c>
      <c r="D350" s="20" t="str">
        <f>IF('DDF Original'!F350="","",'DDF Original'!F350)</f>
        <v/>
      </c>
      <c r="E350" s="38" t="str">
        <f>'Recálculo Confissão (85-B)'!N350</f>
        <v/>
      </c>
      <c r="F350" s="20" t="str">
        <f t="shared" si="10"/>
        <v/>
      </c>
      <c r="G350" s="20" t="str">
        <f t="shared" si="11"/>
        <v/>
      </c>
    </row>
    <row r="351" spans="2:7" x14ac:dyDescent="0.2">
      <c r="B351" s="19" t="str">
        <f>IF('DDF Original'!B351="","",'DDF Original'!B351)</f>
        <v/>
      </c>
      <c r="C351" s="20" t="str">
        <f>IF('DDF Original'!C351="","",'DDF Original'!C351)</f>
        <v/>
      </c>
      <c r="D351" s="20" t="str">
        <f>IF('DDF Original'!F351="","",'DDF Original'!F351)</f>
        <v/>
      </c>
      <c r="E351" s="38" t="str">
        <f>'Recálculo Confissão (85-B)'!N351</f>
        <v/>
      </c>
      <c r="F351" s="20" t="str">
        <f t="shared" si="10"/>
        <v/>
      </c>
      <c r="G351" s="20" t="str">
        <f t="shared" si="11"/>
        <v/>
      </c>
    </row>
    <row r="352" spans="2:7" x14ac:dyDescent="0.2">
      <c r="B352" s="19" t="str">
        <f>IF('DDF Original'!B352="","",'DDF Original'!B352)</f>
        <v/>
      </c>
      <c r="C352" s="20" t="str">
        <f>IF('DDF Original'!C352="","",'DDF Original'!C352)</f>
        <v/>
      </c>
      <c r="D352" s="20" t="str">
        <f>IF('DDF Original'!F352="","",'DDF Original'!F352)</f>
        <v/>
      </c>
      <c r="E352" s="38" t="str">
        <f>'Recálculo Confissão (85-B)'!N352</f>
        <v/>
      </c>
      <c r="F352" s="20" t="str">
        <f t="shared" si="10"/>
        <v/>
      </c>
      <c r="G352" s="20" t="str">
        <f t="shared" si="11"/>
        <v/>
      </c>
    </row>
    <row r="353" spans="2:7" x14ac:dyDescent="0.2">
      <c r="B353" s="19" t="str">
        <f>IF('DDF Original'!B353="","",'DDF Original'!B353)</f>
        <v/>
      </c>
      <c r="C353" s="20" t="str">
        <f>IF('DDF Original'!C353="","",'DDF Original'!C353)</f>
        <v/>
      </c>
      <c r="D353" s="20" t="str">
        <f>IF('DDF Original'!F353="","",'DDF Original'!F353)</f>
        <v/>
      </c>
      <c r="E353" s="38" t="str">
        <f>'Recálculo Confissão (85-B)'!N353</f>
        <v/>
      </c>
      <c r="F353" s="20" t="str">
        <f t="shared" si="10"/>
        <v/>
      </c>
      <c r="G353" s="20" t="str">
        <f t="shared" si="11"/>
        <v/>
      </c>
    </row>
    <row r="354" spans="2:7" x14ac:dyDescent="0.2">
      <c r="B354" s="19" t="str">
        <f>IF('DDF Original'!B354="","",'DDF Original'!B354)</f>
        <v/>
      </c>
      <c r="C354" s="20" t="str">
        <f>IF('DDF Original'!C354="","",'DDF Original'!C354)</f>
        <v/>
      </c>
      <c r="D354" s="20" t="str">
        <f>IF('DDF Original'!F354="","",'DDF Original'!F354)</f>
        <v/>
      </c>
      <c r="E354" s="38" t="str">
        <f>'Recálculo Confissão (85-B)'!N354</f>
        <v/>
      </c>
      <c r="F354" s="20" t="str">
        <f t="shared" si="10"/>
        <v/>
      </c>
      <c r="G354" s="20" t="str">
        <f t="shared" si="11"/>
        <v/>
      </c>
    </row>
    <row r="355" spans="2:7" x14ac:dyDescent="0.2">
      <c r="B355" s="19" t="str">
        <f>IF('DDF Original'!B355="","",'DDF Original'!B355)</f>
        <v/>
      </c>
      <c r="C355" s="20" t="str">
        <f>IF('DDF Original'!C355="","",'DDF Original'!C355)</f>
        <v/>
      </c>
      <c r="D355" s="20" t="str">
        <f>IF('DDF Original'!F355="","",'DDF Original'!F355)</f>
        <v/>
      </c>
      <c r="E355" s="38" t="str">
        <f>'Recálculo Confissão (85-B)'!N355</f>
        <v/>
      </c>
      <c r="F355" s="20" t="str">
        <f t="shared" si="10"/>
        <v/>
      </c>
      <c r="G355" s="20" t="str">
        <f t="shared" si="11"/>
        <v/>
      </c>
    </row>
    <row r="356" spans="2:7" x14ac:dyDescent="0.2">
      <c r="B356" s="19" t="str">
        <f>IF('DDF Original'!B356="","",'DDF Original'!B356)</f>
        <v/>
      </c>
      <c r="C356" s="20" t="str">
        <f>IF('DDF Original'!C356="","",'DDF Original'!C356)</f>
        <v/>
      </c>
      <c r="D356" s="20" t="str">
        <f>IF('DDF Original'!F356="","",'DDF Original'!F356)</f>
        <v/>
      </c>
      <c r="E356" s="38" t="str">
        <f>'Recálculo Confissão (85-B)'!N356</f>
        <v/>
      </c>
      <c r="F356" s="20" t="str">
        <f t="shared" si="10"/>
        <v/>
      </c>
      <c r="G356" s="20" t="str">
        <f t="shared" si="11"/>
        <v/>
      </c>
    </row>
    <row r="357" spans="2:7" x14ac:dyDescent="0.2">
      <c r="B357" s="19" t="str">
        <f>IF('DDF Original'!B357="","",'DDF Original'!B357)</f>
        <v/>
      </c>
      <c r="C357" s="20" t="str">
        <f>IF('DDF Original'!C357="","",'DDF Original'!C357)</f>
        <v/>
      </c>
      <c r="D357" s="20" t="str">
        <f>IF('DDF Original'!F357="","",'DDF Original'!F357)</f>
        <v/>
      </c>
      <c r="E357" s="38" t="str">
        <f>'Recálculo Confissão (85-B)'!N357</f>
        <v/>
      </c>
      <c r="F357" s="20" t="str">
        <f t="shared" si="10"/>
        <v/>
      </c>
      <c r="G357" s="20" t="str">
        <f t="shared" si="11"/>
        <v/>
      </c>
    </row>
    <row r="358" spans="2:7" x14ac:dyDescent="0.2">
      <c r="B358" s="19" t="str">
        <f>IF('DDF Original'!B358="","",'DDF Original'!B358)</f>
        <v/>
      </c>
      <c r="C358" s="20" t="str">
        <f>IF('DDF Original'!C358="","",'DDF Original'!C358)</f>
        <v/>
      </c>
      <c r="D358" s="20" t="str">
        <f>IF('DDF Original'!F358="","",'DDF Original'!F358)</f>
        <v/>
      </c>
      <c r="E358" s="38" t="str">
        <f>'Recálculo Confissão (85-B)'!N358</f>
        <v/>
      </c>
      <c r="F358" s="20" t="str">
        <f t="shared" si="10"/>
        <v/>
      </c>
      <c r="G358" s="20" t="str">
        <f t="shared" si="11"/>
        <v/>
      </c>
    </row>
    <row r="359" spans="2:7" x14ac:dyDescent="0.2">
      <c r="B359" s="19" t="str">
        <f>IF('DDF Original'!B359="","",'DDF Original'!B359)</f>
        <v/>
      </c>
      <c r="C359" s="20" t="str">
        <f>IF('DDF Original'!C359="","",'DDF Original'!C359)</f>
        <v/>
      </c>
      <c r="D359" s="20" t="str">
        <f>IF('DDF Original'!F359="","",'DDF Original'!F359)</f>
        <v/>
      </c>
      <c r="E359" s="38" t="str">
        <f>'Recálculo Confissão (85-B)'!N359</f>
        <v/>
      </c>
      <c r="F359" s="20" t="str">
        <f t="shared" si="10"/>
        <v/>
      </c>
      <c r="G359" s="20" t="str">
        <f t="shared" si="11"/>
        <v/>
      </c>
    </row>
    <row r="360" spans="2:7" x14ac:dyDescent="0.2">
      <c r="B360" s="19" t="str">
        <f>IF('DDF Original'!B360="","",'DDF Original'!B360)</f>
        <v/>
      </c>
      <c r="C360" s="20" t="str">
        <f>IF('DDF Original'!C360="","",'DDF Original'!C360)</f>
        <v/>
      </c>
      <c r="D360" s="20" t="str">
        <f>IF('DDF Original'!F360="","",'DDF Original'!F360)</f>
        <v/>
      </c>
      <c r="E360" s="38" t="str">
        <f>'Recálculo Confissão (85-B)'!N360</f>
        <v/>
      </c>
      <c r="F360" s="20" t="str">
        <f t="shared" si="10"/>
        <v/>
      </c>
      <c r="G360" s="20" t="str">
        <f t="shared" si="11"/>
        <v/>
      </c>
    </row>
    <row r="361" spans="2:7" x14ac:dyDescent="0.2">
      <c r="B361" s="19" t="str">
        <f>IF('DDF Original'!B361="","",'DDF Original'!B361)</f>
        <v/>
      </c>
      <c r="C361" s="20" t="str">
        <f>IF('DDF Original'!C361="","",'DDF Original'!C361)</f>
        <v/>
      </c>
      <c r="D361" s="20" t="str">
        <f>IF('DDF Original'!F361="","",'DDF Original'!F361)</f>
        <v/>
      </c>
      <c r="E361" s="38" t="str">
        <f>'Recálculo Confissão (85-B)'!N361</f>
        <v/>
      </c>
      <c r="F361" s="20" t="str">
        <f t="shared" si="10"/>
        <v/>
      </c>
      <c r="G361" s="20" t="str">
        <f t="shared" si="11"/>
        <v/>
      </c>
    </row>
    <row r="362" spans="2:7" x14ac:dyDescent="0.2">
      <c r="B362" s="19" t="str">
        <f>IF('DDF Original'!B362="","",'DDF Original'!B362)</f>
        <v/>
      </c>
      <c r="C362" s="20" t="str">
        <f>IF('DDF Original'!C362="","",'DDF Original'!C362)</f>
        <v/>
      </c>
      <c r="D362" s="20" t="str">
        <f>IF('DDF Original'!F362="","",'DDF Original'!F362)</f>
        <v/>
      </c>
      <c r="E362" s="38" t="str">
        <f>'Recálculo Confissão (85-B)'!N362</f>
        <v/>
      </c>
      <c r="F362" s="20" t="str">
        <f t="shared" si="10"/>
        <v/>
      </c>
      <c r="G362" s="20" t="str">
        <f t="shared" si="11"/>
        <v/>
      </c>
    </row>
    <row r="363" spans="2:7" x14ac:dyDescent="0.2">
      <c r="B363" s="19" t="str">
        <f>IF('DDF Original'!B363="","",'DDF Original'!B363)</f>
        <v/>
      </c>
      <c r="C363" s="20" t="str">
        <f>IF('DDF Original'!C363="","",'DDF Original'!C363)</f>
        <v/>
      </c>
      <c r="D363" s="20" t="str">
        <f>IF('DDF Original'!F363="","",'DDF Original'!F363)</f>
        <v/>
      </c>
      <c r="E363" s="38" t="str">
        <f>'Recálculo Confissão (85-B)'!N363</f>
        <v/>
      </c>
      <c r="F363" s="20" t="str">
        <f t="shared" si="10"/>
        <v/>
      </c>
      <c r="G363" s="20" t="str">
        <f t="shared" si="11"/>
        <v/>
      </c>
    </row>
    <row r="364" spans="2:7" x14ac:dyDescent="0.2">
      <c r="B364" s="19" t="str">
        <f>IF('DDF Original'!B364="","",'DDF Original'!B364)</f>
        <v/>
      </c>
      <c r="C364" s="20" t="str">
        <f>IF('DDF Original'!C364="","",'DDF Original'!C364)</f>
        <v/>
      </c>
      <c r="D364" s="20" t="str">
        <f>IF('DDF Original'!F364="","",'DDF Original'!F364)</f>
        <v/>
      </c>
      <c r="E364" s="38" t="str">
        <f>'Recálculo Confissão (85-B)'!N364</f>
        <v/>
      </c>
      <c r="F364" s="20" t="str">
        <f t="shared" si="10"/>
        <v/>
      </c>
      <c r="G364" s="20" t="str">
        <f t="shared" si="11"/>
        <v/>
      </c>
    </row>
    <row r="365" spans="2:7" x14ac:dyDescent="0.2">
      <c r="B365" s="19" t="str">
        <f>IF('DDF Original'!B365="","",'DDF Original'!B365)</f>
        <v/>
      </c>
      <c r="C365" s="20" t="str">
        <f>IF('DDF Original'!C365="","",'DDF Original'!C365)</f>
        <v/>
      </c>
      <c r="D365" s="20" t="str">
        <f>IF('DDF Original'!F365="","",'DDF Original'!F365)</f>
        <v/>
      </c>
      <c r="E365" s="38" t="str">
        <f>'Recálculo Confissão (85-B)'!N365</f>
        <v/>
      </c>
      <c r="F365" s="20" t="str">
        <f t="shared" si="10"/>
        <v/>
      </c>
      <c r="G365" s="20" t="str">
        <f t="shared" si="11"/>
        <v/>
      </c>
    </row>
    <row r="366" spans="2:7" x14ac:dyDescent="0.2">
      <c r="B366" s="19" t="str">
        <f>IF('DDF Original'!B366="","",'DDF Original'!B366)</f>
        <v/>
      </c>
      <c r="C366" s="20" t="str">
        <f>IF('DDF Original'!C366="","",'DDF Original'!C366)</f>
        <v/>
      </c>
      <c r="D366" s="20" t="str">
        <f>IF('DDF Original'!F366="","",'DDF Original'!F366)</f>
        <v/>
      </c>
      <c r="E366" s="38" t="str">
        <f>'Recálculo Confissão (85-B)'!N366</f>
        <v/>
      </c>
      <c r="F366" s="20" t="str">
        <f t="shared" si="10"/>
        <v/>
      </c>
      <c r="G366" s="20" t="str">
        <f t="shared" si="11"/>
        <v/>
      </c>
    </row>
    <row r="367" spans="2:7" x14ac:dyDescent="0.2">
      <c r="B367" s="19" t="str">
        <f>IF('DDF Original'!B367="","",'DDF Original'!B367)</f>
        <v/>
      </c>
      <c r="C367" s="20" t="str">
        <f>IF('DDF Original'!C367="","",'DDF Original'!C367)</f>
        <v/>
      </c>
      <c r="D367" s="20" t="str">
        <f>IF('DDF Original'!F367="","",'DDF Original'!F367)</f>
        <v/>
      </c>
      <c r="E367" s="38" t="str">
        <f>'Recálculo Confissão (85-B)'!N367</f>
        <v/>
      </c>
      <c r="F367" s="20" t="str">
        <f t="shared" si="10"/>
        <v/>
      </c>
      <c r="G367" s="20" t="str">
        <f t="shared" si="11"/>
        <v/>
      </c>
    </row>
    <row r="368" spans="2:7" x14ac:dyDescent="0.2">
      <c r="B368" s="19" t="str">
        <f>IF('DDF Original'!B368="","",'DDF Original'!B368)</f>
        <v/>
      </c>
      <c r="C368" s="20" t="str">
        <f>IF('DDF Original'!C368="","",'DDF Original'!C368)</f>
        <v/>
      </c>
      <c r="D368" s="20" t="str">
        <f>IF('DDF Original'!F368="","",'DDF Original'!F368)</f>
        <v/>
      </c>
      <c r="E368" s="38" t="str">
        <f>'Recálculo Confissão (85-B)'!N368</f>
        <v/>
      </c>
      <c r="F368" s="20" t="str">
        <f t="shared" si="10"/>
        <v/>
      </c>
      <c r="G368" s="20" t="str">
        <f t="shared" si="11"/>
        <v/>
      </c>
    </row>
    <row r="369" spans="2:7" x14ac:dyDescent="0.2">
      <c r="B369" s="19" t="str">
        <f>IF('DDF Original'!B369="","",'DDF Original'!B369)</f>
        <v/>
      </c>
      <c r="C369" s="20" t="str">
        <f>IF('DDF Original'!C369="","",'DDF Original'!C369)</f>
        <v/>
      </c>
      <c r="D369" s="20" t="str">
        <f>IF('DDF Original'!F369="","",'DDF Original'!F369)</f>
        <v/>
      </c>
      <c r="E369" s="38" t="str">
        <f>'Recálculo Confissão (85-B)'!N369</f>
        <v/>
      </c>
      <c r="F369" s="20" t="str">
        <f t="shared" si="10"/>
        <v/>
      </c>
      <c r="G369" s="20" t="str">
        <f t="shared" si="11"/>
        <v/>
      </c>
    </row>
    <row r="370" spans="2:7" x14ac:dyDescent="0.2">
      <c r="B370" s="19" t="str">
        <f>IF('DDF Original'!B370="","",'DDF Original'!B370)</f>
        <v/>
      </c>
      <c r="C370" s="20" t="str">
        <f>IF('DDF Original'!C370="","",'DDF Original'!C370)</f>
        <v/>
      </c>
      <c r="D370" s="20" t="str">
        <f>IF('DDF Original'!F370="","",'DDF Original'!F370)</f>
        <v/>
      </c>
      <c r="E370" s="38" t="str">
        <f>'Recálculo Confissão (85-B)'!N370</f>
        <v/>
      </c>
      <c r="F370" s="20" t="str">
        <f t="shared" si="10"/>
        <v/>
      </c>
      <c r="G370" s="20" t="str">
        <f t="shared" si="11"/>
        <v/>
      </c>
    </row>
    <row r="371" spans="2:7" x14ac:dyDescent="0.2">
      <c r="B371" s="19" t="str">
        <f>IF('DDF Original'!B371="","",'DDF Original'!B371)</f>
        <v/>
      </c>
      <c r="C371" s="20" t="str">
        <f>IF('DDF Original'!C371="","",'DDF Original'!C371)</f>
        <v/>
      </c>
      <c r="D371" s="20" t="str">
        <f>IF('DDF Original'!F371="","",'DDF Original'!F371)</f>
        <v/>
      </c>
      <c r="E371" s="38" t="str">
        <f>'Recálculo Confissão (85-B)'!N371</f>
        <v/>
      </c>
      <c r="F371" s="20" t="str">
        <f t="shared" si="10"/>
        <v/>
      </c>
      <c r="G371" s="20" t="str">
        <f t="shared" si="11"/>
        <v/>
      </c>
    </row>
    <row r="372" spans="2:7" x14ac:dyDescent="0.2">
      <c r="B372" s="19" t="str">
        <f>IF('DDF Original'!B372="","",'DDF Original'!B372)</f>
        <v/>
      </c>
      <c r="C372" s="20" t="str">
        <f>IF('DDF Original'!C372="","",'DDF Original'!C372)</f>
        <v/>
      </c>
      <c r="D372" s="20" t="str">
        <f>IF('DDF Original'!F372="","",'DDF Original'!F372)</f>
        <v/>
      </c>
      <c r="E372" s="38" t="str">
        <f>'Recálculo Confissão (85-B)'!N372</f>
        <v/>
      </c>
      <c r="F372" s="20" t="str">
        <f t="shared" si="10"/>
        <v/>
      </c>
      <c r="G372" s="20" t="str">
        <f t="shared" si="11"/>
        <v/>
      </c>
    </row>
    <row r="373" spans="2:7" x14ac:dyDescent="0.2">
      <c r="B373" s="19" t="str">
        <f>IF('DDF Original'!B373="","",'DDF Original'!B373)</f>
        <v/>
      </c>
      <c r="C373" s="20" t="str">
        <f>IF('DDF Original'!C373="","",'DDF Original'!C373)</f>
        <v/>
      </c>
      <c r="D373" s="20" t="str">
        <f>IF('DDF Original'!F373="","",'DDF Original'!F373)</f>
        <v/>
      </c>
      <c r="E373" s="38" t="str">
        <f>'Recálculo Confissão (85-B)'!N373</f>
        <v/>
      </c>
      <c r="F373" s="20" t="str">
        <f t="shared" si="10"/>
        <v/>
      </c>
      <c r="G373" s="20" t="str">
        <f t="shared" si="11"/>
        <v/>
      </c>
    </row>
    <row r="374" spans="2:7" x14ac:dyDescent="0.2">
      <c r="B374" s="19" t="str">
        <f>IF('DDF Original'!B374="","",'DDF Original'!B374)</f>
        <v/>
      </c>
      <c r="C374" s="20" t="str">
        <f>IF('DDF Original'!C374="","",'DDF Original'!C374)</f>
        <v/>
      </c>
      <c r="D374" s="20" t="str">
        <f>IF('DDF Original'!F374="","",'DDF Original'!F374)</f>
        <v/>
      </c>
      <c r="E374" s="38" t="str">
        <f>'Recálculo Confissão (85-B)'!N374</f>
        <v/>
      </c>
      <c r="F374" s="20" t="str">
        <f t="shared" si="10"/>
        <v/>
      </c>
      <c r="G374" s="20" t="str">
        <f t="shared" si="11"/>
        <v/>
      </c>
    </row>
    <row r="375" spans="2:7" x14ac:dyDescent="0.2">
      <c r="B375" s="19" t="str">
        <f>IF('DDF Original'!B375="","",'DDF Original'!B375)</f>
        <v/>
      </c>
      <c r="C375" s="20" t="str">
        <f>IF('DDF Original'!C375="","",'DDF Original'!C375)</f>
        <v/>
      </c>
      <c r="D375" s="20" t="str">
        <f>IF('DDF Original'!F375="","",'DDF Original'!F375)</f>
        <v/>
      </c>
      <c r="E375" s="38" t="str">
        <f>'Recálculo Confissão (85-B)'!N375</f>
        <v/>
      </c>
      <c r="F375" s="20" t="str">
        <f t="shared" si="10"/>
        <v/>
      </c>
      <c r="G375" s="20" t="str">
        <f t="shared" si="11"/>
        <v/>
      </c>
    </row>
    <row r="376" spans="2:7" x14ac:dyDescent="0.2">
      <c r="B376" s="19" t="str">
        <f>IF('DDF Original'!B376="","",'DDF Original'!B376)</f>
        <v/>
      </c>
      <c r="C376" s="20" t="str">
        <f>IF('DDF Original'!C376="","",'DDF Original'!C376)</f>
        <v/>
      </c>
      <c r="D376" s="20" t="str">
        <f>IF('DDF Original'!F376="","",'DDF Original'!F376)</f>
        <v/>
      </c>
      <c r="E376" s="38" t="str">
        <f>'Recálculo Confissão (85-B)'!N376</f>
        <v/>
      </c>
      <c r="F376" s="20" t="str">
        <f t="shared" si="10"/>
        <v/>
      </c>
      <c r="G376" s="20" t="str">
        <f t="shared" si="11"/>
        <v/>
      </c>
    </row>
    <row r="377" spans="2:7" x14ac:dyDescent="0.2">
      <c r="B377" s="19" t="str">
        <f>IF('DDF Original'!B377="","",'DDF Original'!B377)</f>
        <v/>
      </c>
      <c r="C377" s="20" t="str">
        <f>IF('DDF Original'!C377="","",'DDF Original'!C377)</f>
        <v/>
      </c>
      <c r="D377" s="20" t="str">
        <f>IF('DDF Original'!F377="","",'DDF Original'!F377)</f>
        <v/>
      </c>
      <c r="E377" s="38" t="str">
        <f>'Recálculo Confissão (85-B)'!N377</f>
        <v/>
      </c>
      <c r="F377" s="20" t="str">
        <f t="shared" si="10"/>
        <v/>
      </c>
      <c r="G377" s="20" t="str">
        <f t="shared" si="11"/>
        <v/>
      </c>
    </row>
    <row r="378" spans="2:7" x14ac:dyDescent="0.2">
      <c r="B378" s="19" t="str">
        <f>IF('DDF Original'!B378="","",'DDF Original'!B378)</f>
        <v/>
      </c>
      <c r="C378" s="20" t="str">
        <f>IF('DDF Original'!C378="","",'DDF Original'!C378)</f>
        <v/>
      </c>
      <c r="D378" s="20" t="str">
        <f>IF('DDF Original'!F378="","",'DDF Original'!F378)</f>
        <v/>
      </c>
      <c r="E378" s="38" t="str">
        <f>'Recálculo Confissão (85-B)'!N378</f>
        <v/>
      </c>
      <c r="F378" s="20" t="str">
        <f t="shared" si="10"/>
        <v/>
      </c>
      <c r="G378" s="20" t="str">
        <f t="shared" si="11"/>
        <v/>
      </c>
    </row>
    <row r="379" spans="2:7" x14ac:dyDescent="0.2">
      <c r="B379" s="19" t="str">
        <f>IF('DDF Original'!B379="","",'DDF Original'!B379)</f>
        <v/>
      </c>
      <c r="C379" s="20" t="str">
        <f>IF('DDF Original'!C379="","",'DDF Original'!C379)</f>
        <v/>
      </c>
      <c r="D379" s="20" t="str">
        <f>IF('DDF Original'!F379="","",'DDF Original'!F379)</f>
        <v/>
      </c>
      <c r="E379" s="38" t="str">
        <f>'Recálculo Confissão (85-B)'!N379</f>
        <v/>
      </c>
      <c r="F379" s="20" t="str">
        <f t="shared" si="10"/>
        <v/>
      </c>
      <c r="G379" s="20" t="str">
        <f t="shared" si="11"/>
        <v/>
      </c>
    </row>
    <row r="380" spans="2:7" x14ac:dyDescent="0.2">
      <c r="B380" s="19" t="str">
        <f>IF('DDF Original'!B380="","",'DDF Original'!B380)</f>
        <v/>
      </c>
      <c r="C380" s="20" t="str">
        <f>IF('DDF Original'!C380="","",'DDF Original'!C380)</f>
        <v/>
      </c>
      <c r="D380" s="20" t="str">
        <f>IF('DDF Original'!F380="","",'DDF Original'!F380)</f>
        <v/>
      </c>
      <c r="E380" s="38" t="str">
        <f>'Recálculo Confissão (85-B)'!N380</f>
        <v/>
      </c>
      <c r="F380" s="20" t="str">
        <f t="shared" si="10"/>
        <v/>
      </c>
      <c r="G380" s="20" t="str">
        <f t="shared" si="11"/>
        <v/>
      </c>
    </row>
    <row r="381" spans="2:7" x14ac:dyDescent="0.2">
      <c r="B381" s="19" t="str">
        <f>IF('DDF Original'!B381="","",'DDF Original'!B381)</f>
        <v/>
      </c>
      <c r="C381" s="20" t="str">
        <f>IF('DDF Original'!C381="","",'DDF Original'!C381)</f>
        <v/>
      </c>
      <c r="D381" s="20" t="str">
        <f>IF('DDF Original'!F381="","",'DDF Original'!F381)</f>
        <v/>
      </c>
      <c r="E381" s="38" t="str">
        <f>'Recálculo Confissão (85-B)'!N381</f>
        <v/>
      </c>
      <c r="F381" s="20" t="str">
        <f t="shared" si="10"/>
        <v/>
      </c>
      <c r="G381" s="20" t="str">
        <f t="shared" si="11"/>
        <v/>
      </c>
    </row>
    <row r="382" spans="2:7" x14ac:dyDescent="0.2">
      <c r="B382" s="19" t="str">
        <f>IF('DDF Original'!B382="","",'DDF Original'!B382)</f>
        <v/>
      </c>
      <c r="C382" s="20" t="str">
        <f>IF('DDF Original'!C382="","",'DDF Original'!C382)</f>
        <v/>
      </c>
      <c r="D382" s="20" t="str">
        <f>IF('DDF Original'!F382="","",'DDF Original'!F382)</f>
        <v/>
      </c>
      <c r="E382" s="38" t="str">
        <f>'Recálculo Confissão (85-B)'!N382</f>
        <v/>
      </c>
      <c r="F382" s="20" t="str">
        <f t="shared" si="10"/>
        <v/>
      </c>
      <c r="G382" s="20" t="str">
        <f t="shared" si="11"/>
        <v/>
      </c>
    </row>
    <row r="383" spans="2:7" x14ac:dyDescent="0.2">
      <c r="B383" s="19" t="str">
        <f>IF('DDF Original'!B383="","",'DDF Original'!B383)</f>
        <v/>
      </c>
      <c r="C383" s="20" t="str">
        <f>IF('DDF Original'!C383="","",'DDF Original'!C383)</f>
        <v/>
      </c>
      <c r="D383" s="20" t="str">
        <f>IF('DDF Original'!F383="","",'DDF Original'!F383)</f>
        <v/>
      </c>
      <c r="E383" s="38" t="str">
        <f>'Recálculo Confissão (85-B)'!N383</f>
        <v/>
      </c>
      <c r="F383" s="20" t="str">
        <f t="shared" si="10"/>
        <v/>
      </c>
      <c r="G383" s="20" t="str">
        <f t="shared" si="11"/>
        <v/>
      </c>
    </row>
    <row r="384" spans="2:7" x14ac:dyDescent="0.2">
      <c r="B384" s="19" t="str">
        <f>IF('DDF Original'!B384="","",'DDF Original'!B384)</f>
        <v/>
      </c>
      <c r="C384" s="20" t="str">
        <f>IF('DDF Original'!C384="","",'DDF Original'!C384)</f>
        <v/>
      </c>
      <c r="D384" s="20" t="str">
        <f>IF('DDF Original'!F384="","",'DDF Original'!F384)</f>
        <v/>
      </c>
      <c r="E384" s="38" t="str">
        <f>'Recálculo Confissão (85-B)'!N384</f>
        <v/>
      </c>
      <c r="F384" s="20" t="str">
        <f t="shared" si="10"/>
        <v/>
      </c>
      <c r="G384" s="20" t="str">
        <f t="shared" si="11"/>
        <v/>
      </c>
    </row>
    <row r="385" spans="2:7" x14ac:dyDescent="0.2">
      <c r="B385" s="19" t="str">
        <f>IF('DDF Original'!B385="","",'DDF Original'!B385)</f>
        <v/>
      </c>
      <c r="C385" s="20" t="str">
        <f>IF('DDF Original'!C385="","",'DDF Original'!C385)</f>
        <v/>
      </c>
      <c r="D385" s="20" t="str">
        <f>IF('DDF Original'!F385="","",'DDF Original'!F385)</f>
        <v/>
      </c>
      <c r="E385" s="38" t="str">
        <f>'Recálculo Confissão (85-B)'!N385</f>
        <v/>
      </c>
      <c r="F385" s="20" t="str">
        <f t="shared" si="10"/>
        <v/>
      </c>
      <c r="G385" s="20" t="str">
        <f t="shared" si="11"/>
        <v/>
      </c>
    </row>
    <row r="386" spans="2:7" x14ac:dyDescent="0.2">
      <c r="B386" s="19" t="str">
        <f>IF('DDF Original'!B386="","",'DDF Original'!B386)</f>
        <v/>
      </c>
      <c r="C386" s="20" t="str">
        <f>IF('DDF Original'!C386="","",'DDF Original'!C386)</f>
        <v/>
      </c>
      <c r="D386" s="20" t="str">
        <f>IF('DDF Original'!F386="","",'DDF Original'!F386)</f>
        <v/>
      </c>
      <c r="E386" s="38" t="str">
        <f>'Recálculo Confissão (85-B)'!N386</f>
        <v/>
      </c>
      <c r="F386" s="20" t="str">
        <f t="shared" si="10"/>
        <v/>
      </c>
      <c r="G386" s="20" t="str">
        <f t="shared" si="11"/>
        <v/>
      </c>
    </row>
    <row r="387" spans="2:7" x14ac:dyDescent="0.2">
      <c r="B387" s="19" t="str">
        <f>IF('DDF Original'!B387="","",'DDF Original'!B387)</f>
        <v/>
      </c>
      <c r="C387" s="20" t="str">
        <f>IF('DDF Original'!C387="","",'DDF Original'!C387)</f>
        <v/>
      </c>
      <c r="D387" s="20" t="str">
        <f>IF('DDF Original'!F387="","",'DDF Original'!F387)</f>
        <v/>
      </c>
      <c r="E387" s="38" t="str">
        <f>'Recálculo Confissão (85-B)'!N387</f>
        <v/>
      </c>
      <c r="F387" s="20" t="str">
        <f t="shared" si="10"/>
        <v/>
      </c>
      <c r="G387" s="20" t="str">
        <f t="shared" si="11"/>
        <v/>
      </c>
    </row>
    <row r="388" spans="2:7" x14ac:dyDescent="0.2">
      <c r="B388" s="19" t="str">
        <f>IF('DDF Original'!B388="","",'DDF Original'!B388)</f>
        <v/>
      </c>
      <c r="C388" s="20" t="str">
        <f>IF('DDF Original'!C388="","",'DDF Original'!C388)</f>
        <v/>
      </c>
      <c r="D388" s="20" t="str">
        <f>IF('DDF Original'!F388="","",'DDF Original'!F388)</f>
        <v/>
      </c>
      <c r="E388" s="38" t="str">
        <f>'Recálculo Confissão (85-B)'!N388</f>
        <v/>
      </c>
      <c r="F388" s="20" t="str">
        <f t="shared" si="10"/>
        <v/>
      </c>
      <c r="G388" s="20" t="str">
        <f t="shared" si="11"/>
        <v/>
      </c>
    </row>
    <row r="389" spans="2:7" x14ac:dyDescent="0.2">
      <c r="B389" s="19" t="str">
        <f>IF('DDF Original'!B389="","",'DDF Original'!B389)</f>
        <v/>
      </c>
      <c r="C389" s="20" t="str">
        <f>IF('DDF Original'!C389="","",'DDF Original'!C389)</f>
        <v/>
      </c>
      <c r="D389" s="20" t="str">
        <f>IF('DDF Original'!F389="","",'DDF Original'!F389)</f>
        <v/>
      </c>
      <c r="E389" s="38" t="str">
        <f>'Recálculo Confissão (85-B)'!N389</f>
        <v/>
      </c>
      <c r="F389" s="20" t="str">
        <f t="shared" si="10"/>
        <v/>
      </c>
      <c r="G389" s="20" t="str">
        <f t="shared" si="11"/>
        <v/>
      </c>
    </row>
    <row r="390" spans="2:7" x14ac:dyDescent="0.2">
      <c r="B390" s="19" t="str">
        <f>IF('DDF Original'!B390="","",'DDF Original'!B390)</f>
        <v/>
      </c>
      <c r="C390" s="20" t="str">
        <f>IF('DDF Original'!C390="","",'DDF Original'!C390)</f>
        <v/>
      </c>
      <c r="D390" s="20" t="str">
        <f>IF('DDF Original'!F390="","",'DDF Original'!F390)</f>
        <v/>
      </c>
      <c r="E390" s="38" t="str">
        <f>'Recálculo Confissão (85-B)'!N390</f>
        <v/>
      </c>
      <c r="F390" s="20" t="str">
        <f t="shared" si="10"/>
        <v/>
      </c>
      <c r="G390" s="20" t="str">
        <f t="shared" si="11"/>
        <v/>
      </c>
    </row>
    <row r="391" spans="2:7" x14ac:dyDescent="0.2">
      <c r="B391" s="19" t="str">
        <f>IF('DDF Original'!B391="","",'DDF Original'!B391)</f>
        <v/>
      </c>
      <c r="C391" s="20" t="str">
        <f>IF('DDF Original'!C391="","",'DDF Original'!C391)</f>
        <v/>
      </c>
      <c r="D391" s="20" t="str">
        <f>IF('DDF Original'!F391="","",'DDF Original'!F391)</f>
        <v/>
      </c>
      <c r="E391" s="38" t="str">
        <f>'Recálculo Confissão (85-B)'!N391</f>
        <v/>
      </c>
      <c r="F391" s="20" t="str">
        <f t="shared" si="10"/>
        <v/>
      </c>
      <c r="G391" s="20" t="str">
        <f t="shared" si="11"/>
        <v/>
      </c>
    </row>
    <row r="392" spans="2:7" x14ac:dyDescent="0.2">
      <c r="B392" s="19" t="str">
        <f>IF('DDF Original'!B392="","",'DDF Original'!B392)</f>
        <v/>
      </c>
      <c r="C392" s="20" t="str">
        <f>IF('DDF Original'!C392="","",'DDF Original'!C392)</f>
        <v/>
      </c>
      <c r="D392" s="20" t="str">
        <f>IF('DDF Original'!F392="","",'DDF Original'!F392)</f>
        <v/>
      </c>
      <c r="E392" s="38" t="str">
        <f>'Recálculo Confissão (85-B)'!N392</f>
        <v/>
      </c>
      <c r="F392" s="20" t="str">
        <f t="shared" si="10"/>
        <v/>
      </c>
      <c r="G392" s="20" t="str">
        <f t="shared" si="11"/>
        <v/>
      </c>
    </row>
    <row r="393" spans="2:7" x14ac:dyDescent="0.2">
      <c r="B393" s="19" t="str">
        <f>IF('DDF Original'!B393="","",'DDF Original'!B393)</f>
        <v/>
      </c>
      <c r="C393" s="20" t="str">
        <f>IF('DDF Original'!C393="","",'DDF Original'!C393)</f>
        <v/>
      </c>
      <c r="D393" s="20" t="str">
        <f>IF('DDF Original'!F393="","",'DDF Original'!F393)</f>
        <v/>
      </c>
      <c r="E393" s="38" t="str">
        <f>'Recálculo Confissão (85-B)'!N393</f>
        <v/>
      </c>
      <c r="F393" s="20" t="str">
        <f t="shared" si="10"/>
        <v/>
      </c>
      <c r="G393" s="20" t="str">
        <f t="shared" si="11"/>
        <v/>
      </c>
    </row>
    <row r="394" spans="2:7" x14ac:dyDescent="0.2">
      <c r="B394" s="19" t="str">
        <f>IF('DDF Original'!B394="","",'DDF Original'!B394)</f>
        <v/>
      </c>
      <c r="C394" s="20" t="str">
        <f>IF('DDF Original'!C394="","",'DDF Original'!C394)</f>
        <v/>
      </c>
      <c r="D394" s="20" t="str">
        <f>IF('DDF Original'!F394="","",'DDF Original'!F394)</f>
        <v/>
      </c>
      <c r="E394" s="38" t="str">
        <f>'Recálculo Confissão (85-B)'!N394</f>
        <v/>
      </c>
      <c r="F394" s="20" t="str">
        <f t="shared" ref="F394:F457" si="12">IF(E394="","",ROUND(E394*(1-70%),2))</f>
        <v/>
      </c>
      <c r="G394" s="20" t="str">
        <f t="shared" ref="G394:G457" si="13">IF(E394="","",ROUND(E394*(1-60%),2))</f>
        <v/>
      </c>
    </row>
    <row r="395" spans="2:7" x14ac:dyDescent="0.2">
      <c r="B395" s="19" t="str">
        <f>IF('DDF Original'!B395="","",'DDF Original'!B395)</f>
        <v/>
      </c>
      <c r="C395" s="20" t="str">
        <f>IF('DDF Original'!C395="","",'DDF Original'!C395)</f>
        <v/>
      </c>
      <c r="D395" s="20" t="str">
        <f>IF('DDF Original'!F395="","",'DDF Original'!F395)</f>
        <v/>
      </c>
      <c r="E395" s="38" t="str">
        <f>'Recálculo Confissão (85-B)'!N395</f>
        <v/>
      </c>
      <c r="F395" s="20" t="str">
        <f t="shared" si="12"/>
        <v/>
      </c>
      <c r="G395" s="20" t="str">
        <f t="shared" si="13"/>
        <v/>
      </c>
    </row>
    <row r="396" spans="2:7" x14ac:dyDescent="0.2">
      <c r="B396" s="19" t="str">
        <f>IF('DDF Original'!B396="","",'DDF Original'!B396)</f>
        <v/>
      </c>
      <c r="C396" s="20" t="str">
        <f>IF('DDF Original'!C396="","",'DDF Original'!C396)</f>
        <v/>
      </c>
      <c r="D396" s="20" t="str">
        <f>IF('DDF Original'!F396="","",'DDF Original'!F396)</f>
        <v/>
      </c>
      <c r="E396" s="38" t="str">
        <f>'Recálculo Confissão (85-B)'!N396</f>
        <v/>
      </c>
      <c r="F396" s="20" t="str">
        <f t="shared" si="12"/>
        <v/>
      </c>
      <c r="G396" s="20" t="str">
        <f t="shared" si="13"/>
        <v/>
      </c>
    </row>
    <row r="397" spans="2:7" x14ac:dyDescent="0.2">
      <c r="B397" s="19" t="str">
        <f>IF('DDF Original'!B397="","",'DDF Original'!B397)</f>
        <v/>
      </c>
      <c r="C397" s="20" t="str">
        <f>IF('DDF Original'!C397="","",'DDF Original'!C397)</f>
        <v/>
      </c>
      <c r="D397" s="20" t="str">
        <f>IF('DDF Original'!F397="","",'DDF Original'!F397)</f>
        <v/>
      </c>
      <c r="E397" s="38" t="str">
        <f>'Recálculo Confissão (85-B)'!N397</f>
        <v/>
      </c>
      <c r="F397" s="20" t="str">
        <f t="shared" si="12"/>
        <v/>
      </c>
      <c r="G397" s="20" t="str">
        <f t="shared" si="13"/>
        <v/>
      </c>
    </row>
    <row r="398" spans="2:7" x14ac:dyDescent="0.2">
      <c r="B398" s="19" t="str">
        <f>IF('DDF Original'!B398="","",'DDF Original'!B398)</f>
        <v/>
      </c>
      <c r="C398" s="20" t="str">
        <f>IF('DDF Original'!C398="","",'DDF Original'!C398)</f>
        <v/>
      </c>
      <c r="D398" s="20" t="str">
        <f>IF('DDF Original'!F398="","",'DDF Original'!F398)</f>
        <v/>
      </c>
      <c r="E398" s="38" t="str">
        <f>'Recálculo Confissão (85-B)'!N398</f>
        <v/>
      </c>
      <c r="F398" s="20" t="str">
        <f t="shared" si="12"/>
        <v/>
      </c>
      <c r="G398" s="20" t="str">
        <f t="shared" si="13"/>
        <v/>
      </c>
    </row>
    <row r="399" spans="2:7" x14ac:dyDescent="0.2">
      <c r="B399" s="19" t="str">
        <f>IF('DDF Original'!B399="","",'DDF Original'!B399)</f>
        <v/>
      </c>
      <c r="C399" s="20" t="str">
        <f>IF('DDF Original'!C399="","",'DDF Original'!C399)</f>
        <v/>
      </c>
      <c r="D399" s="20" t="str">
        <f>IF('DDF Original'!F399="","",'DDF Original'!F399)</f>
        <v/>
      </c>
      <c r="E399" s="38" t="str">
        <f>'Recálculo Confissão (85-B)'!N399</f>
        <v/>
      </c>
      <c r="F399" s="20" t="str">
        <f t="shared" si="12"/>
        <v/>
      </c>
      <c r="G399" s="20" t="str">
        <f t="shared" si="13"/>
        <v/>
      </c>
    </row>
    <row r="400" spans="2:7" x14ac:dyDescent="0.2">
      <c r="B400" s="19" t="str">
        <f>IF('DDF Original'!B400="","",'DDF Original'!B400)</f>
        <v/>
      </c>
      <c r="C400" s="20" t="str">
        <f>IF('DDF Original'!C400="","",'DDF Original'!C400)</f>
        <v/>
      </c>
      <c r="D400" s="20" t="str">
        <f>IF('DDF Original'!F400="","",'DDF Original'!F400)</f>
        <v/>
      </c>
      <c r="E400" s="38" t="str">
        <f>'Recálculo Confissão (85-B)'!N400</f>
        <v/>
      </c>
      <c r="F400" s="20" t="str">
        <f t="shared" si="12"/>
        <v/>
      </c>
      <c r="G400" s="20" t="str">
        <f t="shared" si="13"/>
        <v/>
      </c>
    </row>
    <row r="401" spans="2:7" x14ac:dyDescent="0.2">
      <c r="B401" s="19" t="str">
        <f>IF('DDF Original'!B401="","",'DDF Original'!B401)</f>
        <v/>
      </c>
      <c r="C401" s="20" t="str">
        <f>IF('DDF Original'!C401="","",'DDF Original'!C401)</f>
        <v/>
      </c>
      <c r="D401" s="20" t="str">
        <f>IF('DDF Original'!F401="","",'DDF Original'!F401)</f>
        <v/>
      </c>
      <c r="E401" s="38" t="str">
        <f>'Recálculo Confissão (85-B)'!N401</f>
        <v/>
      </c>
      <c r="F401" s="20" t="str">
        <f t="shared" si="12"/>
        <v/>
      </c>
      <c r="G401" s="20" t="str">
        <f t="shared" si="13"/>
        <v/>
      </c>
    </row>
    <row r="402" spans="2:7" x14ac:dyDescent="0.2">
      <c r="B402" s="19" t="str">
        <f>IF('DDF Original'!B402="","",'DDF Original'!B402)</f>
        <v/>
      </c>
      <c r="C402" s="20" t="str">
        <f>IF('DDF Original'!C402="","",'DDF Original'!C402)</f>
        <v/>
      </c>
      <c r="D402" s="20" t="str">
        <f>IF('DDF Original'!F402="","",'DDF Original'!F402)</f>
        <v/>
      </c>
      <c r="E402" s="38" t="str">
        <f>'Recálculo Confissão (85-B)'!N402</f>
        <v/>
      </c>
      <c r="F402" s="20" t="str">
        <f t="shared" si="12"/>
        <v/>
      </c>
      <c r="G402" s="20" t="str">
        <f t="shared" si="13"/>
        <v/>
      </c>
    </row>
    <row r="403" spans="2:7" x14ac:dyDescent="0.2">
      <c r="B403" s="19" t="str">
        <f>IF('DDF Original'!B403="","",'DDF Original'!B403)</f>
        <v/>
      </c>
      <c r="C403" s="20" t="str">
        <f>IF('DDF Original'!C403="","",'DDF Original'!C403)</f>
        <v/>
      </c>
      <c r="D403" s="20" t="str">
        <f>IF('DDF Original'!F403="","",'DDF Original'!F403)</f>
        <v/>
      </c>
      <c r="E403" s="38" t="str">
        <f>'Recálculo Confissão (85-B)'!N403</f>
        <v/>
      </c>
      <c r="F403" s="20" t="str">
        <f t="shared" si="12"/>
        <v/>
      </c>
      <c r="G403" s="20" t="str">
        <f t="shared" si="13"/>
        <v/>
      </c>
    </row>
    <row r="404" spans="2:7" x14ac:dyDescent="0.2">
      <c r="B404" s="19" t="str">
        <f>IF('DDF Original'!B404="","",'DDF Original'!B404)</f>
        <v/>
      </c>
      <c r="C404" s="20" t="str">
        <f>IF('DDF Original'!C404="","",'DDF Original'!C404)</f>
        <v/>
      </c>
      <c r="D404" s="20" t="str">
        <f>IF('DDF Original'!F404="","",'DDF Original'!F404)</f>
        <v/>
      </c>
      <c r="E404" s="38" t="str">
        <f>'Recálculo Confissão (85-B)'!N404</f>
        <v/>
      </c>
      <c r="F404" s="20" t="str">
        <f t="shared" si="12"/>
        <v/>
      </c>
      <c r="G404" s="20" t="str">
        <f t="shared" si="13"/>
        <v/>
      </c>
    </row>
    <row r="405" spans="2:7" x14ac:dyDescent="0.2">
      <c r="B405" s="19" t="str">
        <f>IF('DDF Original'!B405="","",'DDF Original'!B405)</f>
        <v/>
      </c>
      <c r="C405" s="20" t="str">
        <f>IF('DDF Original'!C405="","",'DDF Original'!C405)</f>
        <v/>
      </c>
      <c r="D405" s="20" t="str">
        <f>IF('DDF Original'!F405="","",'DDF Original'!F405)</f>
        <v/>
      </c>
      <c r="E405" s="38" t="str">
        <f>'Recálculo Confissão (85-B)'!N405</f>
        <v/>
      </c>
      <c r="F405" s="20" t="str">
        <f t="shared" si="12"/>
        <v/>
      </c>
      <c r="G405" s="20" t="str">
        <f t="shared" si="13"/>
        <v/>
      </c>
    </row>
    <row r="406" spans="2:7" x14ac:dyDescent="0.2">
      <c r="B406" s="19" t="str">
        <f>IF('DDF Original'!B406="","",'DDF Original'!B406)</f>
        <v/>
      </c>
      <c r="C406" s="20" t="str">
        <f>IF('DDF Original'!C406="","",'DDF Original'!C406)</f>
        <v/>
      </c>
      <c r="D406" s="20" t="str">
        <f>IF('DDF Original'!F406="","",'DDF Original'!F406)</f>
        <v/>
      </c>
      <c r="E406" s="38" t="str">
        <f>'Recálculo Confissão (85-B)'!N406</f>
        <v/>
      </c>
      <c r="F406" s="20" t="str">
        <f t="shared" si="12"/>
        <v/>
      </c>
      <c r="G406" s="20" t="str">
        <f t="shared" si="13"/>
        <v/>
      </c>
    </row>
    <row r="407" spans="2:7" x14ac:dyDescent="0.2">
      <c r="B407" s="19" t="str">
        <f>IF('DDF Original'!B407="","",'DDF Original'!B407)</f>
        <v/>
      </c>
      <c r="C407" s="20" t="str">
        <f>IF('DDF Original'!C407="","",'DDF Original'!C407)</f>
        <v/>
      </c>
      <c r="D407" s="20" t="str">
        <f>IF('DDF Original'!F407="","",'DDF Original'!F407)</f>
        <v/>
      </c>
      <c r="E407" s="38" t="str">
        <f>'Recálculo Confissão (85-B)'!N407</f>
        <v/>
      </c>
      <c r="F407" s="20" t="str">
        <f t="shared" si="12"/>
        <v/>
      </c>
      <c r="G407" s="20" t="str">
        <f t="shared" si="13"/>
        <v/>
      </c>
    </row>
    <row r="408" spans="2:7" x14ac:dyDescent="0.2">
      <c r="B408" s="19" t="str">
        <f>IF('DDF Original'!B408="","",'DDF Original'!B408)</f>
        <v/>
      </c>
      <c r="C408" s="20" t="str">
        <f>IF('DDF Original'!C408="","",'DDF Original'!C408)</f>
        <v/>
      </c>
      <c r="D408" s="20" t="str">
        <f>IF('DDF Original'!F408="","",'DDF Original'!F408)</f>
        <v/>
      </c>
      <c r="E408" s="38" t="str">
        <f>'Recálculo Confissão (85-B)'!N408</f>
        <v/>
      </c>
      <c r="F408" s="20" t="str">
        <f t="shared" si="12"/>
        <v/>
      </c>
      <c r="G408" s="20" t="str">
        <f t="shared" si="13"/>
        <v/>
      </c>
    </row>
    <row r="409" spans="2:7" x14ac:dyDescent="0.2">
      <c r="B409" s="19" t="str">
        <f>IF('DDF Original'!B409="","",'DDF Original'!B409)</f>
        <v/>
      </c>
      <c r="C409" s="20" t="str">
        <f>IF('DDF Original'!C409="","",'DDF Original'!C409)</f>
        <v/>
      </c>
      <c r="D409" s="20" t="str">
        <f>IF('DDF Original'!F409="","",'DDF Original'!F409)</f>
        <v/>
      </c>
      <c r="E409" s="38" t="str">
        <f>'Recálculo Confissão (85-B)'!N409</f>
        <v/>
      </c>
      <c r="F409" s="20" t="str">
        <f t="shared" si="12"/>
        <v/>
      </c>
      <c r="G409" s="20" t="str">
        <f t="shared" si="13"/>
        <v/>
      </c>
    </row>
    <row r="410" spans="2:7" x14ac:dyDescent="0.2">
      <c r="B410" s="19" t="str">
        <f>IF('DDF Original'!B410="","",'DDF Original'!B410)</f>
        <v/>
      </c>
      <c r="C410" s="20" t="str">
        <f>IF('DDF Original'!C410="","",'DDF Original'!C410)</f>
        <v/>
      </c>
      <c r="D410" s="20" t="str">
        <f>IF('DDF Original'!F410="","",'DDF Original'!F410)</f>
        <v/>
      </c>
      <c r="E410" s="38" t="str">
        <f>'Recálculo Confissão (85-B)'!N410</f>
        <v/>
      </c>
      <c r="F410" s="20" t="str">
        <f t="shared" si="12"/>
        <v/>
      </c>
      <c r="G410" s="20" t="str">
        <f t="shared" si="13"/>
        <v/>
      </c>
    </row>
    <row r="411" spans="2:7" x14ac:dyDescent="0.2">
      <c r="B411" s="19" t="str">
        <f>IF('DDF Original'!B411="","",'DDF Original'!B411)</f>
        <v/>
      </c>
      <c r="C411" s="20" t="str">
        <f>IF('DDF Original'!C411="","",'DDF Original'!C411)</f>
        <v/>
      </c>
      <c r="D411" s="20" t="str">
        <f>IF('DDF Original'!F411="","",'DDF Original'!F411)</f>
        <v/>
      </c>
      <c r="E411" s="38" t="str">
        <f>'Recálculo Confissão (85-B)'!N411</f>
        <v/>
      </c>
      <c r="F411" s="20" t="str">
        <f t="shared" si="12"/>
        <v/>
      </c>
      <c r="G411" s="20" t="str">
        <f t="shared" si="13"/>
        <v/>
      </c>
    </row>
    <row r="412" spans="2:7" x14ac:dyDescent="0.2">
      <c r="B412" s="19" t="str">
        <f>IF('DDF Original'!B412="","",'DDF Original'!B412)</f>
        <v/>
      </c>
      <c r="C412" s="20" t="str">
        <f>IF('DDF Original'!C412="","",'DDF Original'!C412)</f>
        <v/>
      </c>
      <c r="D412" s="20" t="str">
        <f>IF('DDF Original'!F412="","",'DDF Original'!F412)</f>
        <v/>
      </c>
      <c r="E412" s="38" t="str">
        <f>'Recálculo Confissão (85-B)'!N412</f>
        <v/>
      </c>
      <c r="F412" s="20" t="str">
        <f t="shared" si="12"/>
        <v/>
      </c>
      <c r="G412" s="20" t="str">
        <f t="shared" si="13"/>
        <v/>
      </c>
    </row>
    <row r="413" spans="2:7" x14ac:dyDescent="0.2">
      <c r="B413" s="19" t="str">
        <f>IF('DDF Original'!B413="","",'DDF Original'!B413)</f>
        <v/>
      </c>
      <c r="C413" s="20" t="str">
        <f>IF('DDF Original'!C413="","",'DDF Original'!C413)</f>
        <v/>
      </c>
      <c r="D413" s="20" t="str">
        <f>IF('DDF Original'!F413="","",'DDF Original'!F413)</f>
        <v/>
      </c>
      <c r="E413" s="38" t="str">
        <f>'Recálculo Confissão (85-B)'!N413</f>
        <v/>
      </c>
      <c r="F413" s="20" t="str">
        <f t="shared" si="12"/>
        <v/>
      </c>
      <c r="G413" s="20" t="str">
        <f t="shared" si="13"/>
        <v/>
      </c>
    </row>
    <row r="414" spans="2:7" x14ac:dyDescent="0.2">
      <c r="B414" s="19" t="str">
        <f>IF('DDF Original'!B414="","",'DDF Original'!B414)</f>
        <v/>
      </c>
      <c r="C414" s="20" t="str">
        <f>IF('DDF Original'!C414="","",'DDF Original'!C414)</f>
        <v/>
      </c>
      <c r="D414" s="20" t="str">
        <f>IF('DDF Original'!F414="","",'DDF Original'!F414)</f>
        <v/>
      </c>
      <c r="E414" s="38" t="str">
        <f>'Recálculo Confissão (85-B)'!N414</f>
        <v/>
      </c>
      <c r="F414" s="20" t="str">
        <f t="shared" si="12"/>
        <v/>
      </c>
      <c r="G414" s="20" t="str">
        <f t="shared" si="13"/>
        <v/>
      </c>
    </row>
    <row r="415" spans="2:7" x14ac:dyDescent="0.2">
      <c r="B415" s="19" t="str">
        <f>IF('DDF Original'!B415="","",'DDF Original'!B415)</f>
        <v/>
      </c>
      <c r="C415" s="20" t="str">
        <f>IF('DDF Original'!C415="","",'DDF Original'!C415)</f>
        <v/>
      </c>
      <c r="D415" s="20" t="str">
        <f>IF('DDF Original'!F415="","",'DDF Original'!F415)</f>
        <v/>
      </c>
      <c r="E415" s="38" t="str">
        <f>'Recálculo Confissão (85-B)'!N415</f>
        <v/>
      </c>
      <c r="F415" s="20" t="str">
        <f t="shared" si="12"/>
        <v/>
      </c>
      <c r="G415" s="20" t="str">
        <f t="shared" si="13"/>
        <v/>
      </c>
    </row>
    <row r="416" spans="2:7" x14ac:dyDescent="0.2">
      <c r="B416" s="19" t="str">
        <f>IF('DDF Original'!B416="","",'DDF Original'!B416)</f>
        <v/>
      </c>
      <c r="C416" s="20" t="str">
        <f>IF('DDF Original'!C416="","",'DDF Original'!C416)</f>
        <v/>
      </c>
      <c r="D416" s="20" t="str">
        <f>IF('DDF Original'!F416="","",'DDF Original'!F416)</f>
        <v/>
      </c>
      <c r="E416" s="38" t="str">
        <f>'Recálculo Confissão (85-B)'!N416</f>
        <v/>
      </c>
      <c r="F416" s="20" t="str">
        <f t="shared" si="12"/>
        <v/>
      </c>
      <c r="G416" s="20" t="str">
        <f t="shared" si="13"/>
        <v/>
      </c>
    </row>
    <row r="417" spans="2:7" x14ac:dyDescent="0.2">
      <c r="B417" s="19" t="str">
        <f>IF('DDF Original'!B417="","",'DDF Original'!B417)</f>
        <v/>
      </c>
      <c r="C417" s="20" t="str">
        <f>IF('DDF Original'!C417="","",'DDF Original'!C417)</f>
        <v/>
      </c>
      <c r="D417" s="20" t="str">
        <f>IF('DDF Original'!F417="","",'DDF Original'!F417)</f>
        <v/>
      </c>
      <c r="E417" s="38" t="str">
        <f>'Recálculo Confissão (85-B)'!N417</f>
        <v/>
      </c>
      <c r="F417" s="20" t="str">
        <f t="shared" si="12"/>
        <v/>
      </c>
      <c r="G417" s="20" t="str">
        <f t="shared" si="13"/>
        <v/>
      </c>
    </row>
    <row r="418" spans="2:7" x14ac:dyDescent="0.2">
      <c r="B418" s="19" t="str">
        <f>IF('DDF Original'!B418="","",'DDF Original'!B418)</f>
        <v/>
      </c>
      <c r="C418" s="20" t="str">
        <f>IF('DDF Original'!C418="","",'DDF Original'!C418)</f>
        <v/>
      </c>
      <c r="D418" s="20" t="str">
        <f>IF('DDF Original'!F418="","",'DDF Original'!F418)</f>
        <v/>
      </c>
      <c r="E418" s="38" t="str">
        <f>'Recálculo Confissão (85-B)'!N418</f>
        <v/>
      </c>
      <c r="F418" s="20" t="str">
        <f t="shared" si="12"/>
        <v/>
      </c>
      <c r="G418" s="20" t="str">
        <f t="shared" si="13"/>
        <v/>
      </c>
    </row>
    <row r="419" spans="2:7" x14ac:dyDescent="0.2">
      <c r="B419" s="19" t="str">
        <f>IF('DDF Original'!B419="","",'DDF Original'!B419)</f>
        <v/>
      </c>
      <c r="C419" s="20" t="str">
        <f>IF('DDF Original'!C419="","",'DDF Original'!C419)</f>
        <v/>
      </c>
      <c r="D419" s="20" t="str">
        <f>IF('DDF Original'!F419="","",'DDF Original'!F419)</f>
        <v/>
      </c>
      <c r="E419" s="38" t="str">
        <f>'Recálculo Confissão (85-B)'!N419</f>
        <v/>
      </c>
      <c r="F419" s="20" t="str">
        <f t="shared" si="12"/>
        <v/>
      </c>
      <c r="G419" s="20" t="str">
        <f t="shared" si="13"/>
        <v/>
      </c>
    </row>
    <row r="420" spans="2:7" x14ac:dyDescent="0.2">
      <c r="B420" s="19" t="str">
        <f>IF('DDF Original'!B420="","",'DDF Original'!B420)</f>
        <v/>
      </c>
      <c r="C420" s="20" t="str">
        <f>IF('DDF Original'!C420="","",'DDF Original'!C420)</f>
        <v/>
      </c>
      <c r="D420" s="20" t="str">
        <f>IF('DDF Original'!F420="","",'DDF Original'!F420)</f>
        <v/>
      </c>
      <c r="E420" s="38" t="str">
        <f>'Recálculo Confissão (85-B)'!N420</f>
        <v/>
      </c>
      <c r="F420" s="20" t="str">
        <f t="shared" si="12"/>
        <v/>
      </c>
      <c r="G420" s="20" t="str">
        <f t="shared" si="13"/>
        <v/>
      </c>
    </row>
    <row r="421" spans="2:7" x14ac:dyDescent="0.2">
      <c r="B421" s="19" t="str">
        <f>IF('DDF Original'!B421="","",'DDF Original'!B421)</f>
        <v/>
      </c>
      <c r="C421" s="20" t="str">
        <f>IF('DDF Original'!C421="","",'DDF Original'!C421)</f>
        <v/>
      </c>
      <c r="D421" s="20" t="str">
        <f>IF('DDF Original'!F421="","",'DDF Original'!F421)</f>
        <v/>
      </c>
      <c r="E421" s="38" t="str">
        <f>'Recálculo Confissão (85-B)'!N421</f>
        <v/>
      </c>
      <c r="F421" s="20" t="str">
        <f t="shared" si="12"/>
        <v/>
      </c>
      <c r="G421" s="20" t="str">
        <f t="shared" si="13"/>
        <v/>
      </c>
    </row>
    <row r="422" spans="2:7" x14ac:dyDescent="0.2">
      <c r="B422" s="19" t="str">
        <f>IF('DDF Original'!B422="","",'DDF Original'!B422)</f>
        <v/>
      </c>
      <c r="C422" s="20" t="str">
        <f>IF('DDF Original'!C422="","",'DDF Original'!C422)</f>
        <v/>
      </c>
      <c r="D422" s="20" t="str">
        <f>IF('DDF Original'!F422="","",'DDF Original'!F422)</f>
        <v/>
      </c>
      <c r="E422" s="38" t="str">
        <f>'Recálculo Confissão (85-B)'!N422</f>
        <v/>
      </c>
      <c r="F422" s="20" t="str">
        <f t="shared" si="12"/>
        <v/>
      </c>
      <c r="G422" s="20" t="str">
        <f t="shared" si="13"/>
        <v/>
      </c>
    </row>
    <row r="423" spans="2:7" x14ac:dyDescent="0.2">
      <c r="B423" s="19" t="str">
        <f>IF('DDF Original'!B423="","",'DDF Original'!B423)</f>
        <v/>
      </c>
      <c r="C423" s="20" t="str">
        <f>IF('DDF Original'!C423="","",'DDF Original'!C423)</f>
        <v/>
      </c>
      <c r="D423" s="20" t="str">
        <f>IF('DDF Original'!F423="","",'DDF Original'!F423)</f>
        <v/>
      </c>
      <c r="E423" s="38" t="str">
        <f>'Recálculo Confissão (85-B)'!N423</f>
        <v/>
      </c>
      <c r="F423" s="20" t="str">
        <f t="shared" si="12"/>
        <v/>
      </c>
      <c r="G423" s="20" t="str">
        <f t="shared" si="13"/>
        <v/>
      </c>
    </row>
    <row r="424" spans="2:7" x14ac:dyDescent="0.2">
      <c r="B424" s="19" t="str">
        <f>IF('DDF Original'!B424="","",'DDF Original'!B424)</f>
        <v/>
      </c>
      <c r="C424" s="20" t="str">
        <f>IF('DDF Original'!C424="","",'DDF Original'!C424)</f>
        <v/>
      </c>
      <c r="D424" s="20" t="str">
        <f>IF('DDF Original'!F424="","",'DDF Original'!F424)</f>
        <v/>
      </c>
      <c r="E424" s="38" t="str">
        <f>'Recálculo Confissão (85-B)'!N424</f>
        <v/>
      </c>
      <c r="F424" s="20" t="str">
        <f t="shared" si="12"/>
        <v/>
      </c>
      <c r="G424" s="20" t="str">
        <f t="shared" si="13"/>
        <v/>
      </c>
    </row>
    <row r="425" spans="2:7" x14ac:dyDescent="0.2">
      <c r="B425" s="19" t="str">
        <f>IF('DDF Original'!B425="","",'DDF Original'!B425)</f>
        <v/>
      </c>
      <c r="C425" s="20" t="str">
        <f>IF('DDF Original'!C425="","",'DDF Original'!C425)</f>
        <v/>
      </c>
      <c r="D425" s="20" t="str">
        <f>IF('DDF Original'!F425="","",'DDF Original'!F425)</f>
        <v/>
      </c>
      <c r="E425" s="38" t="str">
        <f>'Recálculo Confissão (85-B)'!N425</f>
        <v/>
      </c>
      <c r="F425" s="20" t="str">
        <f t="shared" si="12"/>
        <v/>
      </c>
      <c r="G425" s="20" t="str">
        <f t="shared" si="13"/>
        <v/>
      </c>
    </row>
    <row r="426" spans="2:7" x14ac:dyDescent="0.2">
      <c r="B426" s="19" t="str">
        <f>IF('DDF Original'!B426="","",'DDF Original'!B426)</f>
        <v/>
      </c>
      <c r="C426" s="20" t="str">
        <f>IF('DDF Original'!C426="","",'DDF Original'!C426)</f>
        <v/>
      </c>
      <c r="D426" s="20" t="str">
        <f>IF('DDF Original'!F426="","",'DDF Original'!F426)</f>
        <v/>
      </c>
      <c r="E426" s="38" t="str">
        <f>'Recálculo Confissão (85-B)'!N426</f>
        <v/>
      </c>
      <c r="F426" s="20" t="str">
        <f t="shared" si="12"/>
        <v/>
      </c>
      <c r="G426" s="20" t="str">
        <f t="shared" si="13"/>
        <v/>
      </c>
    </row>
    <row r="427" spans="2:7" x14ac:dyDescent="0.2">
      <c r="B427" s="19" t="str">
        <f>IF('DDF Original'!B427="","",'DDF Original'!B427)</f>
        <v/>
      </c>
      <c r="C427" s="20" t="str">
        <f>IF('DDF Original'!C427="","",'DDF Original'!C427)</f>
        <v/>
      </c>
      <c r="D427" s="20" t="str">
        <f>IF('DDF Original'!F427="","",'DDF Original'!F427)</f>
        <v/>
      </c>
      <c r="E427" s="38" t="str">
        <f>'Recálculo Confissão (85-B)'!N427</f>
        <v/>
      </c>
      <c r="F427" s="20" t="str">
        <f t="shared" si="12"/>
        <v/>
      </c>
      <c r="G427" s="20" t="str">
        <f t="shared" si="13"/>
        <v/>
      </c>
    </row>
    <row r="428" spans="2:7" x14ac:dyDescent="0.2">
      <c r="B428" s="19" t="str">
        <f>IF('DDF Original'!B428="","",'DDF Original'!B428)</f>
        <v/>
      </c>
      <c r="C428" s="20" t="str">
        <f>IF('DDF Original'!C428="","",'DDF Original'!C428)</f>
        <v/>
      </c>
      <c r="D428" s="20" t="str">
        <f>IF('DDF Original'!F428="","",'DDF Original'!F428)</f>
        <v/>
      </c>
      <c r="E428" s="38" t="str">
        <f>'Recálculo Confissão (85-B)'!N428</f>
        <v/>
      </c>
      <c r="F428" s="20" t="str">
        <f t="shared" si="12"/>
        <v/>
      </c>
      <c r="G428" s="20" t="str">
        <f t="shared" si="13"/>
        <v/>
      </c>
    </row>
    <row r="429" spans="2:7" x14ac:dyDescent="0.2">
      <c r="B429" s="19" t="str">
        <f>IF('DDF Original'!B429="","",'DDF Original'!B429)</f>
        <v/>
      </c>
      <c r="C429" s="20" t="str">
        <f>IF('DDF Original'!C429="","",'DDF Original'!C429)</f>
        <v/>
      </c>
      <c r="D429" s="20" t="str">
        <f>IF('DDF Original'!F429="","",'DDF Original'!F429)</f>
        <v/>
      </c>
      <c r="E429" s="38" t="str">
        <f>'Recálculo Confissão (85-B)'!N429</f>
        <v/>
      </c>
      <c r="F429" s="20" t="str">
        <f t="shared" si="12"/>
        <v/>
      </c>
      <c r="G429" s="20" t="str">
        <f t="shared" si="13"/>
        <v/>
      </c>
    </row>
    <row r="430" spans="2:7" x14ac:dyDescent="0.2">
      <c r="B430" s="19" t="str">
        <f>IF('DDF Original'!B430="","",'DDF Original'!B430)</f>
        <v/>
      </c>
      <c r="C430" s="20" t="str">
        <f>IF('DDF Original'!C430="","",'DDF Original'!C430)</f>
        <v/>
      </c>
      <c r="D430" s="20" t="str">
        <f>IF('DDF Original'!F430="","",'DDF Original'!F430)</f>
        <v/>
      </c>
      <c r="E430" s="38" t="str">
        <f>'Recálculo Confissão (85-B)'!N430</f>
        <v/>
      </c>
      <c r="F430" s="20" t="str">
        <f t="shared" si="12"/>
        <v/>
      </c>
      <c r="G430" s="20" t="str">
        <f t="shared" si="13"/>
        <v/>
      </c>
    </row>
    <row r="431" spans="2:7" x14ac:dyDescent="0.2">
      <c r="B431" s="19" t="str">
        <f>IF('DDF Original'!B431="","",'DDF Original'!B431)</f>
        <v/>
      </c>
      <c r="C431" s="20" t="str">
        <f>IF('DDF Original'!C431="","",'DDF Original'!C431)</f>
        <v/>
      </c>
      <c r="D431" s="20" t="str">
        <f>IF('DDF Original'!F431="","",'DDF Original'!F431)</f>
        <v/>
      </c>
      <c r="E431" s="38" t="str">
        <f>'Recálculo Confissão (85-B)'!N431</f>
        <v/>
      </c>
      <c r="F431" s="20" t="str">
        <f t="shared" si="12"/>
        <v/>
      </c>
      <c r="G431" s="20" t="str">
        <f t="shared" si="13"/>
        <v/>
      </c>
    </row>
    <row r="432" spans="2:7" x14ac:dyDescent="0.2">
      <c r="B432" s="19" t="str">
        <f>IF('DDF Original'!B432="","",'DDF Original'!B432)</f>
        <v/>
      </c>
      <c r="C432" s="20" t="str">
        <f>IF('DDF Original'!C432="","",'DDF Original'!C432)</f>
        <v/>
      </c>
      <c r="D432" s="20" t="str">
        <f>IF('DDF Original'!F432="","",'DDF Original'!F432)</f>
        <v/>
      </c>
      <c r="E432" s="38" t="str">
        <f>'Recálculo Confissão (85-B)'!N432</f>
        <v/>
      </c>
      <c r="F432" s="20" t="str">
        <f t="shared" si="12"/>
        <v/>
      </c>
      <c r="G432" s="20" t="str">
        <f t="shared" si="13"/>
        <v/>
      </c>
    </row>
    <row r="433" spans="2:7" x14ac:dyDescent="0.2">
      <c r="B433" s="19" t="str">
        <f>IF('DDF Original'!B433="","",'DDF Original'!B433)</f>
        <v/>
      </c>
      <c r="C433" s="20" t="str">
        <f>IF('DDF Original'!C433="","",'DDF Original'!C433)</f>
        <v/>
      </c>
      <c r="D433" s="20" t="str">
        <f>IF('DDF Original'!F433="","",'DDF Original'!F433)</f>
        <v/>
      </c>
      <c r="E433" s="38" t="str">
        <f>'Recálculo Confissão (85-B)'!N433</f>
        <v/>
      </c>
      <c r="F433" s="20" t="str">
        <f t="shared" si="12"/>
        <v/>
      </c>
      <c r="G433" s="20" t="str">
        <f t="shared" si="13"/>
        <v/>
      </c>
    </row>
    <row r="434" spans="2:7" x14ac:dyDescent="0.2">
      <c r="B434" s="19" t="str">
        <f>IF('DDF Original'!B434="","",'DDF Original'!B434)</f>
        <v/>
      </c>
      <c r="C434" s="20" t="str">
        <f>IF('DDF Original'!C434="","",'DDF Original'!C434)</f>
        <v/>
      </c>
      <c r="D434" s="20" t="str">
        <f>IF('DDF Original'!F434="","",'DDF Original'!F434)</f>
        <v/>
      </c>
      <c r="E434" s="38" t="str">
        <f>'Recálculo Confissão (85-B)'!N434</f>
        <v/>
      </c>
      <c r="F434" s="20" t="str">
        <f t="shared" si="12"/>
        <v/>
      </c>
      <c r="G434" s="20" t="str">
        <f t="shared" si="13"/>
        <v/>
      </c>
    </row>
    <row r="435" spans="2:7" x14ac:dyDescent="0.2">
      <c r="B435" s="19" t="str">
        <f>IF('DDF Original'!B435="","",'DDF Original'!B435)</f>
        <v/>
      </c>
      <c r="C435" s="20" t="str">
        <f>IF('DDF Original'!C435="","",'DDF Original'!C435)</f>
        <v/>
      </c>
      <c r="D435" s="20" t="str">
        <f>IF('DDF Original'!F435="","",'DDF Original'!F435)</f>
        <v/>
      </c>
      <c r="E435" s="38" t="str">
        <f>'Recálculo Confissão (85-B)'!N435</f>
        <v/>
      </c>
      <c r="F435" s="20" t="str">
        <f t="shared" si="12"/>
        <v/>
      </c>
      <c r="G435" s="20" t="str">
        <f t="shared" si="13"/>
        <v/>
      </c>
    </row>
    <row r="436" spans="2:7" x14ac:dyDescent="0.2">
      <c r="B436" s="19" t="str">
        <f>IF('DDF Original'!B436="","",'DDF Original'!B436)</f>
        <v/>
      </c>
      <c r="C436" s="20" t="str">
        <f>IF('DDF Original'!C436="","",'DDF Original'!C436)</f>
        <v/>
      </c>
      <c r="D436" s="20" t="str">
        <f>IF('DDF Original'!F436="","",'DDF Original'!F436)</f>
        <v/>
      </c>
      <c r="E436" s="38" t="str">
        <f>'Recálculo Confissão (85-B)'!N436</f>
        <v/>
      </c>
      <c r="F436" s="20" t="str">
        <f t="shared" si="12"/>
        <v/>
      </c>
      <c r="G436" s="20" t="str">
        <f t="shared" si="13"/>
        <v/>
      </c>
    </row>
    <row r="437" spans="2:7" x14ac:dyDescent="0.2">
      <c r="B437" s="19" t="str">
        <f>IF('DDF Original'!B437="","",'DDF Original'!B437)</f>
        <v/>
      </c>
      <c r="C437" s="20" t="str">
        <f>IF('DDF Original'!C437="","",'DDF Original'!C437)</f>
        <v/>
      </c>
      <c r="D437" s="20" t="str">
        <f>IF('DDF Original'!F437="","",'DDF Original'!F437)</f>
        <v/>
      </c>
      <c r="E437" s="38" t="str">
        <f>'Recálculo Confissão (85-B)'!N437</f>
        <v/>
      </c>
      <c r="F437" s="20" t="str">
        <f t="shared" si="12"/>
        <v/>
      </c>
      <c r="G437" s="20" t="str">
        <f t="shared" si="13"/>
        <v/>
      </c>
    </row>
    <row r="438" spans="2:7" x14ac:dyDescent="0.2">
      <c r="B438" s="19" t="str">
        <f>IF('DDF Original'!B438="","",'DDF Original'!B438)</f>
        <v/>
      </c>
      <c r="C438" s="20" t="str">
        <f>IF('DDF Original'!C438="","",'DDF Original'!C438)</f>
        <v/>
      </c>
      <c r="D438" s="20" t="str">
        <f>IF('DDF Original'!F438="","",'DDF Original'!F438)</f>
        <v/>
      </c>
      <c r="E438" s="38" t="str">
        <f>'Recálculo Confissão (85-B)'!N438</f>
        <v/>
      </c>
      <c r="F438" s="20" t="str">
        <f t="shared" si="12"/>
        <v/>
      </c>
      <c r="G438" s="20" t="str">
        <f t="shared" si="13"/>
        <v/>
      </c>
    </row>
    <row r="439" spans="2:7" x14ac:dyDescent="0.2">
      <c r="B439" s="19" t="str">
        <f>IF('DDF Original'!B439="","",'DDF Original'!B439)</f>
        <v/>
      </c>
      <c r="C439" s="20" t="str">
        <f>IF('DDF Original'!C439="","",'DDF Original'!C439)</f>
        <v/>
      </c>
      <c r="D439" s="20" t="str">
        <f>IF('DDF Original'!F439="","",'DDF Original'!F439)</f>
        <v/>
      </c>
      <c r="E439" s="38" t="str">
        <f>'Recálculo Confissão (85-B)'!N439</f>
        <v/>
      </c>
      <c r="F439" s="20" t="str">
        <f t="shared" si="12"/>
        <v/>
      </c>
      <c r="G439" s="20" t="str">
        <f t="shared" si="13"/>
        <v/>
      </c>
    </row>
    <row r="440" spans="2:7" x14ac:dyDescent="0.2">
      <c r="B440" s="19" t="str">
        <f>IF('DDF Original'!B440="","",'DDF Original'!B440)</f>
        <v/>
      </c>
      <c r="C440" s="20" t="str">
        <f>IF('DDF Original'!C440="","",'DDF Original'!C440)</f>
        <v/>
      </c>
      <c r="D440" s="20" t="str">
        <f>IF('DDF Original'!F440="","",'DDF Original'!F440)</f>
        <v/>
      </c>
      <c r="E440" s="38" t="str">
        <f>'Recálculo Confissão (85-B)'!N440</f>
        <v/>
      </c>
      <c r="F440" s="20" t="str">
        <f t="shared" si="12"/>
        <v/>
      </c>
      <c r="G440" s="20" t="str">
        <f t="shared" si="13"/>
        <v/>
      </c>
    </row>
    <row r="441" spans="2:7" x14ac:dyDescent="0.2">
      <c r="B441" s="19" t="str">
        <f>IF('DDF Original'!B441="","",'DDF Original'!B441)</f>
        <v/>
      </c>
      <c r="C441" s="20" t="str">
        <f>IF('DDF Original'!C441="","",'DDF Original'!C441)</f>
        <v/>
      </c>
      <c r="D441" s="20" t="str">
        <f>IF('DDF Original'!F441="","",'DDF Original'!F441)</f>
        <v/>
      </c>
      <c r="E441" s="38" t="str">
        <f>'Recálculo Confissão (85-B)'!N441</f>
        <v/>
      </c>
      <c r="F441" s="20" t="str">
        <f t="shared" si="12"/>
        <v/>
      </c>
      <c r="G441" s="20" t="str">
        <f t="shared" si="13"/>
        <v/>
      </c>
    </row>
    <row r="442" spans="2:7" x14ac:dyDescent="0.2">
      <c r="B442" s="19" t="str">
        <f>IF('DDF Original'!B442="","",'DDF Original'!B442)</f>
        <v/>
      </c>
      <c r="C442" s="20" t="str">
        <f>IF('DDF Original'!C442="","",'DDF Original'!C442)</f>
        <v/>
      </c>
      <c r="D442" s="20" t="str">
        <f>IF('DDF Original'!F442="","",'DDF Original'!F442)</f>
        <v/>
      </c>
      <c r="E442" s="38" t="str">
        <f>'Recálculo Confissão (85-B)'!N442</f>
        <v/>
      </c>
      <c r="F442" s="20" t="str">
        <f t="shared" si="12"/>
        <v/>
      </c>
      <c r="G442" s="20" t="str">
        <f t="shared" si="13"/>
        <v/>
      </c>
    </row>
    <row r="443" spans="2:7" x14ac:dyDescent="0.2">
      <c r="B443" s="19" t="str">
        <f>IF('DDF Original'!B443="","",'DDF Original'!B443)</f>
        <v/>
      </c>
      <c r="C443" s="20" t="str">
        <f>IF('DDF Original'!C443="","",'DDF Original'!C443)</f>
        <v/>
      </c>
      <c r="D443" s="20" t="str">
        <f>IF('DDF Original'!F443="","",'DDF Original'!F443)</f>
        <v/>
      </c>
      <c r="E443" s="38" t="str">
        <f>'Recálculo Confissão (85-B)'!N443</f>
        <v/>
      </c>
      <c r="F443" s="20" t="str">
        <f t="shared" si="12"/>
        <v/>
      </c>
      <c r="G443" s="20" t="str">
        <f t="shared" si="13"/>
        <v/>
      </c>
    </row>
    <row r="444" spans="2:7" x14ac:dyDescent="0.2">
      <c r="B444" s="19" t="str">
        <f>IF('DDF Original'!B444="","",'DDF Original'!B444)</f>
        <v/>
      </c>
      <c r="C444" s="20" t="str">
        <f>IF('DDF Original'!C444="","",'DDF Original'!C444)</f>
        <v/>
      </c>
      <c r="D444" s="20" t="str">
        <f>IF('DDF Original'!F444="","",'DDF Original'!F444)</f>
        <v/>
      </c>
      <c r="E444" s="38" t="str">
        <f>'Recálculo Confissão (85-B)'!N444</f>
        <v/>
      </c>
      <c r="F444" s="20" t="str">
        <f t="shared" si="12"/>
        <v/>
      </c>
      <c r="G444" s="20" t="str">
        <f t="shared" si="13"/>
        <v/>
      </c>
    </row>
    <row r="445" spans="2:7" x14ac:dyDescent="0.2">
      <c r="B445" s="19" t="str">
        <f>IF('DDF Original'!B445="","",'DDF Original'!B445)</f>
        <v/>
      </c>
      <c r="C445" s="20" t="str">
        <f>IF('DDF Original'!C445="","",'DDF Original'!C445)</f>
        <v/>
      </c>
      <c r="D445" s="20" t="str">
        <f>IF('DDF Original'!F445="","",'DDF Original'!F445)</f>
        <v/>
      </c>
      <c r="E445" s="38" t="str">
        <f>'Recálculo Confissão (85-B)'!N445</f>
        <v/>
      </c>
      <c r="F445" s="20" t="str">
        <f t="shared" si="12"/>
        <v/>
      </c>
      <c r="G445" s="20" t="str">
        <f t="shared" si="13"/>
        <v/>
      </c>
    </row>
    <row r="446" spans="2:7" x14ac:dyDescent="0.2">
      <c r="B446" s="19" t="str">
        <f>IF('DDF Original'!B446="","",'DDF Original'!B446)</f>
        <v/>
      </c>
      <c r="C446" s="20" t="str">
        <f>IF('DDF Original'!C446="","",'DDF Original'!C446)</f>
        <v/>
      </c>
      <c r="D446" s="20" t="str">
        <f>IF('DDF Original'!F446="","",'DDF Original'!F446)</f>
        <v/>
      </c>
      <c r="E446" s="38" t="str">
        <f>'Recálculo Confissão (85-B)'!N446</f>
        <v/>
      </c>
      <c r="F446" s="20" t="str">
        <f t="shared" si="12"/>
        <v/>
      </c>
      <c r="G446" s="20" t="str">
        <f t="shared" si="13"/>
        <v/>
      </c>
    </row>
    <row r="447" spans="2:7" x14ac:dyDescent="0.2">
      <c r="B447" s="19" t="str">
        <f>IF('DDF Original'!B447="","",'DDF Original'!B447)</f>
        <v/>
      </c>
      <c r="C447" s="20" t="str">
        <f>IF('DDF Original'!C447="","",'DDF Original'!C447)</f>
        <v/>
      </c>
      <c r="D447" s="20" t="str">
        <f>IF('DDF Original'!F447="","",'DDF Original'!F447)</f>
        <v/>
      </c>
      <c r="E447" s="38" t="str">
        <f>'Recálculo Confissão (85-B)'!N447</f>
        <v/>
      </c>
      <c r="F447" s="20" t="str">
        <f t="shared" si="12"/>
        <v/>
      </c>
      <c r="G447" s="20" t="str">
        <f t="shared" si="13"/>
        <v/>
      </c>
    </row>
    <row r="448" spans="2:7" x14ac:dyDescent="0.2">
      <c r="B448" s="19" t="str">
        <f>IF('DDF Original'!B448="","",'DDF Original'!B448)</f>
        <v/>
      </c>
      <c r="C448" s="20" t="str">
        <f>IF('DDF Original'!C448="","",'DDF Original'!C448)</f>
        <v/>
      </c>
      <c r="D448" s="20" t="str">
        <f>IF('DDF Original'!F448="","",'DDF Original'!F448)</f>
        <v/>
      </c>
      <c r="E448" s="38" t="str">
        <f>'Recálculo Confissão (85-B)'!N448</f>
        <v/>
      </c>
      <c r="F448" s="20" t="str">
        <f t="shared" si="12"/>
        <v/>
      </c>
      <c r="G448" s="20" t="str">
        <f t="shared" si="13"/>
        <v/>
      </c>
    </row>
    <row r="449" spans="2:7" x14ac:dyDescent="0.2">
      <c r="B449" s="19" t="str">
        <f>IF('DDF Original'!B449="","",'DDF Original'!B449)</f>
        <v/>
      </c>
      <c r="C449" s="20" t="str">
        <f>IF('DDF Original'!C449="","",'DDF Original'!C449)</f>
        <v/>
      </c>
      <c r="D449" s="20" t="str">
        <f>IF('DDF Original'!F449="","",'DDF Original'!F449)</f>
        <v/>
      </c>
      <c r="E449" s="38" t="str">
        <f>'Recálculo Confissão (85-B)'!N449</f>
        <v/>
      </c>
      <c r="F449" s="20" t="str">
        <f t="shared" si="12"/>
        <v/>
      </c>
      <c r="G449" s="20" t="str">
        <f t="shared" si="13"/>
        <v/>
      </c>
    </row>
    <row r="450" spans="2:7" x14ac:dyDescent="0.2">
      <c r="B450" s="19" t="str">
        <f>IF('DDF Original'!B450="","",'DDF Original'!B450)</f>
        <v/>
      </c>
      <c r="C450" s="20" t="str">
        <f>IF('DDF Original'!C450="","",'DDF Original'!C450)</f>
        <v/>
      </c>
      <c r="D450" s="20" t="str">
        <f>IF('DDF Original'!F450="","",'DDF Original'!F450)</f>
        <v/>
      </c>
      <c r="E450" s="38" t="str">
        <f>'Recálculo Confissão (85-B)'!N450</f>
        <v/>
      </c>
      <c r="F450" s="20" t="str">
        <f t="shared" si="12"/>
        <v/>
      </c>
      <c r="G450" s="20" t="str">
        <f t="shared" si="13"/>
        <v/>
      </c>
    </row>
    <row r="451" spans="2:7" x14ac:dyDescent="0.2">
      <c r="B451" s="19" t="str">
        <f>IF('DDF Original'!B451="","",'DDF Original'!B451)</f>
        <v/>
      </c>
      <c r="C451" s="20" t="str">
        <f>IF('DDF Original'!C451="","",'DDF Original'!C451)</f>
        <v/>
      </c>
      <c r="D451" s="20" t="str">
        <f>IF('DDF Original'!F451="","",'DDF Original'!F451)</f>
        <v/>
      </c>
      <c r="E451" s="38" t="str">
        <f>'Recálculo Confissão (85-B)'!N451</f>
        <v/>
      </c>
      <c r="F451" s="20" t="str">
        <f t="shared" si="12"/>
        <v/>
      </c>
      <c r="G451" s="20" t="str">
        <f t="shared" si="13"/>
        <v/>
      </c>
    </row>
    <row r="452" spans="2:7" x14ac:dyDescent="0.2">
      <c r="B452" s="19" t="str">
        <f>IF('DDF Original'!B452="","",'DDF Original'!B452)</f>
        <v/>
      </c>
      <c r="C452" s="20" t="str">
        <f>IF('DDF Original'!C452="","",'DDF Original'!C452)</f>
        <v/>
      </c>
      <c r="D452" s="20" t="str">
        <f>IF('DDF Original'!F452="","",'DDF Original'!F452)</f>
        <v/>
      </c>
      <c r="E452" s="38" t="str">
        <f>'Recálculo Confissão (85-B)'!N452</f>
        <v/>
      </c>
      <c r="F452" s="20" t="str">
        <f t="shared" si="12"/>
        <v/>
      </c>
      <c r="G452" s="20" t="str">
        <f t="shared" si="13"/>
        <v/>
      </c>
    </row>
    <row r="453" spans="2:7" x14ac:dyDescent="0.2">
      <c r="B453" s="19" t="str">
        <f>IF('DDF Original'!B453="","",'DDF Original'!B453)</f>
        <v/>
      </c>
      <c r="C453" s="20" t="str">
        <f>IF('DDF Original'!C453="","",'DDF Original'!C453)</f>
        <v/>
      </c>
      <c r="D453" s="20" t="str">
        <f>IF('DDF Original'!F453="","",'DDF Original'!F453)</f>
        <v/>
      </c>
      <c r="E453" s="38" t="str">
        <f>'Recálculo Confissão (85-B)'!N453</f>
        <v/>
      </c>
      <c r="F453" s="20" t="str">
        <f t="shared" si="12"/>
        <v/>
      </c>
      <c r="G453" s="20" t="str">
        <f t="shared" si="13"/>
        <v/>
      </c>
    </row>
    <row r="454" spans="2:7" x14ac:dyDescent="0.2">
      <c r="B454" s="19" t="str">
        <f>IF('DDF Original'!B454="","",'DDF Original'!B454)</f>
        <v/>
      </c>
      <c r="C454" s="20" t="str">
        <f>IF('DDF Original'!C454="","",'DDF Original'!C454)</f>
        <v/>
      </c>
      <c r="D454" s="20" t="str">
        <f>IF('DDF Original'!F454="","",'DDF Original'!F454)</f>
        <v/>
      </c>
      <c r="E454" s="38" t="str">
        <f>'Recálculo Confissão (85-B)'!N454</f>
        <v/>
      </c>
      <c r="F454" s="20" t="str">
        <f t="shared" si="12"/>
        <v/>
      </c>
      <c r="G454" s="20" t="str">
        <f t="shared" si="13"/>
        <v/>
      </c>
    </row>
    <row r="455" spans="2:7" x14ac:dyDescent="0.2">
      <c r="B455" s="19" t="str">
        <f>IF('DDF Original'!B455="","",'DDF Original'!B455)</f>
        <v/>
      </c>
      <c r="C455" s="20" t="str">
        <f>IF('DDF Original'!C455="","",'DDF Original'!C455)</f>
        <v/>
      </c>
      <c r="D455" s="20" t="str">
        <f>IF('DDF Original'!F455="","",'DDF Original'!F455)</f>
        <v/>
      </c>
      <c r="E455" s="38" t="str">
        <f>'Recálculo Confissão (85-B)'!N455</f>
        <v/>
      </c>
      <c r="F455" s="20" t="str">
        <f t="shared" si="12"/>
        <v/>
      </c>
      <c r="G455" s="20" t="str">
        <f t="shared" si="13"/>
        <v/>
      </c>
    </row>
    <row r="456" spans="2:7" x14ac:dyDescent="0.2">
      <c r="B456" s="19" t="str">
        <f>IF('DDF Original'!B456="","",'DDF Original'!B456)</f>
        <v/>
      </c>
      <c r="C456" s="20" t="str">
        <f>IF('DDF Original'!C456="","",'DDF Original'!C456)</f>
        <v/>
      </c>
      <c r="D456" s="20" t="str">
        <f>IF('DDF Original'!F456="","",'DDF Original'!F456)</f>
        <v/>
      </c>
      <c r="E456" s="38" t="str">
        <f>'Recálculo Confissão (85-B)'!N456</f>
        <v/>
      </c>
      <c r="F456" s="20" t="str">
        <f t="shared" si="12"/>
        <v/>
      </c>
      <c r="G456" s="20" t="str">
        <f t="shared" si="13"/>
        <v/>
      </c>
    </row>
    <row r="457" spans="2:7" x14ac:dyDescent="0.2">
      <c r="B457" s="19" t="str">
        <f>IF('DDF Original'!B457="","",'DDF Original'!B457)</f>
        <v/>
      </c>
      <c r="C457" s="20" t="str">
        <f>IF('DDF Original'!C457="","",'DDF Original'!C457)</f>
        <v/>
      </c>
      <c r="D457" s="20" t="str">
        <f>IF('DDF Original'!F457="","",'DDF Original'!F457)</f>
        <v/>
      </c>
      <c r="E457" s="38" t="str">
        <f>'Recálculo Confissão (85-B)'!N457</f>
        <v/>
      </c>
      <c r="F457" s="20" t="str">
        <f t="shared" si="12"/>
        <v/>
      </c>
      <c r="G457" s="20" t="str">
        <f t="shared" si="13"/>
        <v/>
      </c>
    </row>
    <row r="458" spans="2:7" x14ac:dyDescent="0.2">
      <c r="B458" s="19" t="str">
        <f>IF('DDF Original'!B458="","",'DDF Original'!B458)</f>
        <v/>
      </c>
      <c r="C458" s="20" t="str">
        <f>IF('DDF Original'!C458="","",'DDF Original'!C458)</f>
        <v/>
      </c>
      <c r="D458" s="20" t="str">
        <f>IF('DDF Original'!F458="","",'DDF Original'!F458)</f>
        <v/>
      </c>
      <c r="E458" s="38" t="str">
        <f>'Recálculo Confissão (85-B)'!N458</f>
        <v/>
      </c>
      <c r="F458" s="20" t="str">
        <f t="shared" ref="F458:F508" si="14">IF(E458="","",ROUND(E458*(1-70%),2))</f>
        <v/>
      </c>
      <c r="G458" s="20" t="str">
        <f t="shared" ref="G458:G508" si="15">IF(E458="","",ROUND(E458*(1-60%),2))</f>
        <v/>
      </c>
    </row>
    <row r="459" spans="2:7" x14ac:dyDescent="0.2">
      <c r="B459" s="19" t="str">
        <f>IF('DDF Original'!B459="","",'DDF Original'!B459)</f>
        <v/>
      </c>
      <c r="C459" s="20" t="str">
        <f>IF('DDF Original'!C459="","",'DDF Original'!C459)</f>
        <v/>
      </c>
      <c r="D459" s="20" t="str">
        <f>IF('DDF Original'!F459="","",'DDF Original'!F459)</f>
        <v/>
      </c>
      <c r="E459" s="38" t="str">
        <f>'Recálculo Confissão (85-B)'!N459</f>
        <v/>
      </c>
      <c r="F459" s="20" t="str">
        <f t="shared" si="14"/>
        <v/>
      </c>
      <c r="G459" s="20" t="str">
        <f t="shared" si="15"/>
        <v/>
      </c>
    </row>
    <row r="460" spans="2:7" x14ac:dyDescent="0.2">
      <c r="B460" s="19" t="str">
        <f>IF('DDF Original'!B460="","",'DDF Original'!B460)</f>
        <v/>
      </c>
      <c r="C460" s="20" t="str">
        <f>IF('DDF Original'!C460="","",'DDF Original'!C460)</f>
        <v/>
      </c>
      <c r="D460" s="20" t="str">
        <f>IF('DDF Original'!F460="","",'DDF Original'!F460)</f>
        <v/>
      </c>
      <c r="E460" s="38" t="str">
        <f>'Recálculo Confissão (85-B)'!N460</f>
        <v/>
      </c>
      <c r="F460" s="20" t="str">
        <f t="shared" si="14"/>
        <v/>
      </c>
      <c r="G460" s="20" t="str">
        <f t="shared" si="15"/>
        <v/>
      </c>
    </row>
    <row r="461" spans="2:7" x14ac:dyDescent="0.2">
      <c r="B461" s="19" t="str">
        <f>IF('DDF Original'!B461="","",'DDF Original'!B461)</f>
        <v/>
      </c>
      <c r="C461" s="20" t="str">
        <f>IF('DDF Original'!C461="","",'DDF Original'!C461)</f>
        <v/>
      </c>
      <c r="D461" s="20" t="str">
        <f>IF('DDF Original'!F461="","",'DDF Original'!F461)</f>
        <v/>
      </c>
      <c r="E461" s="38" t="str">
        <f>'Recálculo Confissão (85-B)'!N461</f>
        <v/>
      </c>
      <c r="F461" s="20" t="str">
        <f t="shared" si="14"/>
        <v/>
      </c>
      <c r="G461" s="20" t="str">
        <f t="shared" si="15"/>
        <v/>
      </c>
    </row>
    <row r="462" spans="2:7" x14ac:dyDescent="0.2">
      <c r="B462" s="19" t="str">
        <f>IF('DDF Original'!B462="","",'DDF Original'!B462)</f>
        <v/>
      </c>
      <c r="C462" s="20" t="str">
        <f>IF('DDF Original'!C462="","",'DDF Original'!C462)</f>
        <v/>
      </c>
      <c r="D462" s="20" t="str">
        <f>IF('DDF Original'!F462="","",'DDF Original'!F462)</f>
        <v/>
      </c>
      <c r="E462" s="38" t="str">
        <f>'Recálculo Confissão (85-B)'!N462</f>
        <v/>
      </c>
      <c r="F462" s="20" t="str">
        <f t="shared" si="14"/>
        <v/>
      </c>
      <c r="G462" s="20" t="str">
        <f t="shared" si="15"/>
        <v/>
      </c>
    </row>
    <row r="463" spans="2:7" x14ac:dyDescent="0.2">
      <c r="B463" s="19" t="str">
        <f>IF('DDF Original'!B463="","",'DDF Original'!B463)</f>
        <v/>
      </c>
      <c r="C463" s="20" t="str">
        <f>IF('DDF Original'!C463="","",'DDF Original'!C463)</f>
        <v/>
      </c>
      <c r="D463" s="20" t="str">
        <f>IF('DDF Original'!F463="","",'DDF Original'!F463)</f>
        <v/>
      </c>
      <c r="E463" s="38" t="str">
        <f>'Recálculo Confissão (85-B)'!N463</f>
        <v/>
      </c>
      <c r="F463" s="20" t="str">
        <f t="shared" si="14"/>
        <v/>
      </c>
      <c r="G463" s="20" t="str">
        <f t="shared" si="15"/>
        <v/>
      </c>
    </row>
    <row r="464" spans="2:7" x14ac:dyDescent="0.2">
      <c r="B464" s="19" t="str">
        <f>IF('DDF Original'!B464="","",'DDF Original'!B464)</f>
        <v/>
      </c>
      <c r="C464" s="20" t="str">
        <f>IF('DDF Original'!C464="","",'DDF Original'!C464)</f>
        <v/>
      </c>
      <c r="D464" s="20" t="str">
        <f>IF('DDF Original'!F464="","",'DDF Original'!F464)</f>
        <v/>
      </c>
      <c r="E464" s="38" t="str">
        <f>'Recálculo Confissão (85-B)'!N464</f>
        <v/>
      </c>
      <c r="F464" s="20" t="str">
        <f t="shared" si="14"/>
        <v/>
      </c>
      <c r="G464" s="20" t="str">
        <f t="shared" si="15"/>
        <v/>
      </c>
    </row>
    <row r="465" spans="2:7" x14ac:dyDescent="0.2">
      <c r="B465" s="19" t="str">
        <f>IF('DDF Original'!B465="","",'DDF Original'!B465)</f>
        <v/>
      </c>
      <c r="C465" s="20" t="str">
        <f>IF('DDF Original'!C465="","",'DDF Original'!C465)</f>
        <v/>
      </c>
      <c r="D465" s="20" t="str">
        <f>IF('DDF Original'!F465="","",'DDF Original'!F465)</f>
        <v/>
      </c>
      <c r="E465" s="38" t="str">
        <f>'Recálculo Confissão (85-B)'!N465</f>
        <v/>
      </c>
      <c r="F465" s="20" t="str">
        <f t="shared" si="14"/>
        <v/>
      </c>
      <c r="G465" s="20" t="str">
        <f t="shared" si="15"/>
        <v/>
      </c>
    </row>
    <row r="466" spans="2:7" x14ac:dyDescent="0.2">
      <c r="B466" s="19" t="str">
        <f>IF('DDF Original'!B466="","",'DDF Original'!B466)</f>
        <v/>
      </c>
      <c r="C466" s="20" t="str">
        <f>IF('DDF Original'!C466="","",'DDF Original'!C466)</f>
        <v/>
      </c>
      <c r="D466" s="20" t="str">
        <f>IF('DDF Original'!F466="","",'DDF Original'!F466)</f>
        <v/>
      </c>
      <c r="E466" s="38" t="str">
        <f>'Recálculo Confissão (85-B)'!N466</f>
        <v/>
      </c>
      <c r="F466" s="20" t="str">
        <f t="shared" si="14"/>
        <v/>
      </c>
      <c r="G466" s="20" t="str">
        <f t="shared" si="15"/>
        <v/>
      </c>
    </row>
    <row r="467" spans="2:7" x14ac:dyDescent="0.2">
      <c r="B467" s="19" t="str">
        <f>IF('DDF Original'!B467="","",'DDF Original'!B467)</f>
        <v/>
      </c>
      <c r="C467" s="20" t="str">
        <f>IF('DDF Original'!C467="","",'DDF Original'!C467)</f>
        <v/>
      </c>
      <c r="D467" s="20" t="str">
        <f>IF('DDF Original'!F467="","",'DDF Original'!F467)</f>
        <v/>
      </c>
      <c r="E467" s="38" t="str">
        <f>'Recálculo Confissão (85-B)'!N467</f>
        <v/>
      </c>
      <c r="F467" s="20" t="str">
        <f t="shared" si="14"/>
        <v/>
      </c>
      <c r="G467" s="20" t="str">
        <f t="shared" si="15"/>
        <v/>
      </c>
    </row>
    <row r="468" spans="2:7" x14ac:dyDescent="0.2">
      <c r="B468" s="19" t="str">
        <f>IF('DDF Original'!B468="","",'DDF Original'!B468)</f>
        <v/>
      </c>
      <c r="C468" s="20" t="str">
        <f>IF('DDF Original'!C468="","",'DDF Original'!C468)</f>
        <v/>
      </c>
      <c r="D468" s="20" t="str">
        <f>IF('DDF Original'!F468="","",'DDF Original'!F468)</f>
        <v/>
      </c>
      <c r="E468" s="38" t="str">
        <f>'Recálculo Confissão (85-B)'!N468</f>
        <v/>
      </c>
      <c r="F468" s="20" t="str">
        <f t="shared" si="14"/>
        <v/>
      </c>
      <c r="G468" s="20" t="str">
        <f t="shared" si="15"/>
        <v/>
      </c>
    </row>
    <row r="469" spans="2:7" x14ac:dyDescent="0.2">
      <c r="B469" s="19" t="str">
        <f>IF('DDF Original'!B469="","",'DDF Original'!B469)</f>
        <v/>
      </c>
      <c r="C469" s="20" t="str">
        <f>IF('DDF Original'!C469="","",'DDF Original'!C469)</f>
        <v/>
      </c>
      <c r="D469" s="20" t="str">
        <f>IF('DDF Original'!F469="","",'DDF Original'!F469)</f>
        <v/>
      </c>
      <c r="E469" s="38" t="str">
        <f>'Recálculo Confissão (85-B)'!N469</f>
        <v/>
      </c>
      <c r="F469" s="20" t="str">
        <f t="shared" si="14"/>
        <v/>
      </c>
      <c r="G469" s="20" t="str">
        <f t="shared" si="15"/>
        <v/>
      </c>
    </row>
    <row r="470" spans="2:7" x14ac:dyDescent="0.2">
      <c r="B470" s="19" t="str">
        <f>IF('DDF Original'!B470="","",'DDF Original'!B470)</f>
        <v/>
      </c>
      <c r="C470" s="20" t="str">
        <f>IF('DDF Original'!C470="","",'DDF Original'!C470)</f>
        <v/>
      </c>
      <c r="D470" s="20" t="str">
        <f>IF('DDF Original'!F470="","",'DDF Original'!F470)</f>
        <v/>
      </c>
      <c r="E470" s="38" t="str">
        <f>'Recálculo Confissão (85-B)'!N470</f>
        <v/>
      </c>
      <c r="F470" s="20" t="str">
        <f t="shared" si="14"/>
        <v/>
      </c>
      <c r="G470" s="20" t="str">
        <f t="shared" si="15"/>
        <v/>
      </c>
    </row>
    <row r="471" spans="2:7" x14ac:dyDescent="0.2">
      <c r="B471" s="19" t="str">
        <f>IF('DDF Original'!B471="","",'DDF Original'!B471)</f>
        <v/>
      </c>
      <c r="C471" s="20" t="str">
        <f>IF('DDF Original'!C471="","",'DDF Original'!C471)</f>
        <v/>
      </c>
      <c r="D471" s="20" t="str">
        <f>IF('DDF Original'!F471="","",'DDF Original'!F471)</f>
        <v/>
      </c>
      <c r="E471" s="38" t="str">
        <f>'Recálculo Confissão (85-B)'!N471</f>
        <v/>
      </c>
      <c r="F471" s="20" t="str">
        <f t="shared" si="14"/>
        <v/>
      </c>
      <c r="G471" s="20" t="str">
        <f t="shared" si="15"/>
        <v/>
      </c>
    </row>
    <row r="472" spans="2:7" x14ac:dyDescent="0.2">
      <c r="B472" s="19" t="str">
        <f>IF('DDF Original'!B472="","",'DDF Original'!B472)</f>
        <v/>
      </c>
      <c r="C472" s="20" t="str">
        <f>IF('DDF Original'!C472="","",'DDF Original'!C472)</f>
        <v/>
      </c>
      <c r="D472" s="20" t="str">
        <f>IF('DDF Original'!F472="","",'DDF Original'!F472)</f>
        <v/>
      </c>
      <c r="E472" s="38" t="str">
        <f>'Recálculo Confissão (85-B)'!N472</f>
        <v/>
      </c>
      <c r="F472" s="20" t="str">
        <f t="shared" si="14"/>
        <v/>
      </c>
      <c r="G472" s="20" t="str">
        <f t="shared" si="15"/>
        <v/>
      </c>
    </row>
    <row r="473" spans="2:7" x14ac:dyDescent="0.2">
      <c r="B473" s="19" t="str">
        <f>IF('DDF Original'!B473="","",'DDF Original'!B473)</f>
        <v/>
      </c>
      <c r="C473" s="20" t="str">
        <f>IF('DDF Original'!C473="","",'DDF Original'!C473)</f>
        <v/>
      </c>
      <c r="D473" s="20" t="str">
        <f>IF('DDF Original'!F473="","",'DDF Original'!F473)</f>
        <v/>
      </c>
      <c r="E473" s="38" t="str">
        <f>'Recálculo Confissão (85-B)'!N473</f>
        <v/>
      </c>
      <c r="F473" s="20" t="str">
        <f t="shared" si="14"/>
        <v/>
      </c>
      <c r="G473" s="20" t="str">
        <f t="shared" si="15"/>
        <v/>
      </c>
    </row>
    <row r="474" spans="2:7" x14ac:dyDescent="0.2">
      <c r="B474" s="19" t="str">
        <f>IF('DDF Original'!B474="","",'DDF Original'!B474)</f>
        <v/>
      </c>
      <c r="C474" s="20" t="str">
        <f>IF('DDF Original'!C474="","",'DDF Original'!C474)</f>
        <v/>
      </c>
      <c r="D474" s="20" t="str">
        <f>IF('DDF Original'!F474="","",'DDF Original'!F474)</f>
        <v/>
      </c>
      <c r="E474" s="38" t="str">
        <f>'Recálculo Confissão (85-B)'!N474</f>
        <v/>
      </c>
      <c r="F474" s="20" t="str">
        <f t="shared" si="14"/>
        <v/>
      </c>
      <c r="G474" s="20" t="str">
        <f t="shared" si="15"/>
        <v/>
      </c>
    </row>
    <row r="475" spans="2:7" x14ac:dyDescent="0.2">
      <c r="B475" s="19" t="str">
        <f>IF('DDF Original'!B475="","",'DDF Original'!B475)</f>
        <v/>
      </c>
      <c r="C475" s="20" t="str">
        <f>IF('DDF Original'!C475="","",'DDF Original'!C475)</f>
        <v/>
      </c>
      <c r="D475" s="20" t="str">
        <f>IF('DDF Original'!F475="","",'DDF Original'!F475)</f>
        <v/>
      </c>
      <c r="E475" s="38" t="str">
        <f>'Recálculo Confissão (85-B)'!N475</f>
        <v/>
      </c>
      <c r="F475" s="20" t="str">
        <f t="shared" si="14"/>
        <v/>
      </c>
      <c r="G475" s="20" t="str">
        <f t="shared" si="15"/>
        <v/>
      </c>
    </row>
    <row r="476" spans="2:7" x14ac:dyDescent="0.2">
      <c r="B476" s="19" t="str">
        <f>IF('DDF Original'!B476="","",'DDF Original'!B476)</f>
        <v/>
      </c>
      <c r="C476" s="20" t="str">
        <f>IF('DDF Original'!C476="","",'DDF Original'!C476)</f>
        <v/>
      </c>
      <c r="D476" s="20" t="str">
        <f>IF('DDF Original'!F476="","",'DDF Original'!F476)</f>
        <v/>
      </c>
      <c r="E476" s="38" t="str">
        <f>'Recálculo Confissão (85-B)'!N476</f>
        <v/>
      </c>
      <c r="F476" s="20" t="str">
        <f t="shared" si="14"/>
        <v/>
      </c>
      <c r="G476" s="20" t="str">
        <f t="shared" si="15"/>
        <v/>
      </c>
    </row>
    <row r="477" spans="2:7" x14ac:dyDescent="0.2">
      <c r="B477" s="19" t="str">
        <f>IF('DDF Original'!B477="","",'DDF Original'!B477)</f>
        <v/>
      </c>
      <c r="C477" s="20" t="str">
        <f>IF('DDF Original'!C477="","",'DDF Original'!C477)</f>
        <v/>
      </c>
      <c r="D477" s="20" t="str">
        <f>IF('DDF Original'!F477="","",'DDF Original'!F477)</f>
        <v/>
      </c>
      <c r="E477" s="38" t="str">
        <f>'Recálculo Confissão (85-B)'!N477</f>
        <v/>
      </c>
      <c r="F477" s="20" t="str">
        <f t="shared" si="14"/>
        <v/>
      </c>
      <c r="G477" s="20" t="str">
        <f t="shared" si="15"/>
        <v/>
      </c>
    </row>
    <row r="478" spans="2:7" x14ac:dyDescent="0.2">
      <c r="B478" s="19" t="str">
        <f>IF('DDF Original'!B478="","",'DDF Original'!B478)</f>
        <v/>
      </c>
      <c r="C478" s="20" t="str">
        <f>IF('DDF Original'!C478="","",'DDF Original'!C478)</f>
        <v/>
      </c>
      <c r="D478" s="20" t="str">
        <f>IF('DDF Original'!F478="","",'DDF Original'!F478)</f>
        <v/>
      </c>
      <c r="E478" s="38" t="str">
        <f>'Recálculo Confissão (85-B)'!N478</f>
        <v/>
      </c>
      <c r="F478" s="20" t="str">
        <f t="shared" si="14"/>
        <v/>
      </c>
      <c r="G478" s="20" t="str">
        <f t="shared" si="15"/>
        <v/>
      </c>
    </row>
    <row r="479" spans="2:7" x14ac:dyDescent="0.2">
      <c r="B479" s="19" t="str">
        <f>IF('DDF Original'!B479="","",'DDF Original'!B479)</f>
        <v/>
      </c>
      <c r="C479" s="20" t="str">
        <f>IF('DDF Original'!C479="","",'DDF Original'!C479)</f>
        <v/>
      </c>
      <c r="D479" s="20" t="str">
        <f>IF('DDF Original'!F479="","",'DDF Original'!F479)</f>
        <v/>
      </c>
      <c r="E479" s="38" t="str">
        <f>'Recálculo Confissão (85-B)'!N479</f>
        <v/>
      </c>
      <c r="F479" s="20" t="str">
        <f t="shared" si="14"/>
        <v/>
      </c>
      <c r="G479" s="20" t="str">
        <f t="shared" si="15"/>
        <v/>
      </c>
    </row>
    <row r="480" spans="2:7" x14ac:dyDescent="0.2">
      <c r="B480" s="19" t="str">
        <f>IF('DDF Original'!B480="","",'DDF Original'!B480)</f>
        <v/>
      </c>
      <c r="C480" s="20" t="str">
        <f>IF('DDF Original'!C480="","",'DDF Original'!C480)</f>
        <v/>
      </c>
      <c r="D480" s="20" t="str">
        <f>IF('DDF Original'!F480="","",'DDF Original'!F480)</f>
        <v/>
      </c>
      <c r="E480" s="38" t="str">
        <f>'Recálculo Confissão (85-B)'!N480</f>
        <v/>
      </c>
      <c r="F480" s="20" t="str">
        <f t="shared" si="14"/>
        <v/>
      </c>
      <c r="G480" s="20" t="str">
        <f t="shared" si="15"/>
        <v/>
      </c>
    </row>
    <row r="481" spans="2:7" x14ac:dyDescent="0.2">
      <c r="B481" s="19" t="str">
        <f>IF('DDF Original'!B481="","",'DDF Original'!B481)</f>
        <v/>
      </c>
      <c r="C481" s="20" t="str">
        <f>IF('DDF Original'!C481="","",'DDF Original'!C481)</f>
        <v/>
      </c>
      <c r="D481" s="20" t="str">
        <f>IF('DDF Original'!F481="","",'DDF Original'!F481)</f>
        <v/>
      </c>
      <c r="E481" s="38" t="str">
        <f>'Recálculo Confissão (85-B)'!N481</f>
        <v/>
      </c>
      <c r="F481" s="20" t="str">
        <f t="shared" si="14"/>
        <v/>
      </c>
      <c r="G481" s="20" t="str">
        <f t="shared" si="15"/>
        <v/>
      </c>
    </row>
    <row r="482" spans="2:7" x14ac:dyDescent="0.2">
      <c r="B482" s="19" t="str">
        <f>IF('DDF Original'!B482="","",'DDF Original'!B482)</f>
        <v/>
      </c>
      <c r="C482" s="20" t="str">
        <f>IF('DDF Original'!C482="","",'DDF Original'!C482)</f>
        <v/>
      </c>
      <c r="D482" s="20" t="str">
        <f>IF('DDF Original'!F482="","",'DDF Original'!F482)</f>
        <v/>
      </c>
      <c r="E482" s="38" t="str">
        <f>'Recálculo Confissão (85-B)'!N482</f>
        <v/>
      </c>
      <c r="F482" s="20" t="str">
        <f t="shared" si="14"/>
        <v/>
      </c>
      <c r="G482" s="20" t="str">
        <f t="shared" si="15"/>
        <v/>
      </c>
    </row>
    <row r="483" spans="2:7" x14ac:dyDescent="0.2">
      <c r="B483" s="19" t="str">
        <f>IF('DDF Original'!B483="","",'DDF Original'!B483)</f>
        <v/>
      </c>
      <c r="C483" s="20" t="str">
        <f>IF('DDF Original'!C483="","",'DDF Original'!C483)</f>
        <v/>
      </c>
      <c r="D483" s="20" t="str">
        <f>IF('DDF Original'!F483="","",'DDF Original'!F483)</f>
        <v/>
      </c>
      <c r="E483" s="38" t="str">
        <f>'Recálculo Confissão (85-B)'!N483</f>
        <v/>
      </c>
      <c r="F483" s="20" t="str">
        <f t="shared" si="14"/>
        <v/>
      </c>
      <c r="G483" s="20" t="str">
        <f t="shared" si="15"/>
        <v/>
      </c>
    </row>
    <row r="484" spans="2:7" x14ac:dyDescent="0.2">
      <c r="B484" s="19" t="str">
        <f>IF('DDF Original'!B484="","",'DDF Original'!B484)</f>
        <v/>
      </c>
      <c r="C484" s="20" t="str">
        <f>IF('DDF Original'!C484="","",'DDF Original'!C484)</f>
        <v/>
      </c>
      <c r="D484" s="20" t="str">
        <f>IF('DDF Original'!F484="","",'DDF Original'!F484)</f>
        <v/>
      </c>
      <c r="E484" s="38" t="str">
        <f>'Recálculo Confissão (85-B)'!N484</f>
        <v/>
      </c>
      <c r="F484" s="20" t="str">
        <f t="shared" si="14"/>
        <v/>
      </c>
      <c r="G484" s="20" t="str">
        <f t="shared" si="15"/>
        <v/>
      </c>
    </row>
    <row r="485" spans="2:7" x14ac:dyDescent="0.2">
      <c r="B485" s="19" t="str">
        <f>IF('DDF Original'!B485="","",'DDF Original'!B485)</f>
        <v/>
      </c>
      <c r="C485" s="20" t="str">
        <f>IF('DDF Original'!C485="","",'DDF Original'!C485)</f>
        <v/>
      </c>
      <c r="D485" s="20" t="str">
        <f>IF('DDF Original'!F485="","",'DDF Original'!F485)</f>
        <v/>
      </c>
      <c r="E485" s="38" t="str">
        <f>'Recálculo Confissão (85-B)'!N485</f>
        <v/>
      </c>
      <c r="F485" s="20" t="str">
        <f t="shared" si="14"/>
        <v/>
      </c>
      <c r="G485" s="20" t="str">
        <f t="shared" si="15"/>
        <v/>
      </c>
    </row>
    <row r="486" spans="2:7" x14ac:dyDescent="0.2">
      <c r="B486" s="19" t="str">
        <f>IF('DDF Original'!B486="","",'DDF Original'!B486)</f>
        <v/>
      </c>
      <c r="C486" s="20" t="str">
        <f>IF('DDF Original'!C486="","",'DDF Original'!C486)</f>
        <v/>
      </c>
      <c r="D486" s="20" t="str">
        <f>IF('DDF Original'!F486="","",'DDF Original'!F486)</f>
        <v/>
      </c>
      <c r="E486" s="38" t="str">
        <f>'Recálculo Confissão (85-B)'!N486</f>
        <v/>
      </c>
      <c r="F486" s="20" t="str">
        <f t="shared" si="14"/>
        <v/>
      </c>
      <c r="G486" s="20" t="str">
        <f t="shared" si="15"/>
        <v/>
      </c>
    </row>
    <row r="487" spans="2:7" x14ac:dyDescent="0.2">
      <c r="B487" s="19" t="str">
        <f>IF('DDF Original'!B487="","",'DDF Original'!B487)</f>
        <v/>
      </c>
      <c r="C487" s="20" t="str">
        <f>IF('DDF Original'!C487="","",'DDF Original'!C487)</f>
        <v/>
      </c>
      <c r="D487" s="20" t="str">
        <f>IF('DDF Original'!F487="","",'DDF Original'!F487)</f>
        <v/>
      </c>
      <c r="E487" s="38" t="str">
        <f>'Recálculo Confissão (85-B)'!N487</f>
        <v/>
      </c>
      <c r="F487" s="20" t="str">
        <f t="shared" si="14"/>
        <v/>
      </c>
      <c r="G487" s="20" t="str">
        <f t="shared" si="15"/>
        <v/>
      </c>
    </row>
    <row r="488" spans="2:7" x14ac:dyDescent="0.2">
      <c r="B488" s="19" t="str">
        <f>IF('DDF Original'!B488="","",'DDF Original'!B488)</f>
        <v/>
      </c>
      <c r="C488" s="20" t="str">
        <f>IF('DDF Original'!C488="","",'DDF Original'!C488)</f>
        <v/>
      </c>
      <c r="D488" s="20" t="str">
        <f>IF('DDF Original'!F488="","",'DDF Original'!F488)</f>
        <v/>
      </c>
      <c r="E488" s="38" t="str">
        <f>'Recálculo Confissão (85-B)'!N488</f>
        <v/>
      </c>
      <c r="F488" s="20" t="str">
        <f t="shared" si="14"/>
        <v/>
      </c>
      <c r="G488" s="20" t="str">
        <f t="shared" si="15"/>
        <v/>
      </c>
    </row>
    <row r="489" spans="2:7" x14ac:dyDescent="0.2">
      <c r="B489" s="19" t="str">
        <f>IF('DDF Original'!B489="","",'DDF Original'!B489)</f>
        <v/>
      </c>
      <c r="C489" s="20" t="str">
        <f>IF('DDF Original'!C489="","",'DDF Original'!C489)</f>
        <v/>
      </c>
      <c r="D489" s="20" t="str">
        <f>IF('DDF Original'!F489="","",'DDF Original'!F489)</f>
        <v/>
      </c>
      <c r="E489" s="38" t="str">
        <f>'Recálculo Confissão (85-B)'!N489</f>
        <v/>
      </c>
      <c r="F489" s="20" t="str">
        <f t="shared" si="14"/>
        <v/>
      </c>
      <c r="G489" s="20" t="str">
        <f t="shared" si="15"/>
        <v/>
      </c>
    </row>
    <row r="490" spans="2:7" x14ac:dyDescent="0.2">
      <c r="B490" s="19" t="str">
        <f>IF('DDF Original'!B490="","",'DDF Original'!B490)</f>
        <v/>
      </c>
      <c r="C490" s="20" t="str">
        <f>IF('DDF Original'!C490="","",'DDF Original'!C490)</f>
        <v/>
      </c>
      <c r="D490" s="20" t="str">
        <f>IF('DDF Original'!F490="","",'DDF Original'!F490)</f>
        <v/>
      </c>
      <c r="E490" s="38" t="str">
        <f>'Recálculo Confissão (85-B)'!N490</f>
        <v/>
      </c>
      <c r="F490" s="20" t="str">
        <f t="shared" si="14"/>
        <v/>
      </c>
      <c r="G490" s="20" t="str">
        <f t="shared" si="15"/>
        <v/>
      </c>
    </row>
    <row r="491" spans="2:7" x14ac:dyDescent="0.2">
      <c r="B491" s="19" t="str">
        <f>IF('DDF Original'!B491="","",'DDF Original'!B491)</f>
        <v/>
      </c>
      <c r="C491" s="20" t="str">
        <f>IF('DDF Original'!C491="","",'DDF Original'!C491)</f>
        <v/>
      </c>
      <c r="D491" s="20" t="str">
        <f>IF('DDF Original'!F491="","",'DDF Original'!F491)</f>
        <v/>
      </c>
      <c r="E491" s="38" t="str">
        <f>'Recálculo Confissão (85-B)'!N491</f>
        <v/>
      </c>
      <c r="F491" s="20" t="str">
        <f t="shared" si="14"/>
        <v/>
      </c>
      <c r="G491" s="20" t="str">
        <f t="shared" si="15"/>
        <v/>
      </c>
    </row>
    <row r="492" spans="2:7" x14ac:dyDescent="0.2">
      <c r="B492" s="19" t="str">
        <f>IF('DDF Original'!B492="","",'DDF Original'!B492)</f>
        <v/>
      </c>
      <c r="C492" s="20" t="str">
        <f>IF('DDF Original'!C492="","",'DDF Original'!C492)</f>
        <v/>
      </c>
      <c r="D492" s="20" t="str">
        <f>IF('DDF Original'!F492="","",'DDF Original'!F492)</f>
        <v/>
      </c>
      <c r="E492" s="38" t="str">
        <f>'Recálculo Confissão (85-B)'!N492</f>
        <v/>
      </c>
      <c r="F492" s="20" t="str">
        <f t="shared" si="14"/>
        <v/>
      </c>
      <c r="G492" s="20" t="str">
        <f t="shared" si="15"/>
        <v/>
      </c>
    </row>
    <row r="493" spans="2:7" x14ac:dyDescent="0.2">
      <c r="B493" s="19" t="str">
        <f>IF('DDF Original'!B493="","",'DDF Original'!B493)</f>
        <v/>
      </c>
      <c r="C493" s="20" t="str">
        <f>IF('DDF Original'!C493="","",'DDF Original'!C493)</f>
        <v/>
      </c>
      <c r="D493" s="20" t="str">
        <f>IF('DDF Original'!F493="","",'DDF Original'!F493)</f>
        <v/>
      </c>
      <c r="E493" s="38" t="str">
        <f>'Recálculo Confissão (85-B)'!N493</f>
        <v/>
      </c>
      <c r="F493" s="20" t="str">
        <f t="shared" si="14"/>
        <v/>
      </c>
      <c r="G493" s="20" t="str">
        <f t="shared" si="15"/>
        <v/>
      </c>
    </row>
    <row r="494" spans="2:7" x14ac:dyDescent="0.2">
      <c r="B494" s="19" t="str">
        <f>IF('DDF Original'!B494="","",'DDF Original'!B494)</f>
        <v/>
      </c>
      <c r="C494" s="20" t="str">
        <f>IF('DDF Original'!C494="","",'DDF Original'!C494)</f>
        <v/>
      </c>
      <c r="D494" s="20" t="str">
        <f>IF('DDF Original'!F494="","",'DDF Original'!F494)</f>
        <v/>
      </c>
      <c r="E494" s="38" t="str">
        <f>'Recálculo Confissão (85-B)'!N494</f>
        <v/>
      </c>
      <c r="F494" s="20" t="str">
        <f t="shared" si="14"/>
        <v/>
      </c>
      <c r="G494" s="20" t="str">
        <f t="shared" si="15"/>
        <v/>
      </c>
    </row>
    <row r="495" spans="2:7" x14ac:dyDescent="0.2">
      <c r="B495" s="19" t="str">
        <f>IF('DDF Original'!B495="","",'DDF Original'!B495)</f>
        <v/>
      </c>
      <c r="C495" s="20" t="str">
        <f>IF('DDF Original'!C495="","",'DDF Original'!C495)</f>
        <v/>
      </c>
      <c r="D495" s="20" t="str">
        <f>IF('DDF Original'!F495="","",'DDF Original'!F495)</f>
        <v/>
      </c>
      <c r="E495" s="38" t="str">
        <f>'Recálculo Confissão (85-B)'!N495</f>
        <v/>
      </c>
      <c r="F495" s="20" t="str">
        <f t="shared" si="14"/>
        <v/>
      </c>
      <c r="G495" s="20" t="str">
        <f t="shared" si="15"/>
        <v/>
      </c>
    </row>
    <row r="496" spans="2:7" x14ac:dyDescent="0.2">
      <c r="B496" s="19" t="str">
        <f>IF('DDF Original'!B496="","",'DDF Original'!B496)</f>
        <v/>
      </c>
      <c r="C496" s="20" t="str">
        <f>IF('DDF Original'!C496="","",'DDF Original'!C496)</f>
        <v/>
      </c>
      <c r="D496" s="20" t="str">
        <f>IF('DDF Original'!F496="","",'DDF Original'!F496)</f>
        <v/>
      </c>
      <c r="E496" s="38" t="str">
        <f>'Recálculo Confissão (85-B)'!N496</f>
        <v/>
      </c>
      <c r="F496" s="20" t="str">
        <f t="shared" si="14"/>
        <v/>
      </c>
      <c r="G496" s="20" t="str">
        <f t="shared" si="15"/>
        <v/>
      </c>
    </row>
    <row r="497" spans="2:7" x14ac:dyDescent="0.2">
      <c r="B497" s="19" t="str">
        <f>IF('DDF Original'!B497="","",'DDF Original'!B497)</f>
        <v/>
      </c>
      <c r="C497" s="20" t="str">
        <f>IF('DDF Original'!C497="","",'DDF Original'!C497)</f>
        <v/>
      </c>
      <c r="D497" s="20" t="str">
        <f>IF('DDF Original'!F497="","",'DDF Original'!F497)</f>
        <v/>
      </c>
      <c r="E497" s="38" t="str">
        <f>'Recálculo Confissão (85-B)'!N497</f>
        <v/>
      </c>
      <c r="F497" s="20" t="str">
        <f t="shared" si="14"/>
        <v/>
      </c>
      <c r="G497" s="20" t="str">
        <f t="shared" si="15"/>
        <v/>
      </c>
    </row>
    <row r="498" spans="2:7" x14ac:dyDescent="0.2">
      <c r="B498" s="19" t="str">
        <f>IF('DDF Original'!B498="","",'DDF Original'!B498)</f>
        <v/>
      </c>
      <c r="C498" s="20" t="str">
        <f>IF('DDF Original'!C498="","",'DDF Original'!C498)</f>
        <v/>
      </c>
      <c r="D498" s="20" t="str">
        <f>IF('DDF Original'!F498="","",'DDF Original'!F498)</f>
        <v/>
      </c>
      <c r="E498" s="38" t="str">
        <f>'Recálculo Confissão (85-B)'!N498</f>
        <v/>
      </c>
      <c r="F498" s="20" t="str">
        <f t="shared" si="14"/>
        <v/>
      </c>
      <c r="G498" s="20" t="str">
        <f t="shared" si="15"/>
        <v/>
      </c>
    </row>
    <row r="499" spans="2:7" x14ac:dyDescent="0.2">
      <c r="B499" s="19" t="str">
        <f>IF('DDF Original'!B499="","",'DDF Original'!B499)</f>
        <v/>
      </c>
      <c r="C499" s="20" t="str">
        <f>IF('DDF Original'!C499="","",'DDF Original'!C499)</f>
        <v/>
      </c>
      <c r="D499" s="20" t="str">
        <f>IF('DDF Original'!F499="","",'DDF Original'!F499)</f>
        <v/>
      </c>
      <c r="E499" s="38" t="str">
        <f>'Recálculo Confissão (85-B)'!N499</f>
        <v/>
      </c>
      <c r="F499" s="20" t="str">
        <f t="shared" si="14"/>
        <v/>
      </c>
      <c r="G499" s="20" t="str">
        <f t="shared" si="15"/>
        <v/>
      </c>
    </row>
    <row r="500" spans="2:7" x14ac:dyDescent="0.2">
      <c r="B500" s="19" t="str">
        <f>IF('DDF Original'!B500="","",'DDF Original'!B500)</f>
        <v/>
      </c>
      <c r="C500" s="20" t="str">
        <f>IF('DDF Original'!C500="","",'DDF Original'!C500)</f>
        <v/>
      </c>
      <c r="D500" s="20" t="str">
        <f>IF('DDF Original'!F500="","",'DDF Original'!F500)</f>
        <v/>
      </c>
      <c r="E500" s="38" t="str">
        <f>'Recálculo Confissão (85-B)'!N500</f>
        <v/>
      </c>
      <c r="F500" s="20" t="str">
        <f t="shared" si="14"/>
        <v/>
      </c>
      <c r="G500" s="20" t="str">
        <f t="shared" si="15"/>
        <v/>
      </c>
    </row>
    <row r="501" spans="2:7" x14ac:dyDescent="0.2">
      <c r="B501" s="19" t="str">
        <f>IF('DDF Original'!B501="","",'DDF Original'!B501)</f>
        <v/>
      </c>
      <c r="C501" s="20" t="str">
        <f>IF('DDF Original'!C501="","",'DDF Original'!C501)</f>
        <v/>
      </c>
      <c r="D501" s="20" t="str">
        <f>IF('DDF Original'!F501="","",'DDF Original'!F501)</f>
        <v/>
      </c>
      <c r="E501" s="38" t="str">
        <f>'Recálculo Confissão (85-B)'!N501</f>
        <v/>
      </c>
      <c r="F501" s="20" t="str">
        <f t="shared" si="14"/>
        <v/>
      </c>
      <c r="G501" s="20" t="str">
        <f t="shared" si="15"/>
        <v/>
      </c>
    </row>
    <row r="502" spans="2:7" x14ac:dyDescent="0.2">
      <c r="B502" s="19" t="str">
        <f>IF('DDF Original'!B502="","",'DDF Original'!B502)</f>
        <v/>
      </c>
      <c r="C502" s="20" t="str">
        <f>IF('DDF Original'!C502="","",'DDF Original'!C502)</f>
        <v/>
      </c>
      <c r="D502" s="20" t="str">
        <f>IF('DDF Original'!F502="","",'DDF Original'!F502)</f>
        <v/>
      </c>
      <c r="E502" s="38" t="str">
        <f>'Recálculo Confissão (85-B)'!N502</f>
        <v/>
      </c>
      <c r="F502" s="20" t="str">
        <f t="shared" si="14"/>
        <v/>
      </c>
      <c r="G502" s="20" t="str">
        <f t="shared" si="15"/>
        <v/>
      </c>
    </row>
    <row r="503" spans="2:7" x14ac:dyDescent="0.2">
      <c r="B503" s="19" t="str">
        <f>IF('DDF Original'!B503="","",'DDF Original'!B503)</f>
        <v/>
      </c>
      <c r="C503" s="20" t="str">
        <f>IF('DDF Original'!C503="","",'DDF Original'!C503)</f>
        <v/>
      </c>
      <c r="D503" s="20" t="str">
        <f>IF('DDF Original'!F503="","",'DDF Original'!F503)</f>
        <v/>
      </c>
      <c r="E503" s="38" t="str">
        <f>'Recálculo Confissão (85-B)'!N503</f>
        <v/>
      </c>
      <c r="F503" s="20" t="str">
        <f t="shared" si="14"/>
        <v/>
      </c>
      <c r="G503" s="20" t="str">
        <f t="shared" si="15"/>
        <v/>
      </c>
    </row>
    <row r="504" spans="2:7" x14ac:dyDescent="0.2">
      <c r="B504" s="19" t="str">
        <f>IF('DDF Original'!B504="","",'DDF Original'!B504)</f>
        <v/>
      </c>
      <c r="C504" s="20" t="str">
        <f>IF('DDF Original'!C504="","",'DDF Original'!C504)</f>
        <v/>
      </c>
      <c r="D504" s="20" t="str">
        <f>IF('DDF Original'!F504="","",'DDF Original'!F504)</f>
        <v/>
      </c>
      <c r="E504" s="38" t="str">
        <f>'Recálculo Confissão (85-B)'!N504</f>
        <v/>
      </c>
      <c r="F504" s="20" t="str">
        <f t="shared" si="14"/>
        <v/>
      </c>
      <c r="G504" s="20" t="str">
        <f t="shared" si="15"/>
        <v/>
      </c>
    </row>
    <row r="505" spans="2:7" x14ac:dyDescent="0.2">
      <c r="B505" s="19" t="str">
        <f>IF('DDF Original'!B505="","",'DDF Original'!B505)</f>
        <v/>
      </c>
      <c r="C505" s="20" t="str">
        <f>IF('DDF Original'!C505="","",'DDF Original'!C505)</f>
        <v/>
      </c>
      <c r="D505" s="20" t="str">
        <f>IF('DDF Original'!F505="","",'DDF Original'!F505)</f>
        <v/>
      </c>
      <c r="E505" s="38" t="str">
        <f>'Recálculo Confissão (85-B)'!N505</f>
        <v/>
      </c>
      <c r="F505" s="20" t="str">
        <f t="shared" si="14"/>
        <v/>
      </c>
      <c r="G505" s="20" t="str">
        <f t="shared" si="15"/>
        <v/>
      </c>
    </row>
    <row r="506" spans="2:7" x14ac:dyDescent="0.2">
      <c r="B506" s="19" t="str">
        <f>IF('DDF Original'!B506="","",'DDF Original'!B506)</f>
        <v/>
      </c>
      <c r="C506" s="20" t="str">
        <f>IF('DDF Original'!C506="","",'DDF Original'!C506)</f>
        <v/>
      </c>
      <c r="D506" s="20" t="str">
        <f>IF('DDF Original'!F506="","",'DDF Original'!F506)</f>
        <v/>
      </c>
      <c r="E506" s="38" t="str">
        <f>'Recálculo Confissão (85-B)'!N506</f>
        <v/>
      </c>
      <c r="F506" s="20" t="str">
        <f t="shared" si="14"/>
        <v/>
      </c>
      <c r="G506" s="20" t="str">
        <f t="shared" si="15"/>
        <v/>
      </c>
    </row>
    <row r="507" spans="2:7" x14ac:dyDescent="0.2">
      <c r="B507" s="19" t="str">
        <f>IF('DDF Original'!B507="","",'DDF Original'!B507)</f>
        <v/>
      </c>
      <c r="C507" s="20" t="str">
        <f>IF('DDF Original'!C507="","",'DDF Original'!C507)</f>
        <v/>
      </c>
      <c r="D507" s="20" t="str">
        <f>IF('DDF Original'!F507="","",'DDF Original'!F507)</f>
        <v/>
      </c>
      <c r="E507" s="38" t="str">
        <f>'Recálculo Confissão (85-B)'!N507</f>
        <v/>
      </c>
      <c r="F507" s="20" t="str">
        <f t="shared" si="14"/>
        <v/>
      </c>
      <c r="G507" s="20" t="str">
        <f t="shared" si="15"/>
        <v/>
      </c>
    </row>
    <row r="508" spans="2:7" x14ac:dyDescent="0.2">
      <c r="B508" s="19" t="str">
        <f>IF('DDF Original'!B508="","",'DDF Original'!B508)</f>
        <v/>
      </c>
      <c r="C508" s="20" t="str">
        <f>IF('DDF Original'!C508="","",'DDF Original'!C508)</f>
        <v/>
      </c>
      <c r="D508" s="20" t="str">
        <f>IF('DDF Original'!F508="","",'DDF Original'!F508)</f>
        <v/>
      </c>
      <c r="E508" s="38" t="str">
        <f>'Recálculo Confissão (85-B)'!N508</f>
        <v/>
      </c>
      <c r="F508" s="20" t="str">
        <f t="shared" si="14"/>
        <v/>
      </c>
      <c r="G508" s="20" t="str">
        <f t="shared" si="15"/>
        <v/>
      </c>
    </row>
    <row r="509" spans="2:7" x14ac:dyDescent="0.2">
      <c r="B509" s="19" t="str">
        <f>IF('DDF Original'!B509="","",'DDF Original'!B509)</f>
        <v/>
      </c>
      <c r="C509" s="20" t="str">
        <f>IF('DDF Original'!C509="","",'DDF Original'!C509)</f>
        <v/>
      </c>
      <c r="D509" s="20" t="str">
        <f>IF('DDF Original'!F509="","",'DDF Original'!F509)</f>
        <v/>
      </c>
      <c r="E509" s="38" t="str">
        <f>'Recálculo Confissão (85-B)'!N509</f>
        <v/>
      </c>
      <c r="F509" s="20" t="str">
        <f t="shared" ref="F509:F572" si="16">IF(E509="","",ROUND(E509*(1-70%),2))</f>
        <v/>
      </c>
      <c r="G509" s="20" t="str">
        <f t="shared" ref="G509:G572" si="17">IF(E509="","",ROUND(E509*(1-60%),2))</f>
        <v/>
      </c>
    </row>
    <row r="510" spans="2:7" x14ac:dyDescent="0.2">
      <c r="B510" s="19" t="str">
        <f>IF('DDF Original'!B510="","",'DDF Original'!B510)</f>
        <v/>
      </c>
      <c r="C510" s="20" t="str">
        <f>IF('DDF Original'!C510="","",'DDF Original'!C510)</f>
        <v/>
      </c>
      <c r="D510" s="20" t="str">
        <f>IF('DDF Original'!F510="","",'DDF Original'!F510)</f>
        <v/>
      </c>
      <c r="E510" s="38" t="str">
        <f>'Recálculo Confissão (85-B)'!N510</f>
        <v/>
      </c>
      <c r="F510" s="20" t="str">
        <f t="shared" si="16"/>
        <v/>
      </c>
      <c r="G510" s="20" t="str">
        <f t="shared" si="17"/>
        <v/>
      </c>
    </row>
    <row r="511" spans="2:7" x14ac:dyDescent="0.2">
      <c r="B511" s="19" t="str">
        <f>IF('DDF Original'!B511="","",'DDF Original'!B511)</f>
        <v/>
      </c>
      <c r="C511" s="20" t="str">
        <f>IF('DDF Original'!C511="","",'DDF Original'!C511)</f>
        <v/>
      </c>
      <c r="D511" s="20" t="str">
        <f>IF('DDF Original'!F511="","",'DDF Original'!F511)</f>
        <v/>
      </c>
      <c r="E511" s="38" t="str">
        <f>'Recálculo Confissão (85-B)'!N511</f>
        <v/>
      </c>
      <c r="F511" s="20" t="str">
        <f t="shared" si="16"/>
        <v/>
      </c>
      <c r="G511" s="20" t="str">
        <f t="shared" si="17"/>
        <v/>
      </c>
    </row>
    <row r="512" spans="2:7" x14ac:dyDescent="0.2">
      <c r="B512" s="19" t="str">
        <f>IF('DDF Original'!B512="","",'DDF Original'!B512)</f>
        <v/>
      </c>
      <c r="C512" s="20" t="str">
        <f>IF('DDF Original'!C512="","",'DDF Original'!C512)</f>
        <v/>
      </c>
      <c r="D512" s="20" t="str">
        <f>IF('DDF Original'!F512="","",'DDF Original'!F512)</f>
        <v/>
      </c>
      <c r="E512" s="38" t="str">
        <f>'Recálculo Confissão (85-B)'!N512</f>
        <v/>
      </c>
      <c r="F512" s="20" t="str">
        <f t="shared" si="16"/>
        <v/>
      </c>
      <c r="G512" s="20" t="str">
        <f t="shared" si="17"/>
        <v/>
      </c>
    </row>
    <row r="513" spans="2:7" x14ac:dyDescent="0.2">
      <c r="B513" s="19" t="str">
        <f>IF('DDF Original'!B513="","",'DDF Original'!B513)</f>
        <v/>
      </c>
      <c r="C513" s="20" t="str">
        <f>IF('DDF Original'!C513="","",'DDF Original'!C513)</f>
        <v/>
      </c>
      <c r="D513" s="20" t="str">
        <f>IF('DDF Original'!F513="","",'DDF Original'!F513)</f>
        <v/>
      </c>
      <c r="E513" s="38" t="str">
        <f>'Recálculo Confissão (85-B)'!N513</f>
        <v/>
      </c>
      <c r="F513" s="20" t="str">
        <f t="shared" si="16"/>
        <v/>
      </c>
      <c r="G513" s="20" t="str">
        <f t="shared" si="17"/>
        <v/>
      </c>
    </row>
    <row r="514" spans="2:7" x14ac:dyDescent="0.2">
      <c r="B514" s="19" t="str">
        <f>IF('DDF Original'!B514="","",'DDF Original'!B514)</f>
        <v/>
      </c>
      <c r="C514" s="20" t="str">
        <f>IF('DDF Original'!C514="","",'DDF Original'!C514)</f>
        <v/>
      </c>
      <c r="D514" s="20" t="str">
        <f>IF('DDF Original'!F514="","",'DDF Original'!F514)</f>
        <v/>
      </c>
      <c r="E514" s="38" t="str">
        <f>'Recálculo Confissão (85-B)'!N514</f>
        <v/>
      </c>
      <c r="F514" s="20" t="str">
        <f t="shared" si="16"/>
        <v/>
      </c>
      <c r="G514" s="20" t="str">
        <f t="shared" si="17"/>
        <v/>
      </c>
    </row>
    <row r="515" spans="2:7" x14ac:dyDescent="0.2">
      <c r="B515" s="19" t="str">
        <f>IF('DDF Original'!B515="","",'DDF Original'!B515)</f>
        <v/>
      </c>
      <c r="C515" s="20" t="str">
        <f>IF('DDF Original'!C515="","",'DDF Original'!C515)</f>
        <v/>
      </c>
      <c r="D515" s="20" t="str">
        <f>IF('DDF Original'!F515="","",'DDF Original'!F515)</f>
        <v/>
      </c>
      <c r="E515" s="38" t="str">
        <f>'Recálculo Confissão (85-B)'!N515</f>
        <v/>
      </c>
      <c r="F515" s="20" t="str">
        <f t="shared" si="16"/>
        <v/>
      </c>
      <c r="G515" s="20" t="str">
        <f t="shared" si="17"/>
        <v/>
      </c>
    </row>
    <row r="516" spans="2:7" x14ac:dyDescent="0.2">
      <c r="B516" s="19" t="str">
        <f>IF('DDF Original'!B516="","",'DDF Original'!B516)</f>
        <v/>
      </c>
      <c r="C516" s="20" t="str">
        <f>IF('DDF Original'!C516="","",'DDF Original'!C516)</f>
        <v/>
      </c>
      <c r="D516" s="20" t="str">
        <f>IF('DDF Original'!F516="","",'DDF Original'!F516)</f>
        <v/>
      </c>
      <c r="E516" s="38" t="str">
        <f>'Recálculo Confissão (85-B)'!N516</f>
        <v/>
      </c>
      <c r="F516" s="20" t="str">
        <f t="shared" si="16"/>
        <v/>
      </c>
      <c r="G516" s="20" t="str">
        <f t="shared" si="17"/>
        <v/>
      </c>
    </row>
    <row r="517" spans="2:7" x14ac:dyDescent="0.2">
      <c r="B517" s="19" t="str">
        <f>IF('DDF Original'!B517="","",'DDF Original'!B517)</f>
        <v/>
      </c>
      <c r="C517" s="20" t="str">
        <f>IF('DDF Original'!C517="","",'DDF Original'!C517)</f>
        <v/>
      </c>
      <c r="D517" s="20" t="str">
        <f>IF('DDF Original'!F517="","",'DDF Original'!F517)</f>
        <v/>
      </c>
      <c r="E517" s="38" t="str">
        <f>'Recálculo Confissão (85-B)'!N517</f>
        <v/>
      </c>
      <c r="F517" s="20" t="str">
        <f t="shared" si="16"/>
        <v/>
      </c>
      <c r="G517" s="20" t="str">
        <f t="shared" si="17"/>
        <v/>
      </c>
    </row>
    <row r="518" spans="2:7" x14ac:dyDescent="0.2">
      <c r="B518" s="19" t="str">
        <f>IF('DDF Original'!B518="","",'DDF Original'!B518)</f>
        <v/>
      </c>
      <c r="C518" s="20" t="str">
        <f>IF('DDF Original'!C518="","",'DDF Original'!C518)</f>
        <v/>
      </c>
      <c r="D518" s="20" t="str">
        <f>IF('DDF Original'!F518="","",'DDF Original'!F518)</f>
        <v/>
      </c>
      <c r="E518" s="38" t="str">
        <f>'Recálculo Confissão (85-B)'!N518</f>
        <v/>
      </c>
      <c r="F518" s="20" t="str">
        <f t="shared" si="16"/>
        <v/>
      </c>
      <c r="G518" s="20" t="str">
        <f t="shared" si="17"/>
        <v/>
      </c>
    </row>
    <row r="519" spans="2:7" x14ac:dyDescent="0.2">
      <c r="B519" s="19" t="str">
        <f>IF('DDF Original'!B519="","",'DDF Original'!B519)</f>
        <v/>
      </c>
      <c r="C519" s="20" t="str">
        <f>IF('DDF Original'!C519="","",'DDF Original'!C519)</f>
        <v/>
      </c>
      <c r="D519" s="20" t="str">
        <f>IF('DDF Original'!F519="","",'DDF Original'!F519)</f>
        <v/>
      </c>
      <c r="E519" s="38" t="str">
        <f>'Recálculo Confissão (85-B)'!N519</f>
        <v/>
      </c>
      <c r="F519" s="20" t="str">
        <f t="shared" si="16"/>
        <v/>
      </c>
      <c r="G519" s="20" t="str">
        <f t="shared" si="17"/>
        <v/>
      </c>
    </row>
    <row r="520" spans="2:7" x14ac:dyDescent="0.2">
      <c r="B520" s="19" t="str">
        <f>IF('DDF Original'!B520="","",'DDF Original'!B520)</f>
        <v/>
      </c>
      <c r="C520" s="20" t="str">
        <f>IF('DDF Original'!C520="","",'DDF Original'!C520)</f>
        <v/>
      </c>
      <c r="D520" s="20" t="str">
        <f>IF('DDF Original'!F520="","",'DDF Original'!F520)</f>
        <v/>
      </c>
      <c r="E520" s="38" t="str">
        <f>'Recálculo Confissão (85-B)'!N520</f>
        <v/>
      </c>
      <c r="F520" s="20" t="str">
        <f t="shared" si="16"/>
        <v/>
      </c>
      <c r="G520" s="20" t="str">
        <f t="shared" si="17"/>
        <v/>
      </c>
    </row>
    <row r="521" spans="2:7" x14ac:dyDescent="0.2">
      <c r="B521" s="19" t="str">
        <f>IF('DDF Original'!B521="","",'DDF Original'!B521)</f>
        <v/>
      </c>
      <c r="C521" s="20" t="str">
        <f>IF('DDF Original'!C521="","",'DDF Original'!C521)</f>
        <v/>
      </c>
      <c r="D521" s="20" t="str">
        <f>IF('DDF Original'!F521="","",'DDF Original'!F521)</f>
        <v/>
      </c>
      <c r="E521" s="38" t="str">
        <f>'Recálculo Confissão (85-B)'!N521</f>
        <v/>
      </c>
      <c r="F521" s="20" t="str">
        <f t="shared" si="16"/>
        <v/>
      </c>
      <c r="G521" s="20" t="str">
        <f t="shared" si="17"/>
        <v/>
      </c>
    </row>
    <row r="522" spans="2:7" x14ac:dyDescent="0.2">
      <c r="B522" s="19" t="str">
        <f>IF('DDF Original'!B522="","",'DDF Original'!B522)</f>
        <v/>
      </c>
      <c r="C522" s="20" t="str">
        <f>IF('DDF Original'!C522="","",'DDF Original'!C522)</f>
        <v/>
      </c>
      <c r="D522" s="20" t="str">
        <f>IF('DDF Original'!F522="","",'DDF Original'!F522)</f>
        <v/>
      </c>
      <c r="E522" s="38" t="str">
        <f>'Recálculo Confissão (85-B)'!N522</f>
        <v/>
      </c>
      <c r="F522" s="20" t="str">
        <f t="shared" si="16"/>
        <v/>
      </c>
      <c r="G522" s="20" t="str">
        <f t="shared" si="17"/>
        <v/>
      </c>
    </row>
    <row r="523" spans="2:7" x14ac:dyDescent="0.2">
      <c r="B523" s="19" t="str">
        <f>IF('DDF Original'!B523="","",'DDF Original'!B523)</f>
        <v/>
      </c>
      <c r="C523" s="20" t="str">
        <f>IF('DDF Original'!C523="","",'DDF Original'!C523)</f>
        <v/>
      </c>
      <c r="D523" s="20" t="str">
        <f>IF('DDF Original'!F523="","",'DDF Original'!F523)</f>
        <v/>
      </c>
      <c r="E523" s="38" t="str">
        <f>'Recálculo Confissão (85-B)'!N523</f>
        <v/>
      </c>
      <c r="F523" s="20" t="str">
        <f t="shared" si="16"/>
        <v/>
      </c>
      <c r="G523" s="20" t="str">
        <f t="shared" si="17"/>
        <v/>
      </c>
    </row>
    <row r="524" spans="2:7" x14ac:dyDescent="0.2">
      <c r="B524" s="19" t="str">
        <f>IF('DDF Original'!B524="","",'DDF Original'!B524)</f>
        <v/>
      </c>
      <c r="C524" s="20" t="str">
        <f>IF('DDF Original'!C524="","",'DDF Original'!C524)</f>
        <v/>
      </c>
      <c r="D524" s="20" t="str">
        <f>IF('DDF Original'!F524="","",'DDF Original'!F524)</f>
        <v/>
      </c>
      <c r="E524" s="38" t="str">
        <f>'Recálculo Confissão (85-B)'!N524</f>
        <v/>
      </c>
      <c r="F524" s="20" t="str">
        <f t="shared" si="16"/>
        <v/>
      </c>
      <c r="G524" s="20" t="str">
        <f t="shared" si="17"/>
        <v/>
      </c>
    </row>
    <row r="525" spans="2:7" x14ac:dyDescent="0.2">
      <c r="B525" s="19" t="str">
        <f>IF('DDF Original'!B525="","",'DDF Original'!B525)</f>
        <v/>
      </c>
      <c r="C525" s="20" t="str">
        <f>IF('DDF Original'!C525="","",'DDF Original'!C525)</f>
        <v/>
      </c>
      <c r="D525" s="20" t="str">
        <f>IF('DDF Original'!F525="","",'DDF Original'!F525)</f>
        <v/>
      </c>
      <c r="E525" s="38" t="str">
        <f>'Recálculo Confissão (85-B)'!N525</f>
        <v/>
      </c>
      <c r="F525" s="20" t="str">
        <f t="shared" si="16"/>
        <v/>
      </c>
      <c r="G525" s="20" t="str">
        <f t="shared" si="17"/>
        <v/>
      </c>
    </row>
    <row r="526" spans="2:7" x14ac:dyDescent="0.2">
      <c r="B526" s="19" t="str">
        <f>IF('DDF Original'!B526="","",'DDF Original'!B526)</f>
        <v/>
      </c>
      <c r="C526" s="20" t="str">
        <f>IF('DDF Original'!C526="","",'DDF Original'!C526)</f>
        <v/>
      </c>
      <c r="D526" s="20" t="str">
        <f>IF('DDF Original'!F526="","",'DDF Original'!F526)</f>
        <v/>
      </c>
      <c r="E526" s="38" t="str">
        <f>'Recálculo Confissão (85-B)'!N526</f>
        <v/>
      </c>
      <c r="F526" s="20" t="str">
        <f t="shared" si="16"/>
        <v/>
      </c>
      <c r="G526" s="20" t="str">
        <f t="shared" si="17"/>
        <v/>
      </c>
    </row>
    <row r="527" spans="2:7" x14ac:dyDescent="0.2">
      <c r="B527" s="19" t="str">
        <f>IF('DDF Original'!B527="","",'DDF Original'!B527)</f>
        <v/>
      </c>
      <c r="C527" s="20" t="str">
        <f>IF('DDF Original'!C527="","",'DDF Original'!C527)</f>
        <v/>
      </c>
      <c r="D527" s="20" t="str">
        <f>IF('DDF Original'!F527="","",'DDF Original'!F527)</f>
        <v/>
      </c>
      <c r="E527" s="38" t="str">
        <f>'Recálculo Confissão (85-B)'!N527</f>
        <v/>
      </c>
      <c r="F527" s="20" t="str">
        <f t="shared" si="16"/>
        <v/>
      </c>
      <c r="G527" s="20" t="str">
        <f t="shared" si="17"/>
        <v/>
      </c>
    </row>
    <row r="528" spans="2:7" x14ac:dyDescent="0.2">
      <c r="B528" s="19" t="str">
        <f>IF('DDF Original'!B528="","",'DDF Original'!B528)</f>
        <v/>
      </c>
      <c r="C528" s="20" t="str">
        <f>IF('DDF Original'!C528="","",'DDF Original'!C528)</f>
        <v/>
      </c>
      <c r="D528" s="20" t="str">
        <f>IF('DDF Original'!F528="","",'DDF Original'!F528)</f>
        <v/>
      </c>
      <c r="E528" s="38" t="str">
        <f>'Recálculo Confissão (85-B)'!N528</f>
        <v/>
      </c>
      <c r="F528" s="20" t="str">
        <f t="shared" si="16"/>
        <v/>
      </c>
      <c r="G528" s="20" t="str">
        <f t="shared" si="17"/>
        <v/>
      </c>
    </row>
    <row r="529" spans="2:7" x14ac:dyDescent="0.2">
      <c r="B529" s="19" t="str">
        <f>IF('DDF Original'!B529="","",'DDF Original'!B529)</f>
        <v/>
      </c>
      <c r="C529" s="20" t="str">
        <f>IF('DDF Original'!C529="","",'DDF Original'!C529)</f>
        <v/>
      </c>
      <c r="D529" s="20" t="str">
        <f>IF('DDF Original'!F529="","",'DDF Original'!F529)</f>
        <v/>
      </c>
      <c r="E529" s="38" t="str">
        <f>'Recálculo Confissão (85-B)'!N529</f>
        <v/>
      </c>
      <c r="F529" s="20" t="str">
        <f t="shared" si="16"/>
        <v/>
      </c>
      <c r="G529" s="20" t="str">
        <f t="shared" si="17"/>
        <v/>
      </c>
    </row>
    <row r="530" spans="2:7" x14ac:dyDescent="0.2">
      <c r="B530" s="19" t="str">
        <f>IF('DDF Original'!B530="","",'DDF Original'!B530)</f>
        <v/>
      </c>
      <c r="C530" s="20" t="str">
        <f>IF('DDF Original'!C530="","",'DDF Original'!C530)</f>
        <v/>
      </c>
      <c r="D530" s="20" t="str">
        <f>IF('DDF Original'!F530="","",'DDF Original'!F530)</f>
        <v/>
      </c>
      <c r="E530" s="38" t="str">
        <f>'Recálculo Confissão (85-B)'!N530</f>
        <v/>
      </c>
      <c r="F530" s="20" t="str">
        <f t="shared" si="16"/>
        <v/>
      </c>
      <c r="G530" s="20" t="str">
        <f t="shared" si="17"/>
        <v/>
      </c>
    </row>
    <row r="531" spans="2:7" x14ac:dyDescent="0.2">
      <c r="B531" s="19" t="str">
        <f>IF('DDF Original'!B531="","",'DDF Original'!B531)</f>
        <v/>
      </c>
      <c r="C531" s="20" t="str">
        <f>IF('DDF Original'!C531="","",'DDF Original'!C531)</f>
        <v/>
      </c>
      <c r="D531" s="20" t="str">
        <f>IF('DDF Original'!F531="","",'DDF Original'!F531)</f>
        <v/>
      </c>
      <c r="E531" s="38" t="str">
        <f>'Recálculo Confissão (85-B)'!N531</f>
        <v/>
      </c>
      <c r="F531" s="20" t="str">
        <f t="shared" si="16"/>
        <v/>
      </c>
      <c r="G531" s="20" t="str">
        <f t="shared" si="17"/>
        <v/>
      </c>
    </row>
    <row r="532" spans="2:7" x14ac:dyDescent="0.2">
      <c r="B532" s="19" t="str">
        <f>IF('DDF Original'!B532="","",'DDF Original'!B532)</f>
        <v/>
      </c>
      <c r="C532" s="20" t="str">
        <f>IF('DDF Original'!C532="","",'DDF Original'!C532)</f>
        <v/>
      </c>
      <c r="D532" s="20" t="str">
        <f>IF('DDF Original'!F532="","",'DDF Original'!F532)</f>
        <v/>
      </c>
      <c r="E532" s="38" t="str">
        <f>'Recálculo Confissão (85-B)'!N532</f>
        <v/>
      </c>
      <c r="F532" s="20" t="str">
        <f t="shared" si="16"/>
        <v/>
      </c>
      <c r="G532" s="20" t="str">
        <f t="shared" si="17"/>
        <v/>
      </c>
    </row>
    <row r="533" spans="2:7" x14ac:dyDescent="0.2">
      <c r="B533" s="19" t="str">
        <f>IF('DDF Original'!B533="","",'DDF Original'!B533)</f>
        <v/>
      </c>
      <c r="C533" s="20" t="str">
        <f>IF('DDF Original'!C533="","",'DDF Original'!C533)</f>
        <v/>
      </c>
      <c r="D533" s="20" t="str">
        <f>IF('DDF Original'!F533="","",'DDF Original'!F533)</f>
        <v/>
      </c>
      <c r="E533" s="38" t="str">
        <f>'Recálculo Confissão (85-B)'!N533</f>
        <v/>
      </c>
      <c r="F533" s="20" t="str">
        <f t="shared" si="16"/>
        <v/>
      </c>
      <c r="G533" s="20" t="str">
        <f t="shared" si="17"/>
        <v/>
      </c>
    </row>
    <row r="534" spans="2:7" x14ac:dyDescent="0.2">
      <c r="B534" s="19" t="str">
        <f>IF('DDF Original'!B534="","",'DDF Original'!B534)</f>
        <v/>
      </c>
      <c r="C534" s="20" t="str">
        <f>IF('DDF Original'!C534="","",'DDF Original'!C534)</f>
        <v/>
      </c>
      <c r="D534" s="20" t="str">
        <f>IF('DDF Original'!F534="","",'DDF Original'!F534)</f>
        <v/>
      </c>
      <c r="E534" s="38" t="str">
        <f>'Recálculo Confissão (85-B)'!N534</f>
        <v/>
      </c>
      <c r="F534" s="20" t="str">
        <f t="shared" si="16"/>
        <v/>
      </c>
      <c r="G534" s="20" t="str">
        <f t="shared" si="17"/>
        <v/>
      </c>
    </row>
    <row r="535" spans="2:7" x14ac:dyDescent="0.2">
      <c r="B535" s="19" t="str">
        <f>IF('DDF Original'!B535="","",'DDF Original'!B535)</f>
        <v/>
      </c>
      <c r="C535" s="20" t="str">
        <f>IF('DDF Original'!C535="","",'DDF Original'!C535)</f>
        <v/>
      </c>
      <c r="D535" s="20" t="str">
        <f>IF('DDF Original'!F535="","",'DDF Original'!F535)</f>
        <v/>
      </c>
      <c r="E535" s="38" t="str">
        <f>'Recálculo Confissão (85-B)'!N535</f>
        <v/>
      </c>
      <c r="F535" s="20" t="str">
        <f t="shared" si="16"/>
        <v/>
      </c>
      <c r="G535" s="20" t="str">
        <f t="shared" si="17"/>
        <v/>
      </c>
    </row>
    <row r="536" spans="2:7" x14ac:dyDescent="0.2">
      <c r="B536" s="19" t="str">
        <f>IF('DDF Original'!B536="","",'DDF Original'!B536)</f>
        <v/>
      </c>
      <c r="C536" s="20" t="str">
        <f>IF('DDF Original'!C536="","",'DDF Original'!C536)</f>
        <v/>
      </c>
      <c r="D536" s="20" t="str">
        <f>IF('DDF Original'!F536="","",'DDF Original'!F536)</f>
        <v/>
      </c>
      <c r="E536" s="38" t="str">
        <f>'Recálculo Confissão (85-B)'!N536</f>
        <v/>
      </c>
      <c r="F536" s="20" t="str">
        <f t="shared" si="16"/>
        <v/>
      </c>
      <c r="G536" s="20" t="str">
        <f t="shared" si="17"/>
        <v/>
      </c>
    </row>
    <row r="537" spans="2:7" x14ac:dyDescent="0.2">
      <c r="B537" s="19" t="str">
        <f>IF('DDF Original'!B537="","",'DDF Original'!B537)</f>
        <v/>
      </c>
      <c r="C537" s="20" t="str">
        <f>IF('DDF Original'!C537="","",'DDF Original'!C537)</f>
        <v/>
      </c>
      <c r="D537" s="20" t="str">
        <f>IF('DDF Original'!F537="","",'DDF Original'!F537)</f>
        <v/>
      </c>
      <c r="E537" s="38" t="str">
        <f>'Recálculo Confissão (85-B)'!N537</f>
        <v/>
      </c>
      <c r="F537" s="20" t="str">
        <f t="shared" si="16"/>
        <v/>
      </c>
      <c r="G537" s="20" t="str">
        <f t="shared" si="17"/>
        <v/>
      </c>
    </row>
    <row r="538" spans="2:7" x14ac:dyDescent="0.2">
      <c r="B538" s="19" t="str">
        <f>IF('DDF Original'!B538="","",'DDF Original'!B538)</f>
        <v/>
      </c>
      <c r="C538" s="20" t="str">
        <f>IF('DDF Original'!C538="","",'DDF Original'!C538)</f>
        <v/>
      </c>
      <c r="D538" s="20" t="str">
        <f>IF('DDF Original'!F538="","",'DDF Original'!F538)</f>
        <v/>
      </c>
      <c r="E538" s="38" t="str">
        <f>'Recálculo Confissão (85-B)'!N538</f>
        <v/>
      </c>
      <c r="F538" s="20" t="str">
        <f t="shared" si="16"/>
        <v/>
      </c>
      <c r="G538" s="20" t="str">
        <f t="shared" si="17"/>
        <v/>
      </c>
    </row>
    <row r="539" spans="2:7" x14ac:dyDescent="0.2">
      <c r="B539" s="19" t="str">
        <f>IF('DDF Original'!B539="","",'DDF Original'!B539)</f>
        <v/>
      </c>
      <c r="C539" s="20" t="str">
        <f>IF('DDF Original'!C539="","",'DDF Original'!C539)</f>
        <v/>
      </c>
      <c r="D539" s="20" t="str">
        <f>IF('DDF Original'!F539="","",'DDF Original'!F539)</f>
        <v/>
      </c>
      <c r="E539" s="38" t="str">
        <f>'Recálculo Confissão (85-B)'!N539</f>
        <v/>
      </c>
      <c r="F539" s="20" t="str">
        <f t="shared" si="16"/>
        <v/>
      </c>
      <c r="G539" s="20" t="str">
        <f t="shared" si="17"/>
        <v/>
      </c>
    </row>
    <row r="540" spans="2:7" x14ac:dyDescent="0.2">
      <c r="B540" s="19" t="str">
        <f>IF('DDF Original'!B540="","",'DDF Original'!B540)</f>
        <v/>
      </c>
      <c r="C540" s="20" t="str">
        <f>IF('DDF Original'!C540="","",'DDF Original'!C540)</f>
        <v/>
      </c>
      <c r="D540" s="20" t="str">
        <f>IF('DDF Original'!F540="","",'DDF Original'!F540)</f>
        <v/>
      </c>
      <c r="E540" s="38" t="str">
        <f>'Recálculo Confissão (85-B)'!N540</f>
        <v/>
      </c>
      <c r="F540" s="20" t="str">
        <f t="shared" si="16"/>
        <v/>
      </c>
      <c r="G540" s="20" t="str">
        <f t="shared" si="17"/>
        <v/>
      </c>
    </row>
    <row r="541" spans="2:7" x14ac:dyDescent="0.2">
      <c r="B541" s="19" t="str">
        <f>IF('DDF Original'!B541="","",'DDF Original'!B541)</f>
        <v/>
      </c>
      <c r="C541" s="20" t="str">
        <f>IF('DDF Original'!C541="","",'DDF Original'!C541)</f>
        <v/>
      </c>
      <c r="D541" s="20" t="str">
        <f>IF('DDF Original'!F541="","",'DDF Original'!F541)</f>
        <v/>
      </c>
      <c r="E541" s="38" t="str">
        <f>'Recálculo Confissão (85-B)'!N541</f>
        <v/>
      </c>
      <c r="F541" s="20" t="str">
        <f t="shared" si="16"/>
        <v/>
      </c>
      <c r="G541" s="20" t="str">
        <f t="shared" si="17"/>
        <v/>
      </c>
    </row>
    <row r="542" spans="2:7" x14ac:dyDescent="0.2">
      <c r="B542" s="19" t="str">
        <f>IF('DDF Original'!B542="","",'DDF Original'!B542)</f>
        <v/>
      </c>
      <c r="C542" s="20" t="str">
        <f>IF('DDF Original'!C542="","",'DDF Original'!C542)</f>
        <v/>
      </c>
      <c r="D542" s="20" t="str">
        <f>IF('DDF Original'!F542="","",'DDF Original'!F542)</f>
        <v/>
      </c>
      <c r="E542" s="38" t="str">
        <f>'Recálculo Confissão (85-B)'!N542</f>
        <v/>
      </c>
      <c r="F542" s="20" t="str">
        <f t="shared" si="16"/>
        <v/>
      </c>
      <c r="G542" s="20" t="str">
        <f t="shared" si="17"/>
        <v/>
      </c>
    </row>
    <row r="543" spans="2:7" x14ac:dyDescent="0.2">
      <c r="B543" s="19" t="str">
        <f>IF('DDF Original'!B543="","",'DDF Original'!B543)</f>
        <v/>
      </c>
      <c r="C543" s="20" t="str">
        <f>IF('DDF Original'!C543="","",'DDF Original'!C543)</f>
        <v/>
      </c>
      <c r="D543" s="20" t="str">
        <f>IF('DDF Original'!F543="","",'DDF Original'!F543)</f>
        <v/>
      </c>
      <c r="E543" s="38" t="str">
        <f>'Recálculo Confissão (85-B)'!N543</f>
        <v/>
      </c>
      <c r="F543" s="20" t="str">
        <f t="shared" si="16"/>
        <v/>
      </c>
      <c r="G543" s="20" t="str">
        <f t="shared" si="17"/>
        <v/>
      </c>
    </row>
    <row r="544" spans="2:7" x14ac:dyDescent="0.2">
      <c r="B544" s="19" t="str">
        <f>IF('DDF Original'!B544="","",'DDF Original'!B544)</f>
        <v/>
      </c>
      <c r="C544" s="20" t="str">
        <f>IF('DDF Original'!C544="","",'DDF Original'!C544)</f>
        <v/>
      </c>
      <c r="D544" s="20" t="str">
        <f>IF('DDF Original'!F544="","",'DDF Original'!F544)</f>
        <v/>
      </c>
      <c r="E544" s="38" t="str">
        <f>'Recálculo Confissão (85-B)'!N544</f>
        <v/>
      </c>
      <c r="F544" s="20" t="str">
        <f t="shared" si="16"/>
        <v/>
      </c>
      <c r="G544" s="20" t="str">
        <f t="shared" si="17"/>
        <v/>
      </c>
    </row>
    <row r="545" spans="2:7" x14ac:dyDescent="0.2">
      <c r="B545" s="19" t="str">
        <f>IF('DDF Original'!B545="","",'DDF Original'!B545)</f>
        <v/>
      </c>
      <c r="C545" s="20" t="str">
        <f>IF('DDF Original'!C545="","",'DDF Original'!C545)</f>
        <v/>
      </c>
      <c r="D545" s="20" t="str">
        <f>IF('DDF Original'!F545="","",'DDF Original'!F545)</f>
        <v/>
      </c>
      <c r="E545" s="38" t="str">
        <f>'Recálculo Confissão (85-B)'!N545</f>
        <v/>
      </c>
      <c r="F545" s="20" t="str">
        <f t="shared" si="16"/>
        <v/>
      </c>
      <c r="G545" s="20" t="str">
        <f t="shared" si="17"/>
        <v/>
      </c>
    </row>
    <row r="546" spans="2:7" x14ac:dyDescent="0.2">
      <c r="B546" s="19" t="str">
        <f>IF('DDF Original'!B546="","",'DDF Original'!B546)</f>
        <v/>
      </c>
      <c r="C546" s="20" t="str">
        <f>IF('DDF Original'!C546="","",'DDF Original'!C546)</f>
        <v/>
      </c>
      <c r="D546" s="20" t="str">
        <f>IF('DDF Original'!F546="","",'DDF Original'!F546)</f>
        <v/>
      </c>
      <c r="E546" s="38" t="str">
        <f>'Recálculo Confissão (85-B)'!N546</f>
        <v/>
      </c>
      <c r="F546" s="20" t="str">
        <f t="shared" si="16"/>
        <v/>
      </c>
      <c r="G546" s="20" t="str">
        <f t="shared" si="17"/>
        <v/>
      </c>
    </row>
    <row r="547" spans="2:7" x14ac:dyDescent="0.2">
      <c r="B547" s="19" t="str">
        <f>IF('DDF Original'!B547="","",'DDF Original'!B547)</f>
        <v/>
      </c>
      <c r="C547" s="20" t="str">
        <f>IF('DDF Original'!C547="","",'DDF Original'!C547)</f>
        <v/>
      </c>
      <c r="D547" s="20" t="str">
        <f>IF('DDF Original'!F547="","",'DDF Original'!F547)</f>
        <v/>
      </c>
      <c r="E547" s="38" t="str">
        <f>'Recálculo Confissão (85-B)'!N547</f>
        <v/>
      </c>
      <c r="F547" s="20" t="str">
        <f t="shared" si="16"/>
        <v/>
      </c>
      <c r="G547" s="20" t="str">
        <f t="shared" si="17"/>
        <v/>
      </c>
    </row>
    <row r="548" spans="2:7" x14ac:dyDescent="0.2">
      <c r="B548" s="19" t="str">
        <f>IF('DDF Original'!B548="","",'DDF Original'!B548)</f>
        <v/>
      </c>
      <c r="C548" s="20" t="str">
        <f>IF('DDF Original'!C548="","",'DDF Original'!C548)</f>
        <v/>
      </c>
      <c r="D548" s="20" t="str">
        <f>IF('DDF Original'!F548="","",'DDF Original'!F548)</f>
        <v/>
      </c>
      <c r="E548" s="38" t="str">
        <f>'Recálculo Confissão (85-B)'!N548</f>
        <v/>
      </c>
      <c r="F548" s="20" t="str">
        <f t="shared" si="16"/>
        <v/>
      </c>
      <c r="G548" s="20" t="str">
        <f t="shared" si="17"/>
        <v/>
      </c>
    </row>
    <row r="549" spans="2:7" x14ac:dyDescent="0.2">
      <c r="B549" s="19" t="str">
        <f>IF('DDF Original'!B549="","",'DDF Original'!B549)</f>
        <v/>
      </c>
      <c r="C549" s="20" t="str">
        <f>IF('DDF Original'!C549="","",'DDF Original'!C549)</f>
        <v/>
      </c>
      <c r="D549" s="20" t="str">
        <f>IF('DDF Original'!F549="","",'DDF Original'!F549)</f>
        <v/>
      </c>
      <c r="E549" s="38" t="str">
        <f>'Recálculo Confissão (85-B)'!N549</f>
        <v/>
      </c>
      <c r="F549" s="20" t="str">
        <f t="shared" si="16"/>
        <v/>
      </c>
      <c r="G549" s="20" t="str">
        <f t="shared" si="17"/>
        <v/>
      </c>
    </row>
    <row r="550" spans="2:7" x14ac:dyDescent="0.2">
      <c r="B550" s="19" t="str">
        <f>IF('DDF Original'!B550="","",'DDF Original'!B550)</f>
        <v/>
      </c>
      <c r="C550" s="20" t="str">
        <f>IF('DDF Original'!C550="","",'DDF Original'!C550)</f>
        <v/>
      </c>
      <c r="D550" s="20" t="str">
        <f>IF('DDF Original'!F550="","",'DDF Original'!F550)</f>
        <v/>
      </c>
      <c r="E550" s="38" t="str">
        <f>'Recálculo Confissão (85-B)'!N550</f>
        <v/>
      </c>
      <c r="F550" s="20" t="str">
        <f t="shared" si="16"/>
        <v/>
      </c>
      <c r="G550" s="20" t="str">
        <f t="shared" si="17"/>
        <v/>
      </c>
    </row>
    <row r="551" spans="2:7" x14ac:dyDescent="0.2">
      <c r="B551" s="19" t="str">
        <f>IF('DDF Original'!B551="","",'DDF Original'!B551)</f>
        <v/>
      </c>
      <c r="C551" s="20" t="str">
        <f>IF('DDF Original'!C551="","",'DDF Original'!C551)</f>
        <v/>
      </c>
      <c r="D551" s="20" t="str">
        <f>IF('DDF Original'!F551="","",'DDF Original'!F551)</f>
        <v/>
      </c>
      <c r="E551" s="38" t="str">
        <f>'Recálculo Confissão (85-B)'!N551</f>
        <v/>
      </c>
      <c r="F551" s="20" t="str">
        <f t="shared" si="16"/>
        <v/>
      </c>
      <c r="G551" s="20" t="str">
        <f t="shared" si="17"/>
        <v/>
      </c>
    </row>
    <row r="552" spans="2:7" x14ac:dyDescent="0.2">
      <c r="B552" s="19" t="str">
        <f>IF('DDF Original'!B552="","",'DDF Original'!B552)</f>
        <v/>
      </c>
      <c r="C552" s="20" t="str">
        <f>IF('DDF Original'!C552="","",'DDF Original'!C552)</f>
        <v/>
      </c>
      <c r="D552" s="20" t="str">
        <f>IF('DDF Original'!F552="","",'DDF Original'!F552)</f>
        <v/>
      </c>
      <c r="E552" s="38" t="str">
        <f>'Recálculo Confissão (85-B)'!N552</f>
        <v/>
      </c>
      <c r="F552" s="20" t="str">
        <f t="shared" si="16"/>
        <v/>
      </c>
      <c r="G552" s="20" t="str">
        <f t="shared" si="17"/>
        <v/>
      </c>
    </row>
    <row r="553" spans="2:7" x14ac:dyDescent="0.2">
      <c r="B553" s="19" t="str">
        <f>IF('DDF Original'!B553="","",'DDF Original'!B553)</f>
        <v/>
      </c>
      <c r="C553" s="20" t="str">
        <f>IF('DDF Original'!C553="","",'DDF Original'!C553)</f>
        <v/>
      </c>
      <c r="D553" s="20" t="str">
        <f>IF('DDF Original'!F553="","",'DDF Original'!F553)</f>
        <v/>
      </c>
      <c r="E553" s="38" t="str">
        <f>'Recálculo Confissão (85-B)'!N553</f>
        <v/>
      </c>
      <c r="F553" s="20" t="str">
        <f t="shared" si="16"/>
        <v/>
      </c>
      <c r="G553" s="20" t="str">
        <f t="shared" si="17"/>
        <v/>
      </c>
    </row>
    <row r="554" spans="2:7" x14ac:dyDescent="0.2">
      <c r="B554" s="19" t="str">
        <f>IF('DDF Original'!B554="","",'DDF Original'!B554)</f>
        <v/>
      </c>
      <c r="C554" s="20" t="str">
        <f>IF('DDF Original'!C554="","",'DDF Original'!C554)</f>
        <v/>
      </c>
      <c r="D554" s="20" t="str">
        <f>IF('DDF Original'!F554="","",'DDF Original'!F554)</f>
        <v/>
      </c>
      <c r="E554" s="38" t="str">
        <f>'Recálculo Confissão (85-B)'!N554</f>
        <v/>
      </c>
      <c r="F554" s="20" t="str">
        <f t="shared" si="16"/>
        <v/>
      </c>
      <c r="G554" s="20" t="str">
        <f t="shared" si="17"/>
        <v/>
      </c>
    </row>
    <row r="555" spans="2:7" x14ac:dyDescent="0.2">
      <c r="B555" s="19" t="str">
        <f>IF('DDF Original'!B555="","",'DDF Original'!B555)</f>
        <v/>
      </c>
      <c r="C555" s="20" t="str">
        <f>IF('DDF Original'!C555="","",'DDF Original'!C555)</f>
        <v/>
      </c>
      <c r="D555" s="20" t="str">
        <f>IF('DDF Original'!F555="","",'DDF Original'!F555)</f>
        <v/>
      </c>
      <c r="E555" s="38" t="str">
        <f>'Recálculo Confissão (85-B)'!N555</f>
        <v/>
      </c>
      <c r="F555" s="20" t="str">
        <f t="shared" si="16"/>
        <v/>
      </c>
      <c r="G555" s="20" t="str">
        <f t="shared" si="17"/>
        <v/>
      </c>
    </row>
    <row r="556" spans="2:7" x14ac:dyDescent="0.2">
      <c r="B556" s="19" t="str">
        <f>IF('DDF Original'!B556="","",'DDF Original'!B556)</f>
        <v/>
      </c>
      <c r="C556" s="20" t="str">
        <f>IF('DDF Original'!C556="","",'DDF Original'!C556)</f>
        <v/>
      </c>
      <c r="D556" s="20" t="str">
        <f>IF('DDF Original'!F556="","",'DDF Original'!F556)</f>
        <v/>
      </c>
      <c r="E556" s="38" t="str">
        <f>'Recálculo Confissão (85-B)'!N556</f>
        <v/>
      </c>
      <c r="F556" s="20" t="str">
        <f t="shared" si="16"/>
        <v/>
      </c>
      <c r="G556" s="20" t="str">
        <f t="shared" si="17"/>
        <v/>
      </c>
    </row>
    <row r="557" spans="2:7" x14ac:dyDescent="0.2">
      <c r="B557" s="19" t="str">
        <f>IF('DDF Original'!B557="","",'DDF Original'!B557)</f>
        <v/>
      </c>
      <c r="C557" s="20" t="str">
        <f>IF('DDF Original'!C557="","",'DDF Original'!C557)</f>
        <v/>
      </c>
      <c r="D557" s="20" t="str">
        <f>IF('DDF Original'!F557="","",'DDF Original'!F557)</f>
        <v/>
      </c>
      <c r="E557" s="38" t="str">
        <f>'Recálculo Confissão (85-B)'!N557</f>
        <v/>
      </c>
      <c r="F557" s="20" t="str">
        <f t="shared" si="16"/>
        <v/>
      </c>
      <c r="G557" s="20" t="str">
        <f t="shared" si="17"/>
        <v/>
      </c>
    </row>
    <row r="558" spans="2:7" x14ac:dyDescent="0.2">
      <c r="B558" s="19" t="str">
        <f>IF('DDF Original'!B558="","",'DDF Original'!B558)</f>
        <v/>
      </c>
      <c r="C558" s="20" t="str">
        <f>IF('DDF Original'!C558="","",'DDF Original'!C558)</f>
        <v/>
      </c>
      <c r="D558" s="20" t="str">
        <f>IF('DDF Original'!F558="","",'DDF Original'!F558)</f>
        <v/>
      </c>
      <c r="E558" s="38" t="str">
        <f>'Recálculo Confissão (85-B)'!N558</f>
        <v/>
      </c>
      <c r="F558" s="20" t="str">
        <f t="shared" si="16"/>
        <v/>
      </c>
      <c r="G558" s="20" t="str">
        <f t="shared" si="17"/>
        <v/>
      </c>
    </row>
    <row r="559" spans="2:7" x14ac:dyDescent="0.2">
      <c r="B559" s="19" t="str">
        <f>IF('DDF Original'!B559="","",'DDF Original'!B559)</f>
        <v/>
      </c>
      <c r="C559" s="20" t="str">
        <f>IF('DDF Original'!C559="","",'DDF Original'!C559)</f>
        <v/>
      </c>
      <c r="D559" s="20" t="str">
        <f>IF('DDF Original'!F559="","",'DDF Original'!F559)</f>
        <v/>
      </c>
      <c r="E559" s="38" t="str">
        <f>'Recálculo Confissão (85-B)'!N559</f>
        <v/>
      </c>
      <c r="F559" s="20" t="str">
        <f t="shared" si="16"/>
        <v/>
      </c>
      <c r="G559" s="20" t="str">
        <f t="shared" si="17"/>
        <v/>
      </c>
    </row>
    <row r="560" spans="2:7" x14ac:dyDescent="0.2">
      <c r="B560" s="19" t="str">
        <f>IF('DDF Original'!B560="","",'DDF Original'!B560)</f>
        <v/>
      </c>
      <c r="C560" s="20" t="str">
        <f>IF('DDF Original'!C560="","",'DDF Original'!C560)</f>
        <v/>
      </c>
      <c r="D560" s="20" t="str">
        <f>IF('DDF Original'!F560="","",'DDF Original'!F560)</f>
        <v/>
      </c>
      <c r="E560" s="38" t="str">
        <f>'Recálculo Confissão (85-B)'!N560</f>
        <v/>
      </c>
      <c r="F560" s="20" t="str">
        <f t="shared" si="16"/>
        <v/>
      </c>
      <c r="G560" s="20" t="str">
        <f t="shared" si="17"/>
        <v/>
      </c>
    </row>
    <row r="561" spans="2:7" x14ac:dyDescent="0.2">
      <c r="B561" s="19" t="str">
        <f>IF('DDF Original'!B561="","",'DDF Original'!B561)</f>
        <v/>
      </c>
      <c r="C561" s="20" t="str">
        <f>IF('DDF Original'!C561="","",'DDF Original'!C561)</f>
        <v/>
      </c>
      <c r="D561" s="20" t="str">
        <f>IF('DDF Original'!F561="","",'DDF Original'!F561)</f>
        <v/>
      </c>
      <c r="E561" s="38" t="str">
        <f>'Recálculo Confissão (85-B)'!N561</f>
        <v/>
      </c>
      <c r="F561" s="20" t="str">
        <f t="shared" si="16"/>
        <v/>
      </c>
      <c r="G561" s="20" t="str">
        <f t="shared" si="17"/>
        <v/>
      </c>
    </row>
    <row r="562" spans="2:7" x14ac:dyDescent="0.2">
      <c r="B562" s="19" t="str">
        <f>IF('DDF Original'!B562="","",'DDF Original'!B562)</f>
        <v/>
      </c>
      <c r="C562" s="20" t="str">
        <f>IF('DDF Original'!C562="","",'DDF Original'!C562)</f>
        <v/>
      </c>
      <c r="D562" s="20" t="str">
        <f>IF('DDF Original'!F562="","",'DDF Original'!F562)</f>
        <v/>
      </c>
      <c r="E562" s="38" t="str">
        <f>'Recálculo Confissão (85-B)'!N562</f>
        <v/>
      </c>
      <c r="F562" s="20" t="str">
        <f t="shared" si="16"/>
        <v/>
      </c>
      <c r="G562" s="20" t="str">
        <f t="shared" si="17"/>
        <v/>
      </c>
    </row>
    <row r="563" spans="2:7" x14ac:dyDescent="0.2">
      <c r="B563" s="19" t="str">
        <f>IF('DDF Original'!B563="","",'DDF Original'!B563)</f>
        <v/>
      </c>
      <c r="C563" s="20" t="str">
        <f>IF('DDF Original'!C563="","",'DDF Original'!C563)</f>
        <v/>
      </c>
      <c r="D563" s="20" t="str">
        <f>IF('DDF Original'!F563="","",'DDF Original'!F563)</f>
        <v/>
      </c>
      <c r="E563" s="38" t="str">
        <f>'Recálculo Confissão (85-B)'!N563</f>
        <v/>
      </c>
      <c r="F563" s="20" t="str">
        <f t="shared" si="16"/>
        <v/>
      </c>
      <c r="G563" s="20" t="str">
        <f t="shared" si="17"/>
        <v/>
      </c>
    </row>
    <row r="564" spans="2:7" x14ac:dyDescent="0.2">
      <c r="B564" s="19" t="str">
        <f>IF('DDF Original'!B564="","",'DDF Original'!B564)</f>
        <v/>
      </c>
      <c r="C564" s="20" t="str">
        <f>IF('DDF Original'!C564="","",'DDF Original'!C564)</f>
        <v/>
      </c>
      <c r="D564" s="20" t="str">
        <f>IF('DDF Original'!F564="","",'DDF Original'!F564)</f>
        <v/>
      </c>
      <c r="E564" s="38" t="str">
        <f>'Recálculo Confissão (85-B)'!N564</f>
        <v/>
      </c>
      <c r="F564" s="20" t="str">
        <f t="shared" si="16"/>
        <v/>
      </c>
      <c r="G564" s="20" t="str">
        <f t="shared" si="17"/>
        <v/>
      </c>
    </row>
    <row r="565" spans="2:7" x14ac:dyDescent="0.2">
      <c r="B565" s="19" t="str">
        <f>IF('DDF Original'!B565="","",'DDF Original'!B565)</f>
        <v/>
      </c>
      <c r="C565" s="20" t="str">
        <f>IF('DDF Original'!C565="","",'DDF Original'!C565)</f>
        <v/>
      </c>
      <c r="D565" s="20" t="str">
        <f>IF('DDF Original'!F565="","",'DDF Original'!F565)</f>
        <v/>
      </c>
      <c r="E565" s="38" t="str">
        <f>'Recálculo Confissão (85-B)'!N565</f>
        <v/>
      </c>
      <c r="F565" s="20" t="str">
        <f t="shared" si="16"/>
        <v/>
      </c>
      <c r="G565" s="20" t="str">
        <f t="shared" si="17"/>
        <v/>
      </c>
    </row>
    <row r="566" spans="2:7" x14ac:dyDescent="0.2">
      <c r="B566" s="19" t="str">
        <f>IF('DDF Original'!B566="","",'DDF Original'!B566)</f>
        <v/>
      </c>
      <c r="C566" s="20" t="str">
        <f>IF('DDF Original'!C566="","",'DDF Original'!C566)</f>
        <v/>
      </c>
      <c r="D566" s="20" t="str">
        <f>IF('DDF Original'!F566="","",'DDF Original'!F566)</f>
        <v/>
      </c>
      <c r="E566" s="38" t="str">
        <f>'Recálculo Confissão (85-B)'!N566</f>
        <v/>
      </c>
      <c r="F566" s="20" t="str">
        <f t="shared" si="16"/>
        <v/>
      </c>
      <c r="G566" s="20" t="str">
        <f t="shared" si="17"/>
        <v/>
      </c>
    </row>
    <row r="567" spans="2:7" x14ac:dyDescent="0.2">
      <c r="B567" s="19" t="str">
        <f>IF('DDF Original'!B567="","",'DDF Original'!B567)</f>
        <v/>
      </c>
      <c r="C567" s="20" t="str">
        <f>IF('DDF Original'!C567="","",'DDF Original'!C567)</f>
        <v/>
      </c>
      <c r="D567" s="20" t="str">
        <f>IF('DDF Original'!F567="","",'DDF Original'!F567)</f>
        <v/>
      </c>
      <c r="E567" s="38" t="str">
        <f>'Recálculo Confissão (85-B)'!N567</f>
        <v/>
      </c>
      <c r="F567" s="20" t="str">
        <f t="shared" si="16"/>
        <v/>
      </c>
      <c r="G567" s="20" t="str">
        <f t="shared" si="17"/>
        <v/>
      </c>
    </row>
    <row r="568" spans="2:7" x14ac:dyDescent="0.2">
      <c r="B568" s="19" t="str">
        <f>IF('DDF Original'!B568="","",'DDF Original'!B568)</f>
        <v/>
      </c>
      <c r="C568" s="20" t="str">
        <f>IF('DDF Original'!C568="","",'DDF Original'!C568)</f>
        <v/>
      </c>
      <c r="D568" s="20" t="str">
        <f>IF('DDF Original'!F568="","",'DDF Original'!F568)</f>
        <v/>
      </c>
      <c r="E568" s="38" t="str">
        <f>'Recálculo Confissão (85-B)'!N568</f>
        <v/>
      </c>
      <c r="F568" s="20" t="str">
        <f t="shared" si="16"/>
        <v/>
      </c>
      <c r="G568" s="20" t="str">
        <f t="shared" si="17"/>
        <v/>
      </c>
    </row>
    <row r="569" spans="2:7" x14ac:dyDescent="0.2">
      <c r="B569" s="19" t="str">
        <f>IF('DDF Original'!B569="","",'DDF Original'!B569)</f>
        <v/>
      </c>
      <c r="C569" s="20" t="str">
        <f>IF('DDF Original'!C569="","",'DDF Original'!C569)</f>
        <v/>
      </c>
      <c r="D569" s="20" t="str">
        <f>IF('DDF Original'!F569="","",'DDF Original'!F569)</f>
        <v/>
      </c>
      <c r="E569" s="38" t="str">
        <f>'Recálculo Confissão (85-B)'!N569</f>
        <v/>
      </c>
      <c r="F569" s="20" t="str">
        <f t="shared" si="16"/>
        <v/>
      </c>
      <c r="G569" s="20" t="str">
        <f t="shared" si="17"/>
        <v/>
      </c>
    </row>
    <row r="570" spans="2:7" x14ac:dyDescent="0.2">
      <c r="B570" s="19" t="str">
        <f>IF('DDF Original'!B570="","",'DDF Original'!B570)</f>
        <v/>
      </c>
      <c r="C570" s="20" t="str">
        <f>IF('DDF Original'!C570="","",'DDF Original'!C570)</f>
        <v/>
      </c>
      <c r="D570" s="20" t="str">
        <f>IF('DDF Original'!F570="","",'DDF Original'!F570)</f>
        <v/>
      </c>
      <c r="E570" s="38" t="str">
        <f>'Recálculo Confissão (85-B)'!N570</f>
        <v/>
      </c>
      <c r="F570" s="20" t="str">
        <f t="shared" si="16"/>
        <v/>
      </c>
      <c r="G570" s="20" t="str">
        <f t="shared" si="17"/>
        <v/>
      </c>
    </row>
    <row r="571" spans="2:7" x14ac:dyDescent="0.2">
      <c r="B571" s="19" t="str">
        <f>IF('DDF Original'!B571="","",'DDF Original'!B571)</f>
        <v/>
      </c>
      <c r="C571" s="20" t="str">
        <f>IF('DDF Original'!C571="","",'DDF Original'!C571)</f>
        <v/>
      </c>
      <c r="D571" s="20" t="str">
        <f>IF('DDF Original'!F571="","",'DDF Original'!F571)</f>
        <v/>
      </c>
      <c r="E571" s="38" t="str">
        <f>'Recálculo Confissão (85-B)'!N571</f>
        <v/>
      </c>
      <c r="F571" s="20" t="str">
        <f t="shared" si="16"/>
        <v/>
      </c>
      <c r="G571" s="20" t="str">
        <f t="shared" si="17"/>
        <v/>
      </c>
    </row>
    <row r="572" spans="2:7" x14ac:dyDescent="0.2">
      <c r="B572" s="19" t="str">
        <f>IF('DDF Original'!B572="","",'DDF Original'!B572)</f>
        <v/>
      </c>
      <c r="C572" s="20" t="str">
        <f>IF('DDF Original'!C572="","",'DDF Original'!C572)</f>
        <v/>
      </c>
      <c r="D572" s="20" t="str">
        <f>IF('DDF Original'!F572="","",'DDF Original'!F572)</f>
        <v/>
      </c>
      <c r="E572" s="38" t="str">
        <f>'Recálculo Confissão (85-B)'!N572</f>
        <v/>
      </c>
      <c r="F572" s="20" t="str">
        <f t="shared" si="16"/>
        <v/>
      </c>
      <c r="G572" s="20" t="str">
        <f t="shared" si="17"/>
        <v/>
      </c>
    </row>
    <row r="573" spans="2:7" x14ac:dyDescent="0.2">
      <c r="B573" s="19" t="str">
        <f>IF('DDF Original'!B573="","",'DDF Original'!B573)</f>
        <v/>
      </c>
      <c r="C573" s="20" t="str">
        <f>IF('DDF Original'!C573="","",'DDF Original'!C573)</f>
        <v/>
      </c>
      <c r="D573" s="20" t="str">
        <f>IF('DDF Original'!F573="","",'DDF Original'!F573)</f>
        <v/>
      </c>
      <c r="E573" s="38" t="str">
        <f>'Recálculo Confissão (85-B)'!N573</f>
        <v/>
      </c>
      <c r="F573" s="20" t="str">
        <f t="shared" ref="F573:F636" si="18">IF(E573="","",ROUND(E573*(1-70%),2))</f>
        <v/>
      </c>
      <c r="G573" s="20" t="str">
        <f t="shared" ref="G573:G636" si="19">IF(E573="","",ROUND(E573*(1-60%),2))</f>
        <v/>
      </c>
    </row>
    <row r="574" spans="2:7" x14ac:dyDescent="0.2">
      <c r="B574" s="19" t="str">
        <f>IF('DDF Original'!B574="","",'DDF Original'!B574)</f>
        <v/>
      </c>
      <c r="C574" s="20" t="str">
        <f>IF('DDF Original'!C574="","",'DDF Original'!C574)</f>
        <v/>
      </c>
      <c r="D574" s="20" t="str">
        <f>IF('DDF Original'!F574="","",'DDF Original'!F574)</f>
        <v/>
      </c>
      <c r="E574" s="38" t="str">
        <f>'Recálculo Confissão (85-B)'!N574</f>
        <v/>
      </c>
      <c r="F574" s="20" t="str">
        <f t="shared" si="18"/>
        <v/>
      </c>
      <c r="G574" s="20" t="str">
        <f t="shared" si="19"/>
        <v/>
      </c>
    </row>
    <row r="575" spans="2:7" x14ac:dyDescent="0.2">
      <c r="B575" s="19" t="str">
        <f>IF('DDF Original'!B575="","",'DDF Original'!B575)</f>
        <v/>
      </c>
      <c r="C575" s="20" t="str">
        <f>IF('DDF Original'!C575="","",'DDF Original'!C575)</f>
        <v/>
      </c>
      <c r="D575" s="20" t="str">
        <f>IF('DDF Original'!F575="","",'DDF Original'!F575)</f>
        <v/>
      </c>
      <c r="E575" s="38" t="str">
        <f>'Recálculo Confissão (85-B)'!N575</f>
        <v/>
      </c>
      <c r="F575" s="20" t="str">
        <f t="shared" si="18"/>
        <v/>
      </c>
      <c r="G575" s="20" t="str">
        <f t="shared" si="19"/>
        <v/>
      </c>
    </row>
    <row r="576" spans="2:7" x14ac:dyDescent="0.2">
      <c r="B576" s="19" t="str">
        <f>IF('DDF Original'!B576="","",'DDF Original'!B576)</f>
        <v/>
      </c>
      <c r="C576" s="20" t="str">
        <f>IF('DDF Original'!C576="","",'DDF Original'!C576)</f>
        <v/>
      </c>
      <c r="D576" s="20" t="str">
        <f>IF('DDF Original'!F576="","",'DDF Original'!F576)</f>
        <v/>
      </c>
      <c r="E576" s="38" t="str">
        <f>'Recálculo Confissão (85-B)'!N576</f>
        <v/>
      </c>
      <c r="F576" s="20" t="str">
        <f t="shared" si="18"/>
        <v/>
      </c>
      <c r="G576" s="20" t="str">
        <f t="shared" si="19"/>
        <v/>
      </c>
    </row>
    <row r="577" spans="2:7" x14ac:dyDescent="0.2">
      <c r="B577" s="19" t="str">
        <f>IF('DDF Original'!B577="","",'DDF Original'!B577)</f>
        <v/>
      </c>
      <c r="C577" s="20" t="str">
        <f>IF('DDF Original'!C577="","",'DDF Original'!C577)</f>
        <v/>
      </c>
      <c r="D577" s="20" t="str">
        <f>IF('DDF Original'!F577="","",'DDF Original'!F577)</f>
        <v/>
      </c>
      <c r="E577" s="38" t="str">
        <f>'Recálculo Confissão (85-B)'!N577</f>
        <v/>
      </c>
      <c r="F577" s="20" t="str">
        <f t="shared" si="18"/>
        <v/>
      </c>
      <c r="G577" s="20" t="str">
        <f t="shared" si="19"/>
        <v/>
      </c>
    </row>
    <row r="578" spans="2:7" x14ac:dyDescent="0.2">
      <c r="B578" s="19" t="str">
        <f>IF('DDF Original'!B578="","",'DDF Original'!B578)</f>
        <v/>
      </c>
      <c r="C578" s="20" t="str">
        <f>IF('DDF Original'!C578="","",'DDF Original'!C578)</f>
        <v/>
      </c>
      <c r="D578" s="20" t="str">
        <f>IF('DDF Original'!F578="","",'DDF Original'!F578)</f>
        <v/>
      </c>
      <c r="E578" s="38" t="str">
        <f>'Recálculo Confissão (85-B)'!N578</f>
        <v/>
      </c>
      <c r="F578" s="20" t="str">
        <f t="shared" si="18"/>
        <v/>
      </c>
      <c r="G578" s="20" t="str">
        <f t="shared" si="19"/>
        <v/>
      </c>
    </row>
    <row r="579" spans="2:7" x14ac:dyDescent="0.2">
      <c r="B579" s="19" t="str">
        <f>IF('DDF Original'!B579="","",'DDF Original'!B579)</f>
        <v/>
      </c>
      <c r="C579" s="20" t="str">
        <f>IF('DDF Original'!C579="","",'DDF Original'!C579)</f>
        <v/>
      </c>
      <c r="D579" s="20" t="str">
        <f>IF('DDF Original'!F579="","",'DDF Original'!F579)</f>
        <v/>
      </c>
      <c r="E579" s="38" t="str">
        <f>'Recálculo Confissão (85-B)'!N579</f>
        <v/>
      </c>
      <c r="F579" s="20" t="str">
        <f t="shared" si="18"/>
        <v/>
      </c>
      <c r="G579" s="20" t="str">
        <f t="shared" si="19"/>
        <v/>
      </c>
    </row>
    <row r="580" spans="2:7" x14ac:dyDescent="0.2">
      <c r="B580" s="19" t="str">
        <f>IF('DDF Original'!B580="","",'DDF Original'!B580)</f>
        <v/>
      </c>
      <c r="C580" s="20" t="str">
        <f>IF('DDF Original'!C580="","",'DDF Original'!C580)</f>
        <v/>
      </c>
      <c r="D580" s="20" t="str">
        <f>IF('DDF Original'!F580="","",'DDF Original'!F580)</f>
        <v/>
      </c>
      <c r="E580" s="38" t="str">
        <f>'Recálculo Confissão (85-B)'!N580</f>
        <v/>
      </c>
      <c r="F580" s="20" t="str">
        <f t="shared" si="18"/>
        <v/>
      </c>
      <c r="G580" s="20" t="str">
        <f t="shared" si="19"/>
        <v/>
      </c>
    </row>
    <row r="581" spans="2:7" x14ac:dyDescent="0.2">
      <c r="B581" s="19" t="str">
        <f>IF('DDF Original'!B581="","",'DDF Original'!B581)</f>
        <v/>
      </c>
      <c r="C581" s="20" t="str">
        <f>IF('DDF Original'!C581="","",'DDF Original'!C581)</f>
        <v/>
      </c>
      <c r="D581" s="20" t="str">
        <f>IF('DDF Original'!F581="","",'DDF Original'!F581)</f>
        <v/>
      </c>
      <c r="E581" s="38" t="str">
        <f>'Recálculo Confissão (85-B)'!N581</f>
        <v/>
      </c>
      <c r="F581" s="20" t="str">
        <f t="shared" si="18"/>
        <v/>
      </c>
      <c r="G581" s="20" t="str">
        <f t="shared" si="19"/>
        <v/>
      </c>
    </row>
    <row r="582" spans="2:7" x14ac:dyDescent="0.2">
      <c r="B582" s="19" t="str">
        <f>IF('DDF Original'!B582="","",'DDF Original'!B582)</f>
        <v/>
      </c>
      <c r="C582" s="20" t="str">
        <f>IF('DDF Original'!C582="","",'DDF Original'!C582)</f>
        <v/>
      </c>
      <c r="D582" s="20" t="str">
        <f>IF('DDF Original'!F582="","",'DDF Original'!F582)</f>
        <v/>
      </c>
      <c r="E582" s="38" t="str">
        <f>'Recálculo Confissão (85-B)'!N582</f>
        <v/>
      </c>
      <c r="F582" s="20" t="str">
        <f t="shared" si="18"/>
        <v/>
      </c>
      <c r="G582" s="20" t="str">
        <f t="shared" si="19"/>
        <v/>
      </c>
    </row>
    <row r="583" spans="2:7" x14ac:dyDescent="0.2">
      <c r="B583" s="19" t="str">
        <f>IF('DDF Original'!B583="","",'DDF Original'!B583)</f>
        <v/>
      </c>
      <c r="C583" s="20" t="str">
        <f>IF('DDF Original'!C583="","",'DDF Original'!C583)</f>
        <v/>
      </c>
      <c r="D583" s="20" t="str">
        <f>IF('DDF Original'!F583="","",'DDF Original'!F583)</f>
        <v/>
      </c>
      <c r="E583" s="38" t="str">
        <f>'Recálculo Confissão (85-B)'!N583</f>
        <v/>
      </c>
      <c r="F583" s="20" t="str">
        <f t="shared" si="18"/>
        <v/>
      </c>
      <c r="G583" s="20" t="str">
        <f t="shared" si="19"/>
        <v/>
      </c>
    </row>
    <row r="584" spans="2:7" x14ac:dyDescent="0.2">
      <c r="B584" s="19" t="str">
        <f>IF('DDF Original'!B584="","",'DDF Original'!B584)</f>
        <v/>
      </c>
      <c r="C584" s="20" t="str">
        <f>IF('DDF Original'!C584="","",'DDF Original'!C584)</f>
        <v/>
      </c>
      <c r="D584" s="20" t="str">
        <f>IF('DDF Original'!F584="","",'DDF Original'!F584)</f>
        <v/>
      </c>
      <c r="E584" s="38" t="str">
        <f>'Recálculo Confissão (85-B)'!N584</f>
        <v/>
      </c>
      <c r="F584" s="20" t="str">
        <f t="shared" si="18"/>
        <v/>
      </c>
      <c r="G584" s="20" t="str">
        <f t="shared" si="19"/>
        <v/>
      </c>
    </row>
    <row r="585" spans="2:7" x14ac:dyDescent="0.2">
      <c r="B585" s="19" t="str">
        <f>IF('DDF Original'!B585="","",'DDF Original'!B585)</f>
        <v/>
      </c>
      <c r="C585" s="20" t="str">
        <f>IF('DDF Original'!C585="","",'DDF Original'!C585)</f>
        <v/>
      </c>
      <c r="D585" s="20" t="str">
        <f>IF('DDF Original'!F585="","",'DDF Original'!F585)</f>
        <v/>
      </c>
      <c r="E585" s="38" t="str">
        <f>'Recálculo Confissão (85-B)'!N585</f>
        <v/>
      </c>
      <c r="F585" s="20" t="str">
        <f t="shared" si="18"/>
        <v/>
      </c>
      <c r="G585" s="20" t="str">
        <f t="shared" si="19"/>
        <v/>
      </c>
    </row>
    <row r="586" spans="2:7" x14ac:dyDescent="0.2">
      <c r="B586" s="19" t="str">
        <f>IF('DDF Original'!B586="","",'DDF Original'!B586)</f>
        <v/>
      </c>
      <c r="C586" s="20" t="str">
        <f>IF('DDF Original'!C586="","",'DDF Original'!C586)</f>
        <v/>
      </c>
      <c r="D586" s="20" t="str">
        <f>IF('DDF Original'!F586="","",'DDF Original'!F586)</f>
        <v/>
      </c>
      <c r="E586" s="38" t="str">
        <f>'Recálculo Confissão (85-B)'!N586</f>
        <v/>
      </c>
      <c r="F586" s="20" t="str">
        <f t="shared" si="18"/>
        <v/>
      </c>
      <c r="G586" s="20" t="str">
        <f t="shared" si="19"/>
        <v/>
      </c>
    </row>
    <row r="587" spans="2:7" x14ac:dyDescent="0.2">
      <c r="B587" s="19" t="str">
        <f>IF('DDF Original'!B587="","",'DDF Original'!B587)</f>
        <v/>
      </c>
      <c r="C587" s="20" t="str">
        <f>IF('DDF Original'!C587="","",'DDF Original'!C587)</f>
        <v/>
      </c>
      <c r="D587" s="20" t="str">
        <f>IF('DDF Original'!F587="","",'DDF Original'!F587)</f>
        <v/>
      </c>
      <c r="E587" s="38" t="str">
        <f>'Recálculo Confissão (85-B)'!N587</f>
        <v/>
      </c>
      <c r="F587" s="20" t="str">
        <f t="shared" si="18"/>
        <v/>
      </c>
      <c r="G587" s="20" t="str">
        <f t="shared" si="19"/>
        <v/>
      </c>
    </row>
    <row r="588" spans="2:7" x14ac:dyDescent="0.2">
      <c r="B588" s="19" t="str">
        <f>IF('DDF Original'!B588="","",'DDF Original'!B588)</f>
        <v/>
      </c>
      <c r="C588" s="20" t="str">
        <f>IF('DDF Original'!C588="","",'DDF Original'!C588)</f>
        <v/>
      </c>
      <c r="D588" s="20" t="str">
        <f>IF('DDF Original'!F588="","",'DDF Original'!F588)</f>
        <v/>
      </c>
      <c r="E588" s="38" t="str">
        <f>'Recálculo Confissão (85-B)'!N588</f>
        <v/>
      </c>
      <c r="F588" s="20" t="str">
        <f t="shared" si="18"/>
        <v/>
      </c>
      <c r="G588" s="20" t="str">
        <f t="shared" si="19"/>
        <v/>
      </c>
    </row>
    <row r="589" spans="2:7" x14ac:dyDescent="0.2">
      <c r="B589" s="19" t="str">
        <f>IF('DDF Original'!B589="","",'DDF Original'!B589)</f>
        <v/>
      </c>
      <c r="C589" s="20" t="str">
        <f>IF('DDF Original'!C589="","",'DDF Original'!C589)</f>
        <v/>
      </c>
      <c r="D589" s="20" t="str">
        <f>IF('DDF Original'!F589="","",'DDF Original'!F589)</f>
        <v/>
      </c>
      <c r="E589" s="38" t="str">
        <f>'Recálculo Confissão (85-B)'!N589</f>
        <v/>
      </c>
      <c r="F589" s="20" t="str">
        <f t="shared" si="18"/>
        <v/>
      </c>
      <c r="G589" s="20" t="str">
        <f t="shared" si="19"/>
        <v/>
      </c>
    </row>
    <row r="590" spans="2:7" x14ac:dyDescent="0.2">
      <c r="B590" s="19" t="str">
        <f>IF('DDF Original'!B590="","",'DDF Original'!B590)</f>
        <v/>
      </c>
      <c r="C590" s="20" t="str">
        <f>IF('DDF Original'!C590="","",'DDF Original'!C590)</f>
        <v/>
      </c>
      <c r="D590" s="20" t="str">
        <f>IF('DDF Original'!F590="","",'DDF Original'!F590)</f>
        <v/>
      </c>
      <c r="E590" s="38" t="str">
        <f>'Recálculo Confissão (85-B)'!N590</f>
        <v/>
      </c>
      <c r="F590" s="20" t="str">
        <f t="shared" si="18"/>
        <v/>
      </c>
      <c r="G590" s="20" t="str">
        <f t="shared" si="19"/>
        <v/>
      </c>
    </row>
    <row r="591" spans="2:7" x14ac:dyDescent="0.2">
      <c r="B591" s="19" t="str">
        <f>IF('DDF Original'!B591="","",'DDF Original'!B591)</f>
        <v/>
      </c>
      <c r="C591" s="20" t="str">
        <f>IF('DDF Original'!C591="","",'DDF Original'!C591)</f>
        <v/>
      </c>
      <c r="D591" s="20" t="str">
        <f>IF('DDF Original'!F591="","",'DDF Original'!F591)</f>
        <v/>
      </c>
      <c r="E591" s="38" t="str">
        <f>'Recálculo Confissão (85-B)'!N591</f>
        <v/>
      </c>
      <c r="F591" s="20" t="str">
        <f t="shared" si="18"/>
        <v/>
      </c>
      <c r="G591" s="20" t="str">
        <f t="shared" si="19"/>
        <v/>
      </c>
    </row>
    <row r="592" spans="2:7" x14ac:dyDescent="0.2">
      <c r="B592" s="19" t="str">
        <f>IF('DDF Original'!B592="","",'DDF Original'!B592)</f>
        <v/>
      </c>
      <c r="C592" s="20" t="str">
        <f>IF('DDF Original'!C592="","",'DDF Original'!C592)</f>
        <v/>
      </c>
      <c r="D592" s="20" t="str">
        <f>IF('DDF Original'!F592="","",'DDF Original'!F592)</f>
        <v/>
      </c>
      <c r="E592" s="38" t="str">
        <f>'Recálculo Confissão (85-B)'!N592</f>
        <v/>
      </c>
      <c r="F592" s="20" t="str">
        <f t="shared" si="18"/>
        <v/>
      </c>
      <c r="G592" s="20" t="str">
        <f t="shared" si="19"/>
        <v/>
      </c>
    </row>
    <row r="593" spans="2:7" x14ac:dyDescent="0.2">
      <c r="B593" s="19" t="str">
        <f>IF('DDF Original'!B593="","",'DDF Original'!B593)</f>
        <v/>
      </c>
      <c r="C593" s="20" t="str">
        <f>IF('DDF Original'!C593="","",'DDF Original'!C593)</f>
        <v/>
      </c>
      <c r="D593" s="20" t="str">
        <f>IF('DDF Original'!F593="","",'DDF Original'!F593)</f>
        <v/>
      </c>
      <c r="E593" s="38" t="str">
        <f>'Recálculo Confissão (85-B)'!N593</f>
        <v/>
      </c>
      <c r="F593" s="20" t="str">
        <f t="shared" si="18"/>
        <v/>
      </c>
      <c r="G593" s="20" t="str">
        <f t="shared" si="19"/>
        <v/>
      </c>
    </row>
    <row r="594" spans="2:7" x14ac:dyDescent="0.2">
      <c r="B594" s="19" t="str">
        <f>IF('DDF Original'!B594="","",'DDF Original'!B594)</f>
        <v/>
      </c>
      <c r="C594" s="20" t="str">
        <f>IF('DDF Original'!C594="","",'DDF Original'!C594)</f>
        <v/>
      </c>
      <c r="D594" s="20" t="str">
        <f>IF('DDF Original'!F594="","",'DDF Original'!F594)</f>
        <v/>
      </c>
      <c r="E594" s="38" t="str">
        <f>'Recálculo Confissão (85-B)'!N594</f>
        <v/>
      </c>
      <c r="F594" s="20" t="str">
        <f t="shared" si="18"/>
        <v/>
      </c>
      <c r="G594" s="20" t="str">
        <f t="shared" si="19"/>
        <v/>
      </c>
    </row>
    <row r="595" spans="2:7" x14ac:dyDescent="0.2">
      <c r="B595" s="19" t="str">
        <f>IF('DDF Original'!B595="","",'DDF Original'!B595)</f>
        <v/>
      </c>
      <c r="C595" s="20" t="str">
        <f>IF('DDF Original'!C595="","",'DDF Original'!C595)</f>
        <v/>
      </c>
      <c r="D595" s="20" t="str">
        <f>IF('DDF Original'!F595="","",'DDF Original'!F595)</f>
        <v/>
      </c>
      <c r="E595" s="38" t="str">
        <f>'Recálculo Confissão (85-B)'!N595</f>
        <v/>
      </c>
      <c r="F595" s="20" t="str">
        <f t="shared" si="18"/>
        <v/>
      </c>
      <c r="G595" s="20" t="str">
        <f t="shared" si="19"/>
        <v/>
      </c>
    </row>
    <row r="596" spans="2:7" x14ac:dyDescent="0.2">
      <c r="B596" s="19" t="str">
        <f>IF('DDF Original'!B596="","",'DDF Original'!B596)</f>
        <v/>
      </c>
      <c r="C596" s="20" t="str">
        <f>IF('DDF Original'!C596="","",'DDF Original'!C596)</f>
        <v/>
      </c>
      <c r="D596" s="20" t="str">
        <f>IF('DDF Original'!F596="","",'DDF Original'!F596)</f>
        <v/>
      </c>
      <c r="E596" s="38" t="str">
        <f>'Recálculo Confissão (85-B)'!N596</f>
        <v/>
      </c>
      <c r="F596" s="20" t="str">
        <f t="shared" si="18"/>
        <v/>
      </c>
      <c r="G596" s="20" t="str">
        <f t="shared" si="19"/>
        <v/>
      </c>
    </row>
    <row r="597" spans="2:7" x14ac:dyDescent="0.2">
      <c r="B597" s="19" t="str">
        <f>IF('DDF Original'!B597="","",'DDF Original'!B597)</f>
        <v/>
      </c>
      <c r="C597" s="20" t="str">
        <f>IF('DDF Original'!C597="","",'DDF Original'!C597)</f>
        <v/>
      </c>
      <c r="D597" s="20" t="str">
        <f>IF('DDF Original'!F597="","",'DDF Original'!F597)</f>
        <v/>
      </c>
      <c r="E597" s="38" t="str">
        <f>'Recálculo Confissão (85-B)'!N597</f>
        <v/>
      </c>
      <c r="F597" s="20" t="str">
        <f t="shared" si="18"/>
        <v/>
      </c>
      <c r="G597" s="20" t="str">
        <f t="shared" si="19"/>
        <v/>
      </c>
    </row>
    <row r="598" spans="2:7" x14ac:dyDescent="0.2">
      <c r="B598" s="19" t="str">
        <f>IF('DDF Original'!B598="","",'DDF Original'!B598)</f>
        <v/>
      </c>
      <c r="C598" s="20" t="str">
        <f>IF('DDF Original'!C598="","",'DDF Original'!C598)</f>
        <v/>
      </c>
      <c r="D598" s="20" t="str">
        <f>IF('DDF Original'!F598="","",'DDF Original'!F598)</f>
        <v/>
      </c>
      <c r="E598" s="38" t="str">
        <f>'Recálculo Confissão (85-B)'!N598</f>
        <v/>
      </c>
      <c r="F598" s="20" t="str">
        <f t="shared" si="18"/>
        <v/>
      </c>
      <c r="G598" s="20" t="str">
        <f t="shared" si="19"/>
        <v/>
      </c>
    </row>
    <row r="599" spans="2:7" x14ac:dyDescent="0.2">
      <c r="B599" s="19" t="str">
        <f>IF('DDF Original'!B599="","",'DDF Original'!B599)</f>
        <v/>
      </c>
      <c r="C599" s="20" t="str">
        <f>IF('DDF Original'!C599="","",'DDF Original'!C599)</f>
        <v/>
      </c>
      <c r="D599" s="20" t="str">
        <f>IF('DDF Original'!F599="","",'DDF Original'!F599)</f>
        <v/>
      </c>
      <c r="E599" s="38" t="str">
        <f>'Recálculo Confissão (85-B)'!N599</f>
        <v/>
      </c>
      <c r="F599" s="20" t="str">
        <f t="shared" si="18"/>
        <v/>
      </c>
      <c r="G599" s="20" t="str">
        <f t="shared" si="19"/>
        <v/>
      </c>
    </row>
    <row r="600" spans="2:7" x14ac:dyDescent="0.2">
      <c r="B600" s="19" t="str">
        <f>IF('DDF Original'!B600="","",'DDF Original'!B600)</f>
        <v/>
      </c>
      <c r="C600" s="20" t="str">
        <f>IF('DDF Original'!C600="","",'DDF Original'!C600)</f>
        <v/>
      </c>
      <c r="D600" s="20" t="str">
        <f>IF('DDF Original'!F600="","",'DDF Original'!F600)</f>
        <v/>
      </c>
      <c r="E600" s="38" t="str">
        <f>'Recálculo Confissão (85-B)'!N600</f>
        <v/>
      </c>
      <c r="F600" s="20" t="str">
        <f t="shared" si="18"/>
        <v/>
      </c>
      <c r="G600" s="20" t="str">
        <f t="shared" si="19"/>
        <v/>
      </c>
    </row>
    <row r="601" spans="2:7" x14ac:dyDescent="0.2">
      <c r="B601" s="19" t="str">
        <f>IF('DDF Original'!B601="","",'DDF Original'!B601)</f>
        <v/>
      </c>
      <c r="C601" s="20" t="str">
        <f>IF('DDF Original'!C601="","",'DDF Original'!C601)</f>
        <v/>
      </c>
      <c r="D601" s="20" t="str">
        <f>IF('DDF Original'!F601="","",'DDF Original'!F601)</f>
        <v/>
      </c>
      <c r="E601" s="38" t="str">
        <f>'Recálculo Confissão (85-B)'!N601</f>
        <v/>
      </c>
      <c r="F601" s="20" t="str">
        <f t="shared" si="18"/>
        <v/>
      </c>
      <c r="G601" s="20" t="str">
        <f t="shared" si="19"/>
        <v/>
      </c>
    </row>
    <row r="602" spans="2:7" x14ac:dyDescent="0.2">
      <c r="B602" s="19" t="str">
        <f>IF('DDF Original'!B602="","",'DDF Original'!B602)</f>
        <v/>
      </c>
      <c r="C602" s="20" t="str">
        <f>IF('DDF Original'!C602="","",'DDF Original'!C602)</f>
        <v/>
      </c>
      <c r="D602" s="20" t="str">
        <f>IF('DDF Original'!F602="","",'DDF Original'!F602)</f>
        <v/>
      </c>
      <c r="E602" s="38" t="str">
        <f>'Recálculo Confissão (85-B)'!N602</f>
        <v/>
      </c>
      <c r="F602" s="20" t="str">
        <f t="shared" si="18"/>
        <v/>
      </c>
      <c r="G602" s="20" t="str">
        <f t="shared" si="19"/>
        <v/>
      </c>
    </row>
    <row r="603" spans="2:7" x14ac:dyDescent="0.2">
      <c r="B603" s="19" t="str">
        <f>IF('DDF Original'!B603="","",'DDF Original'!B603)</f>
        <v/>
      </c>
      <c r="C603" s="20" t="str">
        <f>IF('DDF Original'!C603="","",'DDF Original'!C603)</f>
        <v/>
      </c>
      <c r="D603" s="20" t="str">
        <f>IF('DDF Original'!F603="","",'DDF Original'!F603)</f>
        <v/>
      </c>
      <c r="E603" s="38" t="str">
        <f>'Recálculo Confissão (85-B)'!N603</f>
        <v/>
      </c>
      <c r="F603" s="20" t="str">
        <f t="shared" si="18"/>
        <v/>
      </c>
      <c r="G603" s="20" t="str">
        <f t="shared" si="19"/>
        <v/>
      </c>
    </row>
    <row r="604" spans="2:7" x14ac:dyDescent="0.2">
      <c r="B604" s="19" t="str">
        <f>IF('DDF Original'!B604="","",'DDF Original'!B604)</f>
        <v/>
      </c>
      <c r="C604" s="20" t="str">
        <f>IF('DDF Original'!C604="","",'DDF Original'!C604)</f>
        <v/>
      </c>
      <c r="D604" s="20" t="str">
        <f>IF('DDF Original'!F604="","",'DDF Original'!F604)</f>
        <v/>
      </c>
      <c r="E604" s="38" t="str">
        <f>'Recálculo Confissão (85-B)'!N604</f>
        <v/>
      </c>
      <c r="F604" s="20" t="str">
        <f t="shared" si="18"/>
        <v/>
      </c>
      <c r="G604" s="20" t="str">
        <f t="shared" si="19"/>
        <v/>
      </c>
    </row>
    <row r="605" spans="2:7" x14ac:dyDescent="0.2">
      <c r="B605" s="19" t="str">
        <f>IF('DDF Original'!B605="","",'DDF Original'!B605)</f>
        <v/>
      </c>
      <c r="C605" s="20" t="str">
        <f>IF('DDF Original'!C605="","",'DDF Original'!C605)</f>
        <v/>
      </c>
      <c r="D605" s="20" t="str">
        <f>IF('DDF Original'!F605="","",'DDF Original'!F605)</f>
        <v/>
      </c>
      <c r="E605" s="38" t="str">
        <f>'Recálculo Confissão (85-B)'!N605</f>
        <v/>
      </c>
      <c r="F605" s="20" t="str">
        <f t="shared" si="18"/>
        <v/>
      </c>
      <c r="G605" s="20" t="str">
        <f t="shared" si="19"/>
        <v/>
      </c>
    </row>
    <row r="606" spans="2:7" x14ac:dyDescent="0.2">
      <c r="B606" s="19" t="str">
        <f>IF('DDF Original'!B606="","",'DDF Original'!B606)</f>
        <v/>
      </c>
      <c r="C606" s="20" t="str">
        <f>IF('DDF Original'!C606="","",'DDF Original'!C606)</f>
        <v/>
      </c>
      <c r="D606" s="20" t="str">
        <f>IF('DDF Original'!F606="","",'DDF Original'!F606)</f>
        <v/>
      </c>
      <c r="E606" s="38" t="str">
        <f>'Recálculo Confissão (85-B)'!N606</f>
        <v/>
      </c>
      <c r="F606" s="20" t="str">
        <f t="shared" si="18"/>
        <v/>
      </c>
      <c r="G606" s="20" t="str">
        <f t="shared" si="19"/>
        <v/>
      </c>
    </row>
    <row r="607" spans="2:7" x14ac:dyDescent="0.2">
      <c r="B607" s="19" t="str">
        <f>IF('DDF Original'!B607="","",'DDF Original'!B607)</f>
        <v/>
      </c>
      <c r="C607" s="20" t="str">
        <f>IF('DDF Original'!C607="","",'DDF Original'!C607)</f>
        <v/>
      </c>
      <c r="D607" s="20" t="str">
        <f>IF('DDF Original'!F607="","",'DDF Original'!F607)</f>
        <v/>
      </c>
      <c r="E607" s="38" t="str">
        <f>'Recálculo Confissão (85-B)'!N607</f>
        <v/>
      </c>
      <c r="F607" s="20" t="str">
        <f t="shared" si="18"/>
        <v/>
      </c>
      <c r="G607" s="20" t="str">
        <f t="shared" si="19"/>
        <v/>
      </c>
    </row>
    <row r="608" spans="2:7" x14ac:dyDescent="0.2">
      <c r="B608" s="19" t="str">
        <f>IF('DDF Original'!B608="","",'DDF Original'!B608)</f>
        <v/>
      </c>
      <c r="C608" s="20" t="str">
        <f>IF('DDF Original'!C608="","",'DDF Original'!C608)</f>
        <v/>
      </c>
      <c r="D608" s="20" t="str">
        <f>IF('DDF Original'!F608="","",'DDF Original'!F608)</f>
        <v/>
      </c>
      <c r="E608" s="38" t="str">
        <f>'Recálculo Confissão (85-B)'!N608</f>
        <v/>
      </c>
      <c r="F608" s="20" t="str">
        <f t="shared" si="18"/>
        <v/>
      </c>
      <c r="G608" s="20" t="str">
        <f t="shared" si="19"/>
        <v/>
      </c>
    </row>
    <row r="609" spans="2:7" x14ac:dyDescent="0.2">
      <c r="B609" s="19" t="str">
        <f>IF('DDF Original'!B609="","",'DDF Original'!B609)</f>
        <v/>
      </c>
      <c r="C609" s="20" t="str">
        <f>IF('DDF Original'!C609="","",'DDF Original'!C609)</f>
        <v/>
      </c>
      <c r="D609" s="20" t="str">
        <f>IF('DDF Original'!F609="","",'DDF Original'!F609)</f>
        <v/>
      </c>
      <c r="E609" s="38" t="str">
        <f>'Recálculo Confissão (85-B)'!N609</f>
        <v/>
      </c>
      <c r="F609" s="20" t="str">
        <f t="shared" si="18"/>
        <v/>
      </c>
      <c r="G609" s="20" t="str">
        <f t="shared" si="19"/>
        <v/>
      </c>
    </row>
    <row r="610" spans="2:7" x14ac:dyDescent="0.2">
      <c r="B610" s="19" t="str">
        <f>IF('DDF Original'!B610="","",'DDF Original'!B610)</f>
        <v/>
      </c>
      <c r="C610" s="20" t="str">
        <f>IF('DDF Original'!C610="","",'DDF Original'!C610)</f>
        <v/>
      </c>
      <c r="D610" s="20" t="str">
        <f>IF('DDF Original'!F610="","",'DDF Original'!F610)</f>
        <v/>
      </c>
      <c r="E610" s="38" t="str">
        <f>'Recálculo Confissão (85-B)'!N610</f>
        <v/>
      </c>
      <c r="F610" s="20" t="str">
        <f t="shared" si="18"/>
        <v/>
      </c>
      <c r="G610" s="20" t="str">
        <f t="shared" si="19"/>
        <v/>
      </c>
    </row>
    <row r="611" spans="2:7" x14ac:dyDescent="0.2">
      <c r="B611" s="19" t="str">
        <f>IF('DDF Original'!B611="","",'DDF Original'!B611)</f>
        <v/>
      </c>
      <c r="C611" s="20" t="str">
        <f>IF('DDF Original'!C611="","",'DDF Original'!C611)</f>
        <v/>
      </c>
      <c r="D611" s="20" t="str">
        <f>IF('DDF Original'!F611="","",'DDF Original'!F611)</f>
        <v/>
      </c>
      <c r="E611" s="38" t="str">
        <f>'Recálculo Confissão (85-B)'!N611</f>
        <v/>
      </c>
      <c r="F611" s="20" t="str">
        <f t="shared" si="18"/>
        <v/>
      </c>
      <c r="G611" s="20" t="str">
        <f t="shared" si="19"/>
        <v/>
      </c>
    </row>
    <row r="612" spans="2:7" x14ac:dyDescent="0.2">
      <c r="B612" s="19" t="str">
        <f>IF('DDF Original'!B612="","",'DDF Original'!B612)</f>
        <v/>
      </c>
      <c r="C612" s="20" t="str">
        <f>IF('DDF Original'!C612="","",'DDF Original'!C612)</f>
        <v/>
      </c>
      <c r="D612" s="20" t="str">
        <f>IF('DDF Original'!F612="","",'DDF Original'!F612)</f>
        <v/>
      </c>
      <c r="E612" s="38" t="str">
        <f>'Recálculo Confissão (85-B)'!N612</f>
        <v/>
      </c>
      <c r="F612" s="20" t="str">
        <f t="shared" si="18"/>
        <v/>
      </c>
      <c r="G612" s="20" t="str">
        <f t="shared" si="19"/>
        <v/>
      </c>
    </row>
    <row r="613" spans="2:7" x14ac:dyDescent="0.2">
      <c r="B613" s="19" t="str">
        <f>IF('DDF Original'!B613="","",'DDF Original'!B613)</f>
        <v/>
      </c>
      <c r="C613" s="20" t="str">
        <f>IF('DDF Original'!C613="","",'DDF Original'!C613)</f>
        <v/>
      </c>
      <c r="D613" s="20" t="str">
        <f>IF('DDF Original'!F613="","",'DDF Original'!F613)</f>
        <v/>
      </c>
      <c r="E613" s="38" t="str">
        <f>'Recálculo Confissão (85-B)'!N613</f>
        <v/>
      </c>
      <c r="F613" s="20" t="str">
        <f t="shared" si="18"/>
        <v/>
      </c>
      <c r="G613" s="20" t="str">
        <f t="shared" si="19"/>
        <v/>
      </c>
    </row>
    <row r="614" spans="2:7" x14ac:dyDescent="0.2">
      <c r="B614" s="19" t="str">
        <f>IF('DDF Original'!B614="","",'DDF Original'!B614)</f>
        <v/>
      </c>
      <c r="C614" s="20" t="str">
        <f>IF('DDF Original'!C614="","",'DDF Original'!C614)</f>
        <v/>
      </c>
      <c r="D614" s="20" t="str">
        <f>IF('DDF Original'!F614="","",'DDF Original'!F614)</f>
        <v/>
      </c>
      <c r="E614" s="38" t="str">
        <f>'Recálculo Confissão (85-B)'!N614</f>
        <v/>
      </c>
      <c r="F614" s="20" t="str">
        <f t="shared" si="18"/>
        <v/>
      </c>
      <c r="G614" s="20" t="str">
        <f t="shared" si="19"/>
        <v/>
      </c>
    </row>
    <row r="615" spans="2:7" x14ac:dyDescent="0.2">
      <c r="B615" s="19" t="str">
        <f>IF('DDF Original'!B615="","",'DDF Original'!B615)</f>
        <v/>
      </c>
      <c r="C615" s="20" t="str">
        <f>IF('DDF Original'!C615="","",'DDF Original'!C615)</f>
        <v/>
      </c>
      <c r="D615" s="20" t="str">
        <f>IF('DDF Original'!F615="","",'DDF Original'!F615)</f>
        <v/>
      </c>
      <c r="E615" s="38" t="str">
        <f>'Recálculo Confissão (85-B)'!N615</f>
        <v/>
      </c>
      <c r="F615" s="20" t="str">
        <f t="shared" si="18"/>
        <v/>
      </c>
      <c r="G615" s="20" t="str">
        <f t="shared" si="19"/>
        <v/>
      </c>
    </row>
    <row r="616" spans="2:7" x14ac:dyDescent="0.2">
      <c r="B616" s="19" t="str">
        <f>IF('DDF Original'!B616="","",'DDF Original'!B616)</f>
        <v/>
      </c>
      <c r="C616" s="20" t="str">
        <f>IF('DDF Original'!C616="","",'DDF Original'!C616)</f>
        <v/>
      </c>
      <c r="D616" s="20" t="str">
        <f>IF('DDF Original'!F616="","",'DDF Original'!F616)</f>
        <v/>
      </c>
      <c r="E616" s="38" t="str">
        <f>'Recálculo Confissão (85-B)'!N616</f>
        <v/>
      </c>
      <c r="F616" s="20" t="str">
        <f t="shared" si="18"/>
        <v/>
      </c>
      <c r="G616" s="20" t="str">
        <f t="shared" si="19"/>
        <v/>
      </c>
    </row>
    <row r="617" spans="2:7" x14ac:dyDescent="0.2">
      <c r="B617" s="19" t="str">
        <f>IF('DDF Original'!B617="","",'DDF Original'!B617)</f>
        <v/>
      </c>
      <c r="C617" s="20" t="str">
        <f>IF('DDF Original'!C617="","",'DDF Original'!C617)</f>
        <v/>
      </c>
      <c r="D617" s="20" t="str">
        <f>IF('DDF Original'!F617="","",'DDF Original'!F617)</f>
        <v/>
      </c>
      <c r="E617" s="38" t="str">
        <f>'Recálculo Confissão (85-B)'!N617</f>
        <v/>
      </c>
      <c r="F617" s="20" t="str">
        <f t="shared" si="18"/>
        <v/>
      </c>
      <c r="G617" s="20" t="str">
        <f t="shared" si="19"/>
        <v/>
      </c>
    </row>
    <row r="618" spans="2:7" x14ac:dyDescent="0.2">
      <c r="B618" s="19" t="str">
        <f>IF('DDF Original'!B618="","",'DDF Original'!B618)</f>
        <v/>
      </c>
      <c r="C618" s="20" t="str">
        <f>IF('DDF Original'!C618="","",'DDF Original'!C618)</f>
        <v/>
      </c>
      <c r="D618" s="20" t="str">
        <f>IF('DDF Original'!F618="","",'DDF Original'!F618)</f>
        <v/>
      </c>
      <c r="E618" s="38" t="str">
        <f>'Recálculo Confissão (85-B)'!N618</f>
        <v/>
      </c>
      <c r="F618" s="20" t="str">
        <f t="shared" si="18"/>
        <v/>
      </c>
      <c r="G618" s="20" t="str">
        <f t="shared" si="19"/>
        <v/>
      </c>
    </row>
    <row r="619" spans="2:7" x14ac:dyDescent="0.2">
      <c r="B619" s="19" t="str">
        <f>IF('DDF Original'!B619="","",'DDF Original'!B619)</f>
        <v/>
      </c>
      <c r="C619" s="20" t="str">
        <f>IF('DDF Original'!C619="","",'DDF Original'!C619)</f>
        <v/>
      </c>
      <c r="D619" s="20" t="str">
        <f>IF('DDF Original'!F619="","",'DDF Original'!F619)</f>
        <v/>
      </c>
      <c r="E619" s="38" t="str">
        <f>'Recálculo Confissão (85-B)'!N619</f>
        <v/>
      </c>
      <c r="F619" s="20" t="str">
        <f t="shared" si="18"/>
        <v/>
      </c>
      <c r="G619" s="20" t="str">
        <f t="shared" si="19"/>
        <v/>
      </c>
    </row>
    <row r="620" spans="2:7" x14ac:dyDescent="0.2">
      <c r="B620" s="19" t="str">
        <f>IF('DDF Original'!B620="","",'DDF Original'!B620)</f>
        <v/>
      </c>
      <c r="C620" s="20" t="str">
        <f>IF('DDF Original'!C620="","",'DDF Original'!C620)</f>
        <v/>
      </c>
      <c r="D620" s="20" t="str">
        <f>IF('DDF Original'!F620="","",'DDF Original'!F620)</f>
        <v/>
      </c>
      <c r="E620" s="38" t="str">
        <f>'Recálculo Confissão (85-B)'!N620</f>
        <v/>
      </c>
      <c r="F620" s="20" t="str">
        <f t="shared" si="18"/>
        <v/>
      </c>
      <c r="G620" s="20" t="str">
        <f t="shared" si="19"/>
        <v/>
      </c>
    </row>
    <row r="621" spans="2:7" x14ac:dyDescent="0.2">
      <c r="B621" s="19" t="str">
        <f>IF('DDF Original'!B621="","",'DDF Original'!B621)</f>
        <v/>
      </c>
      <c r="C621" s="20" t="str">
        <f>IF('DDF Original'!C621="","",'DDF Original'!C621)</f>
        <v/>
      </c>
      <c r="D621" s="20" t="str">
        <f>IF('DDF Original'!F621="","",'DDF Original'!F621)</f>
        <v/>
      </c>
      <c r="E621" s="38" t="str">
        <f>'Recálculo Confissão (85-B)'!N621</f>
        <v/>
      </c>
      <c r="F621" s="20" t="str">
        <f t="shared" si="18"/>
        <v/>
      </c>
      <c r="G621" s="20" t="str">
        <f t="shared" si="19"/>
        <v/>
      </c>
    </row>
    <row r="622" spans="2:7" x14ac:dyDescent="0.2">
      <c r="B622" s="19" t="str">
        <f>IF('DDF Original'!B622="","",'DDF Original'!B622)</f>
        <v/>
      </c>
      <c r="C622" s="20" t="str">
        <f>IF('DDF Original'!C622="","",'DDF Original'!C622)</f>
        <v/>
      </c>
      <c r="D622" s="20" t="str">
        <f>IF('DDF Original'!F622="","",'DDF Original'!F622)</f>
        <v/>
      </c>
      <c r="E622" s="38" t="str">
        <f>'Recálculo Confissão (85-B)'!N622</f>
        <v/>
      </c>
      <c r="F622" s="20" t="str">
        <f t="shared" si="18"/>
        <v/>
      </c>
      <c r="G622" s="20" t="str">
        <f t="shared" si="19"/>
        <v/>
      </c>
    </row>
    <row r="623" spans="2:7" x14ac:dyDescent="0.2">
      <c r="B623" s="19" t="str">
        <f>IF('DDF Original'!B623="","",'DDF Original'!B623)</f>
        <v/>
      </c>
      <c r="C623" s="20" t="str">
        <f>IF('DDF Original'!C623="","",'DDF Original'!C623)</f>
        <v/>
      </c>
      <c r="D623" s="20" t="str">
        <f>IF('DDF Original'!F623="","",'DDF Original'!F623)</f>
        <v/>
      </c>
      <c r="E623" s="38" t="str">
        <f>'Recálculo Confissão (85-B)'!N623</f>
        <v/>
      </c>
      <c r="F623" s="20" t="str">
        <f t="shared" si="18"/>
        <v/>
      </c>
      <c r="G623" s="20" t="str">
        <f t="shared" si="19"/>
        <v/>
      </c>
    </row>
    <row r="624" spans="2:7" x14ac:dyDescent="0.2">
      <c r="B624" s="19" t="str">
        <f>IF('DDF Original'!B624="","",'DDF Original'!B624)</f>
        <v/>
      </c>
      <c r="C624" s="20" t="str">
        <f>IF('DDF Original'!C624="","",'DDF Original'!C624)</f>
        <v/>
      </c>
      <c r="D624" s="20" t="str">
        <f>IF('DDF Original'!F624="","",'DDF Original'!F624)</f>
        <v/>
      </c>
      <c r="E624" s="38" t="str">
        <f>'Recálculo Confissão (85-B)'!N624</f>
        <v/>
      </c>
      <c r="F624" s="20" t="str">
        <f t="shared" si="18"/>
        <v/>
      </c>
      <c r="G624" s="20" t="str">
        <f t="shared" si="19"/>
        <v/>
      </c>
    </row>
    <row r="625" spans="2:7" x14ac:dyDescent="0.2">
      <c r="B625" s="19" t="str">
        <f>IF('DDF Original'!B625="","",'DDF Original'!B625)</f>
        <v/>
      </c>
      <c r="C625" s="20" t="str">
        <f>IF('DDF Original'!C625="","",'DDF Original'!C625)</f>
        <v/>
      </c>
      <c r="D625" s="20" t="str">
        <f>IF('DDF Original'!F625="","",'DDF Original'!F625)</f>
        <v/>
      </c>
      <c r="E625" s="38" t="str">
        <f>'Recálculo Confissão (85-B)'!N625</f>
        <v/>
      </c>
      <c r="F625" s="20" t="str">
        <f t="shared" si="18"/>
        <v/>
      </c>
      <c r="G625" s="20" t="str">
        <f t="shared" si="19"/>
        <v/>
      </c>
    </row>
    <row r="626" spans="2:7" x14ac:dyDescent="0.2">
      <c r="B626" s="19" t="str">
        <f>IF('DDF Original'!B626="","",'DDF Original'!B626)</f>
        <v/>
      </c>
      <c r="C626" s="20" t="str">
        <f>IF('DDF Original'!C626="","",'DDF Original'!C626)</f>
        <v/>
      </c>
      <c r="D626" s="20" t="str">
        <f>IF('DDF Original'!F626="","",'DDF Original'!F626)</f>
        <v/>
      </c>
      <c r="E626" s="38" t="str">
        <f>'Recálculo Confissão (85-B)'!N626</f>
        <v/>
      </c>
      <c r="F626" s="20" t="str">
        <f t="shared" si="18"/>
        <v/>
      </c>
      <c r="G626" s="20" t="str">
        <f t="shared" si="19"/>
        <v/>
      </c>
    </row>
    <row r="627" spans="2:7" x14ac:dyDescent="0.2">
      <c r="B627" s="19" t="str">
        <f>IF('DDF Original'!B627="","",'DDF Original'!B627)</f>
        <v/>
      </c>
      <c r="C627" s="20" t="str">
        <f>IF('DDF Original'!C627="","",'DDF Original'!C627)</f>
        <v/>
      </c>
      <c r="D627" s="20" t="str">
        <f>IF('DDF Original'!F627="","",'DDF Original'!F627)</f>
        <v/>
      </c>
      <c r="E627" s="38" t="str">
        <f>'Recálculo Confissão (85-B)'!N627</f>
        <v/>
      </c>
      <c r="F627" s="20" t="str">
        <f t="shared" si="18"/>
        <v/>
      </c>
      <c r="G627" s="20" t="str">
        <f t="shared" si="19"/>
        <v/>
      </c>
    </row>
    <row r="628" spans="2:7" x14ac:dyDescent="0.2">
      <c r="B628" s="19" t="str">
        <f>IF('DDF Original'!B628="","",'DDF Original'!B628)</f>
        <v/>
      </c>
      <c r="C628" s="20" t="str">
        <f>IF('DDF Original'!C628="","",'DDF Original'!C628)</f>
        <v/>
      </c>
      <c r="D628" s="20" t="str">
        <f>IF('DDF Original'!F628="","",'DDF Original'!F628)</f>
        <v/>
      </c>
      <c r="E628" s="38" t="str">
        <f>'Recálculo Confissão (85-B)'!N628</f>
        <v/>
      </c>
      <c r="F628" s="20" t="str">
        <f t="shared" si="18"/>
        <v/>
      </c>
      <c r="G628" s="20" t="str">
        <f t="shared" si="19"/>
        <v/>
      </c>
    </row>
    <row r="629" spans="2:7" x14ac:dyDescent="0.2">
      <c r="B629" s="19" t="str">
        <f>IF('DDF Original'!B629="","",'DDF Original'!B629)</f>
        <v/>
      </c>
      <c r="C629" s="20" t="str">
        <f>IF('DDF Original'!C629="","",'DDF Original'!C629)</f>
        <v/>
      </c>
      <c r="D629" s="20" t="str">
        <f>IF('DDF Original'!F629="","",'DDF Original'!F629)</f>
        <v/>
      </c>
      <c r="E629" s="38" t="str">
        <f>'Recálculo Confissão (85-B)'!N629</f>
        <v/>
      </c>
      <c r="F629" s="20" t="str">
        <f t="shared" si="18"/>
        <v/>
      </c>
      <c r="G629" s="20" t="str">
        <f t="shared" si="19"/>
        <v/>
      </c>
    </row>
    <row r="630" spans="2:7" x14ac:dyDescent="0.2">
      <c r="B630" s="19" t="str">
        <f>IF('DDF Original'!B630="","",'DDF Original'!B630)</f>
        <v/>
      </c>
      <c r="C630" s="20" t="str">
        <f>IF('DDF Original'!C630="","",'DDF Original'!C630)</f>
        <v/>
      </c>
      <c r="D630" s="20" t="str">
        <f>IF('DDF Original'!F630="","",'DDF Original'!F630)</f>
        <v/>
      </c>
      <c r="E630" s="38" t="str">
        <f>'Recálculo Confissão (85-B)'!N630</f>
        <v/>
      </c>
      <c r="F630" s="20" t="str">
        <f t="shared" si="18"/>
        <v/>
      </c>
      <c r="G630" s="20" t="str">
        <f t="shared" si="19"/>
        <v/>
      </c>
    </row>
    <row r="631" spans="2:7" x14ac:dyDescent="0.2">
      <c r="B631" s="19" t="str">
        <f>IF('DDF Original'!B631="","",'DDF Original'!B631)</f>
        <v/>
      </c>
      <c r="C631" s="20" t="str">
        <f>IF('DDF Original'!C631="","",'DDF Original'!C631)</f>
        <v/>
      </c>
      <c r="D631" s="20" t="str">
        <f>IF('DDF Original'!F631="","",'DDF Original'!F631)</f>
        <v/>
      </c>
      <c r="E631" s="38" t="str">
        <f>'Recálculo Confissão (85-B)'!N631</f>
        <v/>
      </c>
      <c r="F631" s="20" t="str">
        <f t="shared" si="18"/>
        <v/>
      </c>
      <c r="G631" s="20" t="str">
        <f t="shared" si="19"/>
        <v/>
      </c>
    </row>
    <row r="632" spans="2:7" x14ac:dyDescent="0.2">
      <c r="B632" s="19" t="str">
        <f>IF('DDF Original'!B632="","",'DDF Original'!B632)</f>
        <v/>
      </c>
      <c r="C632" s="20" t="str">
        <f>IF('DDF Original'!C632="","",'DDF Original'!C632)</f>
        <v/>
      </c>
      <c r="D632" s="20" t="str">
        <f>IF('DDF Original'!F632="","",'DDF Original'!F632)</f>
        <v/>
      </c>
      <c r="E632" s="38" t="str">
        <f>'Recálculo Confissão (85-B)'!N632</f>
        <v/>
      </c>
      <c r="F632" s="20" t="str">
        <f t="shared" si="18"/>
        <v/>
      </c>
      <c r="G632" s="20" t="str">
        <f t="shared" si="19"/>
        <v/>
      </c>
    </row>
    <row r="633" spans="2:7" x14ac:dyDescent="0.2">
      <c r="B633" s="19" t="str">
        <f>IF('DDF Original'!B633="","",'DDF Original'!B633)</f>
        <v/>
      </c>
      <c r="C633" s="20" t="str">
        <f>IF('DDF Original'!C633="","",'DDF Original'!C633)</f>
        <v/>
      </c>
      <c r="D633" s="20" t="str">
        <f>IF('DDF Original'!F633="","",'DDF Original'!F633)</f>
        <v/>
      </c>
      <c r="E633" s="38" t="str">
        <f>'Recálculo Confissão (85-B)'!N633</f>
        <v/>
      </c>
      <c r="F633" s="20" t="str">
        <f t="shared" si="18"/>
        <v/>
      </c>
      <c r="G633" s="20" t="str">
        <f t="shared" si="19"/>
        <v/>
      </c>
    </row>
    <row r="634" spans="2:7" x14ac:dyDescent="0.2">
      <c r="B634" s="19" t="str">
        <f>IF('DDF Original'!B634="","",'DDF Original'!B634)</f>
        <v/>
      </c>
      <c r="C634" s="20" t="str">
        <f>IF('DDF Original'!C634="","",'DDF Original'!C634)</f>
        <v/>
      </c>
      <c r="D634" s="20" t="str">
        <f>IF('DDF Original'!F634="","",'DDF Original'!F634)</f>
        <v/>
      </c>
      <c r="E634" s="38" t="str">
        <f>'Recálculo Confissão (85-B)'!N634</f>
        <v/>
      </c>
      <c r="F634" s="20" t="str">
        <f t="shared" si="18"/>
        <v/>
      </c>
      <c r="G634" s="20" t="str">
        <f t="shared" si="19"/>
        <v/>
      </c>
    </row>
    <row r="635" spans="2:7" x14ac:dyDescent="0.2">
      <c r="B635" s="19" t="str">
        <f>IF('DDF Original'!B635="","",'DDF Original'!B635)</f>
        <v/>
      </c>
      <c r="C635" s="20" t="str">
        <f>IF('DDF Original'!C635="","",'DDF Original'!C635)</f>
        <v/>
      </c>
      <c r="D635" s="20" t="str">
        <f>IF('DDF Original'!F635="","",'DDF Original'!F635)</f>
        <v/>
      </c>
      <c r="E635" s="38" t="str">
        <f>'Recálculo Confissão (85-B)'!N635</f>
        <v/>
      </c>
      <c r="F635" s="20" t="str">
        <f t="shared" si="18"/>
        <v/>
      </c>
      <c r="G635" s="20" t="str">
        <f t="shared" si="19"/>
        <v/>
      </c>
    </row>
    <row r="636" spans="2:7" x14ac:dyDescent="0.2">
      <c r="B636" s="19" t="str">
        <f>IF('DDF Original'!B636="","",'DDF Original'!B636)</f>
        <v/>
      </c>
      <c r="C636" s="20" t="str">
        <f>IF('DDF Original'!C636="","",'DDF Original'!C636)</f>
        <v/>
      </c>
      <c r="D636" s="20" t="str">
        <f>IF('DDF Original'!F636="","",'DDF Original'!F636)</f>
        <v/>
      </c>
      <c r="E636" s="38" t="str">
        <f>'Recálculo Confissão (85-B)'!N636</f>
        <v/>
      </c>
      <c r="F636" s="20" t="str">
        <f t="shared" si="18"/>
        <v/>
      </c>
      <c r="G636" s="20" t="str">
        <f t="shared" si="19"/>
        <v/>
      </c>
    </row>
    <row r="637" spans="2:7" x14ac:dyDescent="0.2">
      <c r="B637" s="19" t="str">
        <f>IF('DDF Original'!B637="","",'DDF Original'!B637)</f>
        <v/>
      </c>
      <c r="C637" s="20" t="str">
        <f>IF('DDF Original'!C637="","",'DDF Original'!C637)</f>
        <v/>
      </c>
      <c r="D637" s="20" t="str">
        <f>IF('DDF Original'!F637="","",'DDF Original'!F637)</f>
        <v/>
      </c>
      <c r="E637" s="38" t="str">
        <f>'Recálculo Confissão (85-B)'!N637</f>
        <v/>
      </c>
      <c r="F637" s="20" t="str">
        <f t="shared" ref="F637:F700" si="20">IF(E637="","",ROUND(E637*(1-70%),2))</f>
        <v/>
      </c>
      <c r="G637" s="20" t="str">
        <f t="shared" ref="G637:G700" si="21">IF(E637="","",ROUND(E637*(1-60%),2))</f>
        <v/>
      </c>
    </row>
    <row r="638" spans="2:7" x14ac:dyDescent="0.2">
      <c r="B638" s="19" t="str">
        <f>IF('DDF Original'!B638="","",'DDF Original'!B638)</f>
        <v/>
      </c>
      <c r="C638" s="20" t="str">
        <f>IF('DDF Original'!C638="","",'DDF Original'!C638)</f>
        <v/>
      </c>
      <c r="D638" s="20" t="str">
        <f>IF('DDF Original'!F638="","",'DDF Original'!F638)</f>
        <v/>
      </c>
      <c r="E638" s="38" t="str">
        <f>'Recálculo Confissão (85-B)'!N638</f>
        <v/>
      </c>
      <c r="F638" s="20" t="str">
        <f t="shared" si="20"/>
        <v/>
      </c>
      <c r="G638" s="20" t="str">
        <f t="shared" si="21"/>
        <v/>
      </c>
    </row>
    <row r="639" spans="2:7" x14ac:dyDescent="0.2">
      <c r="B639" s="19" t="str">
        <f>IF('DDF Original'!B639="","",'DDF Original'!B639)</f>
        <v/>
      </c>
      <c r="C639" s="20" t="str">
        <f>IF('DDF Original'!C639="","",'DDF Original'!C639)</f>
        <v/>
      </c>
      <c r="D639" s="20" t="str">
        <f>IF('DDF Original'!F639="","",'DDF Original'!F639)</f>
        <v/>
      </c>
      <c r="E639" s="38" t="str">
        <f>'Recálculo Confissão (85-B)'!N639</f>
        <v/>
      </c>
      <c r="F639" s="20" t="str">
        <f t="shared" si="20"/>
        <v/>
      </c>
      <c r="G639" s="20" t="str">
        <f t="shared" si="21"/>
        <v/>
      </c>
    </row>
    <row r="640" spans="2:7" x14ac:dyDescent="0.2">
      <c r="B640" s="19" t="str">
        <f>IF('DDF Original'!B640="","",'DDF Original'!B640)</f>
        <v/>
      </c>
      <c r="C640" s="20" t="str">
        <f>IF('DDF Original'!C640="","",'DDF Original'!C640)</f>
        <v/>
      </c>
      <c r="D640" s="20" t="str">
        <f>IF('DDF Original'!F640="","",'DDF Original'!F640)</f>
        <v/>
      </c>
      <c r="E640" s="38" t="str">
        <f>'Recálculo Confissão (85-B)'!N640</f>
        <v/>
      </c>
      <c r="F640" s="20" t="str">
        <f t="shared" si="20"/>
        <v/>
      </c>
      <c r="G640" s="20" t="str">
        <f t="shared" si="21"/>
        <v/>
      </c>
    </row>
    <row r="641" spans="2:7" x14ac:dyDescent="0.2">
      <c r="B641" s="19" t="str">
        <f>IF('DDF Original'!B641="","",'DDF Original'!B641)</f>
        <v/>
      </c>
      <c r="C641" s="20" t="str">
        <f>IF('DDF Original'!C641="","",'DDF Original'!C641)</f>
        <v/>
      </c>
      <c r="D641" s="20" t="str">
        <f>IF('DDF Original'!F641="","",'DDF Original'!F641)</f>
        <v/>
      </c>
      <c r="E641" s="38" t="str">
        <f>'Recálculo Confissão (85-B)'!N641</f>
        <v/>
      </c>
      <c r="F641" s="20" t="str">
        <f t="shared" si="20"/>
        <v/>
      </c>
      <c r="G641" s="20" t="str">
        <f t="shared" si="21"/>
        <v/>
      </c>
    </row>
    <row r="642" spans="2:7" x14ac:dyDescent="0.2">
      <c r="B642" s="19" t="str">
        <f>IF('DDF Original'!B642="","",'DDF Original'!B642)</f>
        <v/>
      </c>
      <c r="C642" s="20" t="str">
        <f>IF('DDF Original'!C642="","",'DDF Original'!C642)</f>
        <v/>
      </c>
      <c r="D642" s="20" t="str">
        <f>IF('DDF Original'!F642="","",'DDF Original'!F642)</f>
        <v/>
      </c>
      <c r="E642" s="38" t="str">
        <f>'Recálculo Confissão (85-B)'!N642</f>
        <v/>
      </c>
      <c r="F642" s="20" t="str">
        <f t="shared" si="20"/>
        <v/>
      </c>
      <c r="G642" s="20" t="str">
        <f t="shared" si="21"/>
        <v/>
      </c>
    </row>
    <row r="643" spans="2:7" x14ac:dyDescent="0.2">
      <c r="B643" s="19" t="str">
        <f>IF('DDF Original'!B643="","",'DDF Original'!B643)</f>
        <v/>
      </c>
      <c r="C643" s="20" t="str">
        <f>IF('DDF Original'!C643="","",'DDF Original'!C643)</f>
        <v/>
      </c>
      <c r="D643" s="20" t="str">
        <f>IF('DDF Original'!F643="","",'DDF Original'!F643)</f>
        <v/>
      </c>
      <c r="E643" s="38" t="str">
        <f>'Recálculo Confissão (85-B)'!N643</f>
        <v/>
      </c>
      <c r="F643" s="20" t="str">
        <f t="shared" si="20"/>
        <v/>
      </c>
      <c r="G643" s="20" t="str">
        <f t="shared" si="21"/>
        <v/>
      </c>
    </row>
    <row r="644" spans="2:7" x14ac:dyDescent="0.2">
      <c r="B644" s="19" t="str">
        <f>IF('DDF Original'!B644="","",'DDF Original'!B644)</f>
        <v/>
      </c>
      <c r="C644" s="20" t="str">
        <f>IF('DDF Original'!C644="","",'DDF Original'!C644)</f>
        <v/>
      </c>
      <c r="D644" s="20" t="str">
        <f>IF('DDF Original'!F644="","",'DDF Original'!F644)</f>
        <v/>
      </c>
      <c r="E644" s="38" t="str">
        <f>'Recálculo Confissão (85-B)'!N644</f>
        <v/>
      </c>
      <c r="F644" s="20" t="str">
        <f t="shared" si="20"/>
        <v/>
      </c>
      <c r="G644" s="20" t="str">
        <f t="shared" si="21"/>
        <v/>
      </c>
    </row>
    <row r="645" spans="2:7" x14ac:dyDescent="0.2">
      <c r="B645" s="19" t="str">
        <f>IF('DDF Original'!B645="","",'DDF Original'!B645)</f>
        <v/>
      </c>
      <c r="C645" s="20" t="str">
        <f>IF('DDF Original'!C645="","",'DDF Original'!C645)</f>
        <v/>
      </c>
      <c r="D645" s="20" t="str">
        <f>IF('DDF Original'!F645="","",'DDF Original'!F645)</f>
        <v/>
      </c>
      <c r="E645" s="38" t="str">
        <f>'Recálculo Confissão (85-B)'!N645</f>
        <v/>
      </c>
      <c r="F645" s="20" t="str">
        <f t="shared" si="20"/>
        <v/>
      </c>
      <c r="G645" s="20" t="str">
        <f t="shared" si="21"/>
        <v/>
      </c>
    </row>
    <row r="646" spans="2:7" x14ac:dyDescent="0.2">
      <c r="B646" s="19" t="str">
        <f>IF('DDF Original'!B646="","",'DDF Original'!B646)</f>
        <v/>
      </c>
      <c r="C646" s="20" t="str">
        <f>IF('DDF Original'!C646="","",'DDF Original'!C646)</f>
        <v/>
      </c>
      <c r="D646" s="20" t="str">
        <f>IF('DDF Original'!F646="","",'DDF Original'!F646)</f>
        <v/>
      </c>
      <c r="E646" s="38" t="str">
        <f>'Recálculo Confissão (85-B)'!N646</f>
        <v/>
      </c>
      <c r="F646" s="20" t="str">
        <f t="shared" si="20"/>
        <v/>
      </c>
      <c r="G646" s="20" t="str">
        <f t="shared" si="21"/>
        <v/>
      </c>
    </row>
    <row r="647" spans="2:7" x14ac:dyDescent="0.2">
      <c r="B647" s="19" t="str">
        <f>IF('DDF Original'!B647="","",'DDF Original'!B647)</f>
        <v/>
      </c>
      <c r="C647" s="20" t="str">
        <f>IF('DDF Original'!C647="","",'DDF Original'!C647)</f>
        <v/>
      </c>
      <c r="D647" s="20" t="str">
        <f>IF('DDF Original'!F647="","",'DDF Original'!F647)</f>
        <v/>
      </c>
      <c r="E647" s="38" t="str">
        <f>'Recálculo Confissão (85-B)'!N647</f>
        <v/>
      </c>
      <c r="F647" s="20" t="str">
        <f t="shared" si="20"/>
        <v/>
      </c>
      <c r="G647" s="20" t="str">
        <f t="shared" si="21"/>
        <v/>
      </c>
    </row>
    <row r="648" spans="2:7" x14ac:dyDescent="0.2">
      <c r="B648" s="19" t="str">
        <f>IF('DDF Original'!B648="","",'DDF Original'!B648)</f>
        <v/>
      </c>
      <c r="C648" s="20" t="str">
        <f>IF('DDF Original'!C648="","",'DDF Original'!C648)</f>
        <v/>
      </c>
      <c r="D648" s="20" t="str">
        <f>IF('DDF Original'!F648="","",'DDF Original'!F648)</f>
        <v/>
      </c>
      <c r="E648" s="38" t="str">
        <f>'Recálculo Confissão (85-B)'!N648</f>
        <v/>
      </c>
      <c r="F648" s="20" t="str">
        <f t="shared" si="20"/>
        <v/>
      </c>
      <c r="G648" s="20" t="str">
        <f t="shared" si="21"/>
        <v/>
      </c>
    </row>
    <row r="649" spans="2:7" x14ac:dyDescent="0.2">
      <c r="B649" s="19" t="str">
        <f>IF('DDF Original'!B649="","",'DDF Original'!B649)</f>
        <v/>
      </c>
      <c r="C649" s="20" t="str">
        <f>IF('DDF Original'!C649="","",'DDF Original'!C649)</f>
        <v/>
      </c>
      <c r="D649" s="20" t="str">
        <f>IF('DDF Original'!F649="","",'DDF Original'!F649)</f>
        <v/>
      </c>
      <c r="E649" s="38" t="str">
        <f>'Recálculo Confissão (85-B)'!N649</f>
        <v/>
      </c>
      <c r="F649" s="20" t="str">
        <f t="shared" si="20"/>
        <v/>
      </c>
      <c r="G649" s="20" t="str">
        <f t="shared" si="21"/>
        <v/>
      </c>
    </row>
    <row r="650" spans="2:7" x14ac:dyDescent="0.2">
      <c r="B650" s="19" t="str">
        <f>IF('DDF Original'!B650="","",'DDF Original'!B650)</f>
        <v/>
      </c>
      <c r="C650" s="20" t="str">
        <f>IF('DDF Original'!C650="","",'DDF Original'!C650)</f>
        <v/>
      </c>
      <c r="D650" s="20" t="str">
        <f>IF('DDF Original'!F650="","",'DDF Original'!F650)</f>
        <v/>
      </c>
      <c r="E650" s="38" t="str">
        <f>'Recálculo Confissão (85-B)'!N650</f>
        <v/>
      </c>
      <c r="F650" s="20" t="str">
        <f t="shared" si="20"/>
        <v/>
      </c>
      <c r="G650" s="20" t="str">
        <f t="shared" si="21"/>
        <v/>
      </c>
    </row>
    <row r="651" spans="2:7" x14ac:dyDescent="0.2">
      <c r="B651" s="19" t="str">
        <f>IF('DDF Original'!B651="","",'DDF Original'!B651)</f>
        <v/>
      </c>
      <c r="C651" s="20" t="str">
        <f>IF('DDF Original'!C651="","",'DDF Original'!C651)</f>
        <v/>
      </c>
      <c r="D651" s="20" t="str">
        <f>IF('DDF Original'!F651="","",'DDF Original'!F651)</f>
        <v/>
      </c>
      <c r="E651" s="38" t="str">
        <f>'Recálculo Confissão (85-B)'!N651</f>
        <v/>
      </c>
      <c r="F651" s="20" t="str">
        <f t="shared" si="20"/>
        <v/>
      </c>
      <c r="G651" s="20" t="str">
        <f t="shared" si="21"/>
        <v/>
      </c>
    </row>
    <row r="652" spans="2:7" x14ac:dyDescent="0.2">
      <c r="B652" s="19" t="str">
        <f>IF('DDF Original'!B652="","",'DDF Original'!B652)</f>
        <v/>
      </c>
      <c r="C652" s="20" t="str">
        <f>IF('DDF Original'!C652="","",'DDF Original'!C652)</f>
        <v/>
      </c>
      <c r="D652" s="20" t="str">
        <f>IF('DDF Original'!F652="","",'DDF Original'!F652)</f>
        <v/>
      </c>
      <c r="E652" s="38" t="str">
        <f>'Recálculo Confissão (85-B)'!N652</f>
        <v/>
      </c>
      <c r="F652" s="20" t="str">
        <f t="shared" si="20"/>
        <v/>
      </c>
      <c r="G652" s="20" t="str">
        <f t="shared" si="21"/>
        <v/>
      </c>
    </row>
    <row r="653" spans="2:7" x14ac:dyDescent="0.2">
      <c r="B653" s="19" t="str">
        <f>IF('DDF Original'!B653="","",'DDF Original'!B653)</f>
        <v/>
      </c>
      <c r="C653" s="20" t="str">
        <f>IF('DDF Original'!C653="","",'DDF Original'!C653)</f>
        <v/>
      </c>
      <c r="D653" s="20" t="str">
        <f>IF('DDF Original'!F653="","",'DDF Original'!F653)</f>
        <v/>
      </c>
      <c r="E653" s="38" t="str">
        <f>'Recálculo Confissão (85-B)'!N653</f>
        <v/>
      </c>
      <c r="F653" s="20" t="str">
        <f t="shared" si="20"/>
        <v/>
      </c>
      <c r="G653" s="20" t="str">
        <f t="shared" si="21"/>
        <v/>
      </c>
    </row>
    <row r="654" spans="2:7" x14ac:dyDescent="0.2">
      <c r="B654" s="19" t="str">
        <f>IF('DDF Original'!B654="","",'DDF Original'!B654)</f>
        <v/>
      </c>
      <c r="C654" s="20" t="str">
        <f>IF('DDF Original'!C654="","",'DDF Original'!C654)</f>
        <v/>
      </c>
      <c r="D654" s="20" t="str">
        <f>IF('DDF Original'!F654="","",'DDF Original'!F654)</f>
        <v/>
      </c>
      <c r="E654" s="38" t="str">
        <f>'Recálculo Confissão (85-B)'!N654</f>
        <v/>
      </c>
      <c r="F654" s="20" t="str">
        <f t="shared" si="20"/>
        <v/>
      </c>
      <c r="G654" s="20" t="str">
        <f t="shared" si="21"/>
        <v/>
      </c>
    </row>
    <row r="655" spans="2:7" x14ac:dyDescent="0.2">
      <c r="B655" s="19" t="str">
        <f>IF('DDF Original'!B655="","",'DDF Original'!B655)</f>
        <v/>
      </c>
      <c r="C655" s="20" t="str">
        <f>IF('DDF Original'!C655="","",'DDF Original'!C655)</f>
        <v/>
      </c>
      <c r="D655" s="20" t="str">
        <f>IF('DDF Original'!F655="","",'DDF Original'!F655)</f>
        <v/>
      </c>
      <c r="E655" s="38" t="str">
        <f>'Recálculo Confissão (85-B)'!N655</f>
        <v/>
      </c>
      <c r="F655" s="20" t="str">
        <f t="shared" si="20"/>
        <v/>
      </c>
      <c r="G655" s="20" t="str">
        <f t="shared" si="21"/>
        <v/>
      </c>
    </row>
    <row r="656" spans="2:7" x14ac:dyDescent="0.2">
      <c r="B656" s="19" t="str">
        <f>IF('DDF Original'!B656="","",'DDF Original'!B656)</f>
        <v/>
      </c>
      <c r="C656" s="20" t="str">
        <f>IF('DDF Original'!C656="","",'DDF Original'!C656)</f>
        <v/>
      </c>
      <c r="D656" s="20" t="str">
        <f>IF('DDF Original'!F656="","",'DDF Original'!F656)</f>
        <v/>
      </c>
      <c r="E656" s="38" t="str">
        <f>'Recálculo Confissão (85-B)'!N656</f>
        <v/>
      </c>
      <c r="F656" s="20" t="str">
        <f t="shared" si="20"/>
        <v/>
      </c>
      <c r="G656" s="20" t="str">
        <f t="shared" si="21"/>
        <v/>
      </c>
    </row>
    <row r="657" spans="2:7" x14ac:dyDescent="0.2">
      <c r="B657" s="19" t="str">
        <f>IF('DDF Original'!B657="","",'DDF Original'!B657)</f>
        <v/>
      </c>
      <c r="C657" s="20" t="str">
        <f>IF('DDF Original'!C657="","",'DDF Original'!C657)</f>
        <v/>
      </c>
      <c r="D657" s="20" t="str">
        <f>IF('DDF Original'!F657="","",'DDF Original'!F657)</f>
        <v/>
      </c>
      <c r="E657" s="38" t="str">
        <f>'Recálculo Confissão (85-B)'!N657</f>
        <v/>
      </c>
      <c r="F657" s="20" t="str">
        <f t="shared" si="20"/>
        <v/>
      </c>
      <c r="G657" s="20" t="str">
        <f t="shared" si="21"/>
        <v/>
      </c>
    </row>
    <row r="658" spans="2:7" x14ac:dyDescent="0.2">
      <c r="B658" s="19" t="str">
        <f>IF('DDF Original'!B658="","",'DDF Original'!B658)</f>
        <v/>
      </c>
      <c r="C658" s="20" t="str">
        <f>IF('DDF Original'!C658="","",'DDF Original'!C658)</f>
        <v/>
      </c>
      <c r="D658" s="20" t="str">
        <f>IF('DDF Original'!F658="","",'DDF Original'!F658)</f>
        <v/>
      </c>
      <c r="E658" s="38" t="str">
        <f>'Recálculo Confissão (85-B)'!N658</f>
        <v/>
      </c>
      <c r="F658" s="20" t="str">
        <f t="shared" si="20"/>
        <v/>
      </c>
      <c r="G658" s="20" t="str">
        <f t="shared" si="21"/>
        <v/>
      </c>
    </row>
    <row r="659" spans="2:7" x14ac:dyDescent="0.2">
      <c r="B659" s="19" t="str">
        <f>IF('DDF Original'!B659="","",'DDF Original'!B659)</f>
        <v/>
      </c>
      <c r="C659" s="20" t="str">
        <f>IF('DDF Original'!C659="","",'DDF Original'!C659)</f>
        <v/>
      </c>
      <c r="D659" s="20" t="str">
        <f>IF('DDF Original'!F659="","",'DDF Original'!F659)</f>
        <v/>
      </c>
      <c r="E659" s="38" t="str">
        <f>'Recálculo Confissão (85-B)'!N659</f>
        <v/>
      </c>
      <c r="F659" s="20" t="str">
        <f t="shared" si="20"/>
        <v/>
      </c>
      <c r="G659" s="20" t="str">
        <f t="shared" si="21"/>
        <v/>
      </c>
    </row>
    <row r="660" spans="2:7" x14ac:dyDescent="0.2">
      <c r="B660" s="19" t="str">
        <f>IF('DDF Original'!B660="","",'DDF Original'!B660)</f>
        <v/>
      </c>
      <c r="C660" s="20" t="str">
        <f>IF('DDF Original'!C660="","",'DDF Original'!C660)</f>
        <v/>
      </c>
      <c r="D660" s="20" t="str">
        <f>IF('DDF Original'!F660="","",'DDF Original'!F660)</f>
        <v/>
      </c>
      <c r="E660" s="38" t="str">
        <f>'Recálculo Confissão (85-B)'!N660</f>
        <v/>
      </c>
      <c r="F660" s="20" t="str">
        <f t="shared" si="20"/>
        <v/>
      </c>
      <c r="G660" s="20" t="str">
        <f t="shared" si="21"/>
        <v/>
      </c>
    </row>
    <row r="661" spans="2:7" x14ac:dyDescent="0.2">
      <c r="B661" s="19" t="str">
        <f>IF('DDF Original'!B661="","",'DDF Original'!B661)</f>
        <v/>
      </c>
      <c r="C661" s="20" t="str">
        <f>IF('DDF Original'!C661="","",'DDF Original'!C661)</f>
        <v/>
      </c>
      <c r="D661" s="20" t="str">
        <f>IF('DDF Original'!F661="","",'DDF Original'!F661)</f>
        <v/>
      </c>
      <c r="E661" s="38" t="str">
        <f>'Recálculo Confissão (85-B)'!N661</f>
        <v/>
      </c>
      <c r="F661" s="20" t="str">
        <f t="shared" si="20"/>
        <v/>
      </c>
      <c r="G661" s="20" t="str">
        <f t="shared" si="21"/>
        <v/>
      </c>
    </row>
    <row r="662" spans="2:7" x14ac:dyDescent="0.2">
      <c r="B662" s="19" t="str">
        <f>IF('DDF Original'!B662="","",'DDF Original'!B662)</f>
        <v/>
      </c>
      <c r="C662" s="20" t="str">
        <f>IF('DDF Original'!C662="","",'DDF Original'!C662)</f>
        <v/>
      </c>
      <c r="D662" s="20" t="str">
        <f>IF('DDF Original'!F662="","",'DDF Original'!F662)</f>
        <v/>
      </c>
      <c r="E662" s="38" t="str">
        <f>'Recálculo Confissão (85-B)'!N662</f>
        <v/>
      </c>
      <c r="F662" s="20" t="str">
        <f t="shared" si="20"/>
        <v/>
      </c>
      <c r="G662" s="20" t="str">
        <f t="shared" si="21"/>
        <v/>
      </c>
    </row>
    <row r="663" spans="2:7" x14ac:dyDescent="0.2">
      <c r="B663" s="19" t="str">
        <f>IF('DDF Original'!B663="","",'DDF Original'!B663)</f>
        <v/>
      </c>
      <c r="C663" s="20" t="str">
        <f>IF('DDF Original'!C663="","",'DDF Original'!C663)</f>
        <v/>
      </c>
      <c r="D663" s="20" t="str">
        <f>IF('DDF Original'!F663="","",'DDF Original'!F663)</f>
        <v/>
      </c>
      <c r="E663" s="38" t="str">
        <f>'Recálculo Confissão (85-B)'!N663</f>
        <v/>
      </c>
      <c r="F663" s="20" t="str">
        <f t="shared" si="20"/>
        <v/>
      </c>
      <c r="G663" s="20" t="str">
        <f t="shared" si="21"/>
        <v/>
      </c>
    </row>
    <row r="664" spans="2:7" x14ac:dyDescent="0.2">
      <c r="B664" s="19" t="str">
        <f>IF('DDF Original'!B664="","",'DDF Original'!B664)</f>
        <v/>
      </c>
      <c r="C664" s="20" t="str">
        <f>IF('DDF Original'!C664="","",'DDF Original'!C664)</f>
        <v/>
      </c>
      <c r="D664" s="20" t="str">
        <f>IF('DDF Original'!F664="","",'DDF Original'!F664)</f>
        <v/>
      </c>
      <c r="E664" s="38" t="str">
        <f>'Recálculo Confissão (85-B)'!N664</f>
        <v/>
      </c>
      <c r="F664" s="20" t="str">
        <f t="shared" si="20"/>
        <v/>
      </c>
      <c r="G664" s="20" t="str">
        <f t="shared" si="21"/>
        <v/>
      </c>
    </row>
    <row r="665" spans="2:7" x14ac:dyDescent="0.2">
      <c r="B665" s="19" t="str">
        <f>IF('DDF Original'!B665="","",'DDF Original'!B665)</f>
        <v/>
      </c>
      <c r="C665" s="20" t="str">
        <f>IF('DDF Original'!C665="","",'DDF Original'!C665)</f>
        <v/>
      </c>
      <c r="D665" s="20" t="str">
        <f>IF('DDF Original'!F665="","",'DDF Original'!F665)</f>
        <v/>
      </c>
      <c r="E665" s="38" t="str">
        <f>'Recálculo Confissão (85-B)'!N665</f>
        <v/>
      </c>
      <c r="F665" s="20" t="str">
        <f t="shared" si="20"/>
        <v/>
      </c>
      <c r="G665" s="20" t="str">
        <f t="shared" si="21"/>
        <v/>
      </c>
    </row>
    <row r="666" spans="2:7" x14ac:dyDescent="0.2">
      <c r="B666" s="19" t="str">
        <f>IF('DDF Original'!B666="","",'DDF Original'!B666)</f>
        <v/>
      </c>
      <c r="C666" s="20" t="str">
        <f>IF('DDF Original'!C666="","",'DDF Original'!C666)</f>
        <v/>
      </c>
      <c r="D666" s="20" t="str">
        <f>IF('DDF Original'!F666="","",'DDF Original'!F666)</f>
        <v/>
      </c>
      <c r="E666" s="38" t="str">
        <f>'Recálculo Confissão (85-B)'!N666</f>
        <v/>
      </c>
      <c r="F666" s="20" t="str">
        <f t="shared" si="20"/>
        <v/>
      </c>
      <c r="G666" s="20" t="str">
        <f t="shared" si="21"/>
        <v/>
      </c>
    </row>
    <row r="667" spans="2:7" x14ac:dyDescent="0.2">
      <c r="B667" s="19" t="str">
        <f>IF('DDF Original'!B667="","",'DDF Original'!B667)</f>
        <v/>
      </c>
      <c r="C667" s="20" t="str">
        <f>IF('DDF Original'!C667="","",'DDF Original'!C667)</f>
        <v/>
      </c>
      <c r="D667" s="20" t="str">
        <f>IF('DDF Original'!F667="","",'DDF Original'!F667)</f>
        <v/>
      </c>
      <c r="E667" s="38" t="str">
        <f>'Recálculo Confissão (85-B)'!N667</f>
        <v/>
      </c>
      <c r="F667" s="20" t="str">
        <f t="shared" si="20"/>
        <v/>
      </c>
      <c r="G667" s="20" t="str">
        <f t="shared" si="21"/>
        <v/>
      </c>
    </row>
    <row r="668" spans="2:7" x14ac:dyDescent="0.2">
      <c r="B668" s="19" t="str">
        <f>IF('DDF Original'!B668="","",'DDF Original'!B668)</f>
        <v/>
      </c>
      <c r="C668" s="20" t="str">
        <f>IF('DDF Original'!C668="","",'DDF Original'!C668)</f>
        <v/>
      </c>
      <c r="D668" s="20" t="str">
        <f>IF('DDF Original'!F668="","",'DDF Original'!F668)</f>
        <v/>
      </c>
      <c r="E668" s="38" t="str">
        <f>'Recálculo Confissão (85-B)'!N668</f>
        <v/>
      </c>
      <c r="F668" s="20" t="str">
        <f t="shared" si="20"/>
        <v/>
      </c>
      <c r="G668" s="20" t="str">
        <f t="shared" si="21"/>
        <v/>
      </c>
    </row>
    <row r="669" spans="2:7" x14ac:dyDescent="0.2">
      <c r="B669" s="19" t="str">
        <f>IF('DDF Original'!B669="","",'DDF Original'!B669)</f>
        <v/>
      </c>
      <c r="C669" s="20" t="str">
        <f>IF('DDF Original'!C669="","",'DDF Original'!C669)</f>
        <v/>
      </c>
      <c r="D669" s="20" t="str">
        <f>IF('DDF Original'!F669="","",'DDF Original'!F669)</f>
        <v/>
      </c>
      <c r="E669" s="38" t="str">
        <f>'Recálculo Confissão (85-B)'!N669</f>
        <v/>
      </c>
      <c r="F669" s="20" t="str">
        <f t="shared" si="20"/>
        <v/>
      </c>
      <c r="G669" s="20" t="str">
        <f t="shared" si="21"/>
        <v/>
      </c>
    </row>
    <row r="670" spans="2:7" x14ac:dyDescent="0.2">
      <c r="B670" s="19" t="str">
        <f>IF('DDF Original'!B670="","",'DDF Original'!B670)</f>
        <v/>
      </c>
      <c r="C670" s="20" t="str">
        <f>IF('DDF Original'!C670="","",'DDF Original'!C670)</f>
        <v/>
      </c>
      <c r="D670" s="20" t="str">
        <f>IF('DDF Original'!F670="","",'DDF Original'!F670)</f>
        <v/>
      </c>
      <c r="E670" s="38" t="str">
        <f>'Recálculo Confissão (85-B)'!N670</f>
        <v/>
      </c>
      <c r="F670" s="20" t="str">
        <f t="shared" si="20"/>
        <v/>
      </c>
      <c r="G670" s="20" t="str">
        <f t="shared" si="21"/>
        <v/>
      </c>
    </row>
    <row r="671" spans="2:7" x14ac:dyDescent="0.2">
      <c r="B671" s="19" t="str">
        <f>IF('DDF Original'!B671="","",'DDF Original'!B671)</f>
        <v/>
      </c>
      <c r="C671" s="20" t="str">
        <f>IF('DDF Original'!C671="","",'DDF Original'!C671)</f>
        <v/>
      </c>
      <c r="D671" s="20" t="str">
        <f>IF('DDF Original'!F671="","",'DDF Original'!F671)</f>
        <v/>
      </c>
      <c r="E671" s="38" t="str">
        <f>'Recálculo Confissão (85-B)'!N671</f>
        <v/>
      </c>
      <c r="F671" s="20" t="str">
        <f t="shared" si="20"/>
        <v/>
      </c>
      <c r="G671" s="20" t="str">
        <f t="shared" si="21"/>
        <v/>
      </c>
    </row>
    <row r="672" spans="2:7" x14ac:dyDescent="0.2">
      <c r="B672" s="19" t="str">
        <f>IF('DDF Original'!B672="","",'DDF Original'!B672)</f>
        <v/>
      </c>
      <c r="C672" s="20" t="str">
        <f>IF('DDF Original'!C672="","",'DDF Original'!C672)</f>
        <v/>
      </c>
      <c r="D672" s="20" t="str">
        <f>IF('DDF Original'!F672="","",'DDF Original'!F672)</f>
        <v/>
      </c>
      <c r="E672" s="38" t="str">
        <f>'Recálculo Confissão (85-B)'!N672</f>
        <v/>
      </c>
      <c r="F672" s="20" t="str">
        <f t="shared" si="20"/>
        <v/>
      </c>
      <c r="G672" s="20" t="str">
        <f t="shared" si="21"/>
        <v/>
      </c>
    </row>
    <row r="673" spans="2:7" x14ac:dyDescent="0.2">
      <c r="B673" s="19" t="str">
        <f>IF('DDF Original'!B673="","",'DDF Original'!B673)</f>
        <v/>
      </c>
      <c r="C673" s="20" t="str">
        <f>IF('DDF Original'!C673="","",'DDF Original'!C673)</f>
        <v/>
      </c>
      <c r="D673" s="20" t="str">
        <f>IF('DDF Original'!F673="","",'DDF Original'!F673)</f>
        <v/>
      </c>
      <c r="E673" s="38" t="str">
        <f>'Recálculo Confissão (85-B)'!N673</f>
        <v/>
      </c>
      <c r="F673" s="20" t="str">
        <f t="shared" si="20"/>
        <v/>
      </c>
      <c r="G673" s="20" t="str">
        <f t="shared" si="21"/>
        <v/>
      </c>
    </row>
    <row r="674" spans="2:7" x14ac:dyDescent="0.2">
      <c r="B674" s="19" t="str">
        <f>IF('DDF Original'!B674="","",'DDF Original'!B674)</f>
        <v/>
      </c>
      <c r="C674" s="20" t="str">
        <f>IF('DDF Original'!C674="","",'DDF Original'!C674)</f>
        <v/>
      </c>
      <c r="D674" s="20" t="str">
        <f>IF('DDF Original'!F674="","",'DDF Original'!F674)</f>
        <v/>
      </c>
      <c r="E674" s="38" t="str">
        <f>'Recálculo Confissão (85-B)'!N674</f>
        <v/>
      </c>
      <c r="F674" s="20" t="str">
        <f t="shared" si="20"/>
        <v/>
      </c>
      <c r="G674" s="20" t="str">
        <f t="shared" si="21"/>
        <v/>
      </c>
    </row>
    <row r="675" spans="2:7" x14ac:dyDescent="0.2">
      <c r="B675" s="19" t="str">
        <f>IF('DDF Original'!B675="","",'DDF Original'!B675)</f>
        <v/>
      </c>
      <c r="C675" s="20" t="str">
        <f>IF('DDF Original'!C675="","",'DDF Original'!C675)</f>
        <v/>
      </c>
      <c r="D675" s="20" t="str">
        <f>IF('DDF Original'!F675="","",'DDF Original'!F675)</f>
        <v/>
      </c>
      <c r="E675" s="38" t="str">
        <f>'Recálculo Confissão (85-B)'!N675</f>
        <v/>
      </c>
      <c r="F675" s="20" t="str">
        <f t="shared" si="20"/>
        <v/>
      </c>
      <c r="G675" s="20" t="str">
        <f t="shared" si="21"/>
        <v/>
      </c>
    </row>
    <row r="676" spans="2:7" x14ac:dyDescent="0.2">
      <c r="B676" s="19" t="str">
        <f>IF('DDF Original'!B676="","",'DDF Original'!B676)</f>
        <v/>
      </c>
      <c r="C676" s="20" t="str">
        <f>IF('DDF Original'!C676="","",'DDF Original'!C676)</f>
        <v/>
      </c>
      <c r="D676" s="20" t="str">
        <f>IF('DDF Original'!F676="","",'DDF Original'!F676)</f>
        <v/>
      </c>
      <c r="E676" s="38" t="str">
        <f>'Recálculo Confissão (85-B)'!N676</f>
        <v/>
      </c>
      <c r="F676" s="20" t="str">
        <f t="shared" si="20"/>
        <v/>
      </c>
      <c r="G676" s="20" t="str">
        <f t="shared" si="21"/>
        <v/>
      </c>
    </row>
    <row r="677" spans="2:7" x14ac:dyDescent="0.2">
      <c r="B677" s="19" t="str">
        <f>IF('DDF Original'!B677="","",'DDF Original'!B677)</f>
        <v/>
      </c>
      <c r="C677" s="20" t="str">
        <f>IF('DDF Original'!C677="","",'DDF Original'!C677)</f>
        <v/>
      </c>
      <c r="D677" s="20" t="str">
        <f>IF('DDF Original'!F677="","",'DDF Original'!F677)</f>
        <v/>
      </c>
      <c r="E677" s="38" t="str">
        <f>'Recálculo Confissão (85-B)'!N677</f>
        <v/>
      </c>
      <c r="F677" s="20" t="str">
        <f t="shared" si="20"/>
        <v/>
      </c>
      <c r="G677" s="20" t="str">
        <f t="shared" si="21"/>
        <v/>
      </c>
    </row>
    <row r="678" spans="2:7" x14ac:dyDescent="0.2">
      <c r="B678" s="19" t="str">
        <f>IF('DDF Original'!B678="","",'DDF Original'!B678)</f>
        <v/>
      </c>
      <c r="C678" s="20" t="str">
        <f>IF('DDF Original'!C678="","",'DDF Original'!C678)</f>
        <v/>
      </c>
      <c r="D678" s="20" t="str">
        <f>IF('DDF Original'!F678="","",'DDF Original'!F678)</f>
        <v/>
      </c>
      <c r="E678" s="38" t="str">
        <f>'Recálculo Confissão (85-B)'!N678</f>
        <v/>
      </c>
      <c r="F678" s="20" t="str">
        <f t="shared" si="20"/>
        <v/>
      </c>
      <c r="G678" s="20" t="str">
        <f t="shared" si="21"/>
        <v/>
      </c>
    </row>
    <row r="679" spans="2:7" x14ac:dyDescent="0.2">
      <c r="B679" s="19" t="str">
        <f>IF('DDF Original'!B679="","",'DDF Original'!B679)</f>
        <v/>
      </c>
      <c r="C679" s="20" t="str">
        <f>IF('DDF Original'!C679="","",'DDF Original'!C679)</f>
        <v/>
      </c>
      <c r="D679" s="20" t="str">
        <f>IF('DDF Original'!F679="","",'DDF Original'!F679)</f>
        <v/>
      </c>
      <c r="E679" s="38" t="str">
        <f>'Recálculo Confissão (85-B)'!N679</f>
        <v/>
      </c>
      <c r="F679" s="20" t="str">
        <f t="shared" si="20"/>
        <v/>
      </c>
      <c r="G679" s="20" t="str">
        <f t="shared" si="21"/>
        <v/>
      </c>
    </row>
    <row r="680" spans="2:7" x14ac:dyDescent="0.2">
      <c r="B680" s="19" t="str">
        <f>IF('DDF Original'!B680="","",'DDF Original'!B680)</f>
        <v/>
      </c>
      <c r="C680" s="20" t="str">
        <f>IF('DDF Original'!C680="","",'DDF Original'!C680)</f>
        <v/>
      </c>
      <c r="D680" s="20" t="str">
        <f>IF('DDF Original'!F680="","",'DDF Original'!F680)</f>
        <v/>
      </c>
      <c r="E680" s="38" t="str">
        <f>'Recálculo Confissão (85-B)'!N680</f>
        <v/>
      </c>
      <c r="F680" s="20" t="str">
        <f t="shared" si="20"/>
        <v/>
      </c>
      <c r="G680" s="20" t="str">
        <f t="shared" si="21"/>
        <v/>
      </c>
    </row>
    <row r="681" spans="2:7" x14ac:dyDescent="0.2">
      <c r="B681" s="19" t="str">
        <f>IF('DDF Original'!B681="","",'DDF Original'!B681)</f>
        <v/>
      </c>
      <c r="C681" s="20" t="str">
        <f>IF('DDF Original'!C681="","",'DDF Original'!C681)</f>
        <v/>
      </c>
      <c r="D681" s="20" t="str">
        <f>IF('DDF Original'!F681="","",'DDF Original'!F681)</f>
        <v/>
      </c>
      <c r="E681" s="38" t="str">
        <f>'Recálculo Confissão (85-B)'!N681</f>
        <v/>
      </c>
      <c r="F681" s="20" t="str">
        <f t="shared" si="20"/>
        <v/>
      </c>
      <c r="G681" s="20" t="str">
        <f t="shared" si="21"/>
        <v/>
      </c>
    </row>
    <row r="682" spans="2:7" x14ac:dyDescent="0.2">
      <c r="B682" s="19" t="str">
        <f>IF('DDF Original'!B682="","",'DDF Original'!B682)</f>
        <v/>
      </c>
      <c r="C682" s="20" t="str">
        <f>IF('DDF Original'!C682="","",'DDF Original'!C682)</f>
        <v/>
      </c>
      <c r="D682" s="20" t="str">
        <f>IF('DDF Original'!F682="","",'DDF Original'!F682)</f>
        <v/>
      </c>
      <c r="E682" s="38" t="str">
        <f>'Recálculo Confissão (85-B)'!N682</f>
        <v/>
      </c>
      <c r="F682" s="20" t="str">
        <f t="shared" si="20"/>
        <v/>
      </c>
      <c r="G682" s="20" t="str">
        <f t="shared" si="21"/>
        <v/>
      </c>
    </row>
    <row r="683" spans="2:7" x14ac:dyDescent="0.2">
      <c r="B683" s="19" t="str">
        <f>IF('DDF Original'!B683="","",'DDF Original'!B683)</f>
        <v/>
      </c>
      <c r="C683" s="20" t="str">
        <f>IF('DDF Original'!C683="","",'DDF Original'!C683)</f>
        <v/>
      </c>
      <c r="D683" s="20" t="str">
        <f>IF('DDF Original'!F683="","",'DDF Original'!F683)</f>
        <v/>
      </c>
      <c r="E683" s="38" t="str">
        <f>'Recálculo Confissão (85-B)'!N683</f>
        <v/>
      </c>
      <c r="F683" s="20" t="str">
        <f t="shared" si="20"/>
        <v/>
      </c>
      <c r="G683" s="20" t="str">
        <f t="shared" si="21"/>
        <v/>
      </c>
    </row>
    <row r="684" spans="2:7" x14ac:dyDescent="0.2">
      <c r="B684" s="19" t="str">
        <f>IF('DDF Original'!B684="","",'DDF Original'!B684)</f>
        <v/>
      </c>
      <c r="C684" s="20" t="str">
        <f>IF('DDF Original'!C684="","",'DDF Original'!C684)</f>
        <v/>
      </c>
      <c r="D684" s="20" t="str">
        <f>IF('DDF Original'!F684="","",'DDF Original'!F684)</f>
        <v/>
      </c>
      <c r="E684" s="38" t="str">
        <f>'Recálculo Confissão (85-B)'!N684</f>
        <v/>
      </c>
      <c r="F684" s="20" t="str">
        <f t="shared" si="20"/>
        <v/>
      </c>
      <c r="G684" s="20" t="str">
        <f t="shared" si="21"/>
        <v/>
      </c>
    </row>
    <row r="685" spans="2:7" x14ac:dyDescent="0.2">
      <c r="B685" s="19" t="str">
        <f>IF('DDF Original'!B685="","",'DDF Original'!B685)</f>
        <v/>
      </c>
      <c r="C685" s="20" t="str">
        <f>IF('DDF Original'!C685="","",'DDF Original'!C685)</f>
        <v/>
      </c>
      <c r="D685" s="20" t="str">
        <f>IF('DDF Original'!F685="","",'DDF Original'!F685)</f>
        <v/>
      </c>
      <c r="E685" s="38" t="str">
        <f>'Recálculo Confissão (85-B)'!N685</f>
        <v/>
      </c>
      <c r="F685" s="20" t="str">
        <f t="shared" si="20"/>
        <v/>
      </c>
      <c r="G685" s="20" t="str">
        <f t="shared" si="21"/>
        <v/>
      </c>
    </row>
    <row r="686" spans="2:7" x14ac:dyDescent="0.2">
      <c r="B686" s="19" t="str">
        <f>IF('DDF Original'!B686="","",'DDF Original'!B686)</f>
        <v/>
      </c>
      <c r="C686" s="20" t="str">
        <f>IF('DDF Original'!C686="","",'DDF Original'!C686)</f>
        <v/>
      </c>
      <c r="D686" s="20" t="str">
        <f>IF('DDF Original'!F686="","",'DDF Original'!F686)</f>
        <v/>
      </c>
      <c r="E686" s="38" t="str">
        <f>'Recálculo Confissão (85-B)'!N686</f>
        <v/>
      </c>
      <c r="F686" s="20" t="str">
        <f t="shared" si="20"/>
        <v/>
      </c>
      <c r="G686" s="20" t="str">
        <f t="shared" si="21"/>
        <v/>
      </c>
    </row>
    <row r="687" spans="2:7" x14ac:dyDescent="0.2">
      <c r="B687" s="19" t="str">
        <f>IF('DDF Original'!B687="","",'DDF Original'!B687)</f>
        <v/>
      </c>
      <c r="C687" s="20" t="str">
        <f>IF('DDF Original'!C687="","",'DDF Original'!C687)</f>
        <v/>
      </c>
      <c r="D687" s="20" t="str">
        <f>IF('DDF Original'!F687="","",'DDF Original'!F687)</f>
        <v/>
      </c>
      <c r="E687" s="38" t="str">
        <f>'Recálculo Confissão (85-B)'!N687</f>
        <v/>
      </c>
      <c r="F687" s="20" t="str">
        <f t="shared" si="20"/>
        <v/>
      </c>
      <c r="G687" s="20" t="str">
        <f t="shared" si="21"/>
        <v/>
      </c>
    </row>
    <row r="688" spans="2:7" x14ac:dyDescent="0.2">
      <c r="B688" s="19" t="str">
        <f>IF('DDF Original'!B688="","",'DDF Original'!B688)</f>
        <v/>
      </c>
      <c r="C688" s="20" t="str">
        <f>IF('DDF Original'!C688="","",'DDF Original'!C688)</f>
        <v/>
      </c>
      <c r="D688" s="20" t="str">
        <f>IF('DDF Original'!F688="","",'DDF Original'!F688)</f>
        <v/>
      </c>
      <c r="E688" s="38" t="str">
        <f>'Recálculo Confissão (85-B)'!N688</f>
        <v/>
      </c>
      <c r="F688" s="20" t="str">
        <f t="shared" si="20"/>
        <v/>
      </c>
      <c r="G688" s="20" t="str">
        <f t="shared" si="21"/>
        <v/>
      </c>
    </row>
    <row r="689" spans="2:7" x14ac:dyDescent="0.2">
      <c r="B689" s="19" t="str">
        <f>IF('DDF Original'!B689="","",'DDF Original'!B689)</f>
        <v/>
      </c>
      <c r="C689" s="20" t="str">
        <f>IF('DDF Original'!C689="","",'DDF Original'!C689)</f>
        <v/>
      </c>
      <c r="D689" s="20" t="str">
        <f>IF('DDF Original'!F689="","",'DDF Original'!F689)</f>
        <v/>
      </c>
      <c r="E689" s="38" t="str">
        <f>'Recálculo Confissão (85-B)'!N689</f>
        <v/>
      </c>
      <c r="F689" s="20" t="str">
        <f t="shared" si="20"/>
        <v/>
      </c>
      <c r="G689" s="20" t="str">
        <f t="shared" si="21"/>
        <v/>
      </c>
    </row>
    <row r="690" spans="2:7" x14ac:dyDescent="0.2">
      <c r="B690" s="19" t="str">
        <f>IF('DDF Original'!B690="","",'DDF Original'!B690)</f>
        <v/>
      </c>
      <c r="C690" s="20" t="str">
        <f>IF('DDF Original'!C690="","",'DDF Original'!C690)</f>
        <v/>
      </c>
      <c r="D690" s="20" t="str">
        <f>IF('DDF Original'!F690="","",'DDF Original'!F690)</f>
        <v/>
      </c>
      <c r="E690" s="38" t="str">
        <f>'Recálculo Confissão (85-B)'!N690</f>
        <v/>
      </c>
      <c r="F690" s="20" t="str">
        <f t="shared" si="20"/>
        <v/>
      </c>
      <c r="G690" s="20" t="str">
        <f t="shared" si="21"/>
        <v/>
      </c>
    </row>
    <row r="691" spans="2:7" x14ac:dyDescent="0.2">
      <c r="B691" s="19" t="str">
        <f>IF('DDF Original'!B691="","",'DDF Original'!B691)</f>
        <v/>
      </c>
      <c r="C691" s="20" t="str">
        <f>IF('DDF Original'!C691="","",'DDF Original'!C691)</f>
        <v/>
      </c>
      <c r="D691" s="20" t="str">
        <f>IF('DDF Original'!F691="","",'DDF Original'!F691)</f>
        <v/>
      </c>
      <c r="E691" s="38" t="str">
        <f>'Recálculo Confissão (85-B)'!N691</f>
        <v/>
      </c>
      <c r="F691" s="20" t="str">
        <f t="shared" si="20"/>
        <v/>
      </c>
      <c r="G691" s="20" t="str">
        <f t="shared" si="21"/>
        <v/>
      </c>
    </row>
    <row r="692" spans="2:7" x14ac:dyDescent="0.2">
      <c r="B692" s="19" t="str">
        <f>IF('DDF Original'!B692="","",'DDF Original'!B692)</f>
        <v/>
      </c>
      <c r="C692" s="20" t="str">
        <f>IF('DDF Original'!C692="","",'DDF Original'!C692)</f>
        <v/>
      </c>
      <c r="D692" s="20" t="str">
        <f>IF('DDF Original'!F692="","",'DDF Original'!F692)</f>
        <v/>
      </c>
      <c r="E692" s="38" t="str">
        <f>'Recálculo Confissão (85-B)'!N692</f>
        <v/>
      </c>
      <c r="F692" s="20" t="str">
        <f t="shared" si="20"/>
        <v/>
      </c>
      <c r="G692" s="20" t="str">
        <f t="shared" si="21"/>
        <v/>
      </c>
    </row>
    <row r="693" spans="2:7" x14ac:dyDescent="0.2">
      <c r="B693" s="19" t="str">
        <f>IF('DDF Original'!B693="","",'DDF Original'!B693)</f>
        <v/>
      </c>
      <c r="C693" s="20" t="str">
        <f>IF('DDF Original'!C693="","",'DDF Original'!C693)</f>
        <v/>
      </c>
      <c r="D693" s="20" t="str">
        <f>IF('DDF Original'!F693="","",'DDF Original'!F693)</f>
        <v/>
      </c>
      <c r="E693" s="38" t="str">
        <f>'Recálculo Confissão (85-B)'!N693</f>
        <v/>
      </c>
      <c r="F693" s="20" t="str">
        <f t="shared" si="20"/>
        <v/>
      </c>
      <c r="G693" s="20" t="str">
        <f t="shared" si="21"/>
        <v/>
      </c>
    </row>
    <row r="694" spans="2:7" x14ac:dyDescent="0.2">
      <c r="B694" s="19" t="str">
        <f>IF('DDF Original'!B694="","",'DDF Original'!B694)</f>
        <v/>
      </c>
      <c r="C694" s="20" t="str">
        <f>IF('DDF Original'!C694="","",'DDF Original'!C694)</f>
        <v/>
      </c>
      <c r="D694" s="20" t="str">
        <f>IF('DDF Original'!F694="","",'DDF Original'!F694)</f>
        <v/>
      </c>
      <c r="E694" s="38" t="str">
        <f>'Recálculo Confissão (85-B)'!N694</f>
        <v/>
      </c>
      <c r="F694" s="20" t="str">
        <f t="shared" si="20"/>
        <v/>
      </c>
      <c r="G694" s="20" t="str">
        <f t="shared" si="21"/>
        <v/>
      </c>
    </row>
    <row r="695" spans="2:7" x14ac:dyDescent="0.2">
      <c r="B695" s="19" t="str">
        <f>IF('DDF Original'!B695="","",'DDF Original'!B695)</f>
        <v/>
      </c>
      <c r="C695" s="20" t="str">
        <f>IF('DDF Original'!C695="","",'DDF Original'!C695)</f>
        <v/>
      </c>
      <c r="D695" s="20" t="str">
        <f>IF('DDF Original'!F695="","",'DDF Original'!F695)</f>
        <v/>
      </c>
      <c r="E695" s="38" t="str">
        <f>'Recálculo Confissão (85-B)'!N695</f>
        <v/>
      </c>
      <c r="F695" s="20" t="str">
        <f t="shared" si="20"/>
        <v/>
      </c>
      <c r="G695" s="20" t="str">
        <f t="shared" si="21"/>
        <v/>
      </c>
    </row>
    <row r="696" spans="2:7" x14ac:dyDescent="0.2">
      <c r="B696" s="19" t="str">
        <f>IF('DDF Original'!B696="","",'DDF Original'!B696)</f>
        <v/>
      </c>
      <c r="C696" s="20" t="str">
        <f>IF('DDF Original'!C696="","",'DDF Original'!C696)</f>
        <v/>
      </c>
      <c r="D696" s="20" t="str">
        <f>IF('DDF Original'!F696="","",'DDF Original'!F696)</f>
        <v/>
      </c>
      <c r="E696" s="38" t="str">
        <f>'Recálculo Confissão (85-B)'!N696</f>
        <v/>
      </c>
      <c r="F696" s="20" t="str">
        <f t="shared" si="20"/>
        <v/>
      </c>
      <c r="G696" s="20" t="str">
        <f t="shared" si="21"/>
        <v/>
      </c>
    </row>
    <row r="697" spans="2:7" x14ac:dyDescent="0.2">
      <c r="B697" s="19" t="str">
        <f>IF('DDF Original'!B697="","",'DDF Original'!B697)</f>
        <v/>
      </c>
      <c r="C697" s="20" t="str">
        <f>IF('DDF Original'!C697="","",'DDF Original'!C697)</f>
        <v/>
      </c>
      <c r="D697" s="20" t="str">
        <f>IF('DDF Original'!F697="","",'DDF Original'!F697)</f>
        <v/>
      </c>
      <c r="E697" s="38" t="str">
        <f>'Recálculo Confissão (85-B)'!N697</f>
        <v/>
      </c>
      <c r="F697" s="20" t="str">
        <f t="shared" si="20"/>
        <v/>
      </c>
      <c r="G697" s="20" t="str">
        <f t="shared" si="21"/>
        <v/>
      </c>
    </row>
    <row r="698" spans="2:7" x14ac:dyDescent="0.2">
      <c r="B698" s="19" t="str">
        <f>IF('DDF Original'!B698="","",'DDF Original'!B698)</f>
        <v/>
      </c>
      <c r="C698" s="20" t="str">
        <f>IF('DDF Original'!C698="","",'DDF Original'!C698)</f>
        <v/>
      </c>
      <c r="D698" s="20" t="str">
        <f>IF('DDF Original'!F698="","",'DDF Original'!F698)</f>
        <v/>
      </c>
      <c r="E698" s="38" t="str">
        <f>'Recálculo Confissão (85-B)'!N698</f>
        <v/>
      </c>
      <c r="F698" s="20" t="str">
        <f t="shared" si="20"/>
        <v/>
      </c>
      <c r="G698" s="20" t="str">
        <f t="shared" si="21"/>
        <v/>
      </c>
    </row>
    <row r="699" spans="2:7" x14ac:dyDescent="0.2">
      <c r="B699" s="19" t="str">
        <f>IF('DDF Original'!B699="","",'DDF Original'!B699)</f>
        <v/>
      </c>
      <c r="C699" s="20" t="str">
        <f>IF('DDF Original'!C699="","",'DDF Original'!C699)</f>
        <v/>
      </c>
      <c r="D699" s="20" t="str">
        <f>IF('DDF Original'!F699="","",'DDF Original'!F699)</f>
        <v/>
      </c>
      <c r="E699" s="38" t="str">
        <f>'Recálculo Confissão (85-B)'!N699</f>
        <v/>
      </c>
      <c r="F699" s="20" t="str">
        <f t="shared" si="20"/>
        <v/>
      </c>
      <c r="G699" s="20" t="str">
        <f t="shared" si="21"/>
        <v/>
      </c>
    </row>
    <row r="700" spans="2:7" x14ac:dyDescent="0.2">
      <c r="B700" s="19" t="str">
        <f>IF('DDF Original'!B700="","",'DDF Original'!B700)</f>
        <v/>
      </c>
      <c r="C700" s="20" t="str">
        <f>IF('DDF Original'!C700="","",'DDF Original'!C700)</f>
        <v/>
      </c>
      <c r="D700" s="20" t="str">
        <f>IF('DDF Original'!F700="","",'DDF Original'!F700)</f>
        <v/>
      </c>
      <c r="E700" s="38" t="str">
        <f>'Recálculo Confissão (85-B)'!N700</f>
        <v/>
      </c>
      <c r="F700" s="20" t="str">
        <f t="shared" si="20"/>
        <v/>
      </c>
      <c r="G700" s="20" t="str">
        <f t="shared" si="21"/>
        <v/>
      </c>
    </row>
    <row r="701" spans="2:7" x14ac:dyDescent="0.2">
      <c r="B701" s="19" t="str">
        <f>IF('DDF Original'!B701="","",'DDF Original'!B701)</f>
        <v/>
      </c>
      <c r="C701" s="20" t="str">
        <f>IF('DDF Original'!C701="","",'DDF Original'!C701)</f>
        <v/>
      </c>
      <c r="D701" s="20" t="str">
        <f>IF('DDF Original'!F701="","",'DDF Original'!F701)</f>
        <v/>
      </c>
      <c r="E701" s="38" t="str">
        <f>'Recálculo Confissão (85-B)'!N701</f>
        <v/>
      </c>
      <c r="F701" s="20" t="str">
        <f t="shared" ref="F701:F764" si="22">IF(E701="","",ROUND(E701*(1-70%),2))</f>
        <v/>
      </c>
      <c r="G701" s="20" t="str">
        <f t="shared" ref="G701:G764" si="23">IF(E701="","",ROUND(E701*(1-60%),2))</f>
        <v/>
      </c>
    </row>
    <row r="702" spans="2:7" x14ac:dyDescent="0.2">
      <c r="B702" s="19" t="str">
        <f>IF('DDF Original'!B702="","",'DDF Original'!B702)</f>
        <v/>
      </c>
      <c r="C702" s="20" t="str">
        <f>IF('DDF Original'!C702="","",'DDF Original'!C702)</f>
        <v/>
      </c>
      <c r="D702" s="20" t="str">
        <f>IF('DDF Original'!F702="","",'DDF Original'!F702)</f>
        <v/>
      </c>
      <c r="E702" s="38" t="str">
        <f>'Recálculo Confissão (85-B)'!N702</f>
        <v/>
      </c>
      <c r="F702" s="20" t="str">
        <f t="shared" si="22"/>
        <v/>
      </c>
      <c r="G702" s="20" t="str">
        <f t="shared" si="23"/>
        <v/>
      </c>
    </row>
    <row r="703" spans="2:7" x14ac:dyDescent="0.2">
      <c r="B703" s="19" t="str">
        <f>IF('DDF Original'!B703="","",'DDF Original'!B703)</f>
        <v/>
      </c>
      <c r="C703" s="20" t="str">
        <f>IF('DDF Original'!C703="","",'DDF Original'!C703)</f>
        <v/>
      </c>
      <c r="D703" s="20" t="str">
        <f>IF('DDF Original'!F703="","",'DDF Original'!F703)</f>
        <v/>
      </c>
      <c r="E703" s="38" t="str">
        <f>'Recálculo Confissão (85-B)'!N703</f>
        <v/>
      </c>
      <c r="F703" s="20" t="str">
        <f t="shared" si="22"/>
        <v/>
      </c>
      <c r="G703" s="20" t="str">
        <f t="shared" si="23"/>
        <v/>
      </c>
    </row>
    <row r="704" spans="2:7" x14ac:dyDescent="0.2">
      <c r="B704" s="19" t="str">
        <f>IF('DDF Original'!B704="","",'DDF Original'!B704)</f>
        <v/>
      </c>
      <c r="C704" s="20" t="str">
        <f>IF('DDF Original'!C704="","",'DDF Original'!C704)</f>
        <v/>
      </c>
      <c r="D704" s="20" t="str">
        <f>IF('DDF Original'!F704="","",'DDF Original'!F704)</f>
        <v/>
      </c>
      <c r="E704" s="38" t="str">
        <f>'Recálculo Confissão (85-B)'!N704</f>
        <v/>
      </c>
      <c r="F704" s="20" t="str">
        <f t="shared" si="22"/>
        <v/>
      </c>
      <c r="G704" s="20" t="str">
        <f t="shared" si="23"/>
        <v/>
      </c>
    </row>
    <row r="705" spans="2:7" x14ac:dyDescent="0.2">
      <c r="B705" s="19" t="str">
        <f>IF('DDF Original'!B705="","",'DDF Original'!B705)</f>
        <v/>
      </c>
      <c r="C705" s="20" t="str">
        <f>IF('DDF Original'!C705="","",'DDF Original'!C705)</f>
        <v/>
      </c>
      <c r="D705" s="20" t="str">
        <f>IF('DDF Original'!F705="","",'DDF Original'!F705)</f>
        <v/>
      </c>
      <c r="E705" s="38" t="str">
        <f>'Recálculo Confissão (85-B)'!N705</f>
        <v/>
      </c>
      <c r="F705" s="20" t="str">
        <f t="shared" si="22"/>
        <v/>
      </c>
      <c r="G705" s="20" t="str">
        <f t="shared" si="23"/>
        <v/>
      </c>
    </row>
    <row r="706" spans="2:7" x14ac:dyDescent="0.2">
      <c r="B706" s="19" t="str">
        <f>IF('DDF Original'!B706="","",'DDF Original'!B706)</f>
        <v/>
      </c>
      <c r="C706" s="20" t="str">
        <f>IF('DDF Original'!C706="","",'DDF Original'!C706)</f>
        <v/>
      </c>
      <c r="D706" s="20" t="str">
        <f>IF('DDF Original'!F706="","",'DDF Original'!F706)</f>
        <v/>
      </c>
      <c r="E706" s="38" t="str">
        <f>'Recálculo Confissão (85-B)'!N706</f>
        <v/>
      </c>
      <c r="F706" s="20" t="str">
        <f t="shared" si="22"/>
        <v/>
      </c>
      <c r="G706" s="20" t="str">
        <f t="shared" si="23"/>
        <v/>
      </c>
    </row>
    <row r="707" spans="2:7" x14ac:dyDescent="0.2">
      <c r="B707" s="19" t="str">
        <f>IF('DDF Original'!B707="","",'DDF Original'!B707)</f>
        <v/>
      </c>
      <c r="C707" s="20" t="str">
        <f>IF('DDF Original'!C707="","",'DDF Original'!C707)</f>
        <v/>
      </c>
      <c r="D707" s="20" t="str">
        <f>IF('DDF Original'!F707="","",'DDF Original'!F707)</f>
        <v/>
      </c>
      <c r="E707" s="38" t="str">
        <f>'Recálculo Confissão (85-B)'!N707</f>
        <v/>
      </c>
      <c r="F707" s="20" t="str">
        <f t="shared" si="22"/>
        <v/>
      </c>
      <c r="G707" s="20" t="str">
        <f t="shared" si="23"/>
        <v/>
      </c>
    </row>
    <row r="708" spans="2:7" x14ac:dyDescent="0.2">
      <c r="B708" s="19" t="str">
        <f>IF('DDF Original'!B708="","",'DDF Original'!B708)</f>
        <v/>
      </c>
      <c r="C708" s="20" t="str">
        <f>IF('DDF Original'!C708="","",'DDF Original'!C708)</f>
        <v/>
      </c>
      <c r="D708" s="20" t="str">
        <f>IF('DDF Original'!F708="","",'DDF Original'!F708)</f>
        <v/>
      </c>
      <c r="E708" s="38" t="str">
        <f>'Recálculo Confissão (85-B)'!N708</f>
        <v/>
      </c>
      <c r="F708" s="20" t="str">
        <f t="shared" si="22"/>
        <v/>
      </c>
      <c r="G708" s="20" t="str">
        <f t="shared" si="23"/>
        <v/>
      </c>
    </row>
    <row r="709" spans="2:7" x14ac:dyDescent="0.2">
      <c r="B709" s="19" t="str">
        <f>IF('DDF Original'!B709="","",'DDF Original'!B709)</f>
        <v/>
      </c>
      <c r="C709" s="20" t="str">
        <f>IF('DDF Original'!C709="","",'DDF Original'!C709)</f>
        <v/>
      </c>
      <c r="D709" s="20" t="str">
        <f>IF('DDF Original'!F709="","",'DDF Original'!F709)</f>
        <v/>
      </c>
      <c r="E709" s="38" t="str">
        <f>'Recálculo Confissão (85-B)'!N709</f>
        <v/>
      </c>
      <c r="F709" s="20" t="str">
        <f t="shared" si="22"/>
        <v/>
      </c>
      <c r="G709" s="20" t="str">
        <f t="shared" si="23"/>
        <v/>
      </c>
    </row>
    <row r="710" spans="2:7" x14ac:dyDescent="0.2">
      <c r="B710" s="19" t="str">
        <f>IF('DDF Original'!B710="","",'DDF Original'!B710)</f>
        <v/>
      </c>
      <c r="C710" s="20" t="str">
        <f>IF('DDF Original'!C710="","",'DDF Original'!C710)</f>
        <v/>
      </c>
      <c r="D710" s="20" t="str">
        <f>IF('DDF Original'!F710="","",'DDF Original'!F710)</f>
        <v/>
      </c>
      <c r="E710" s="38" t="str">
        <f>'Recálculo Confissão (85-B)'!N710</f>
        <v/>
      </c>
      <c r="F710" s="20" t="str">
        <f t="shared" si="22"/>
        <v/>
      </c>
      <c r="G710" s="20" t="str">
        <f t="shared" si="23"/>
        <v/>
      </c>
    </row>
    <row r="711" spans="2:7" x14ac:dyDescent="0.2">
      <c r="B711" s="19" t="str">
        <f>IF('DDF Original'!B711="","",'DDF Original'!B711)</f>
        <v/>
      </c>
      <c r="C711" s="20" t="str">
        <f>IF('DDF Original'!C711="","",'DDF Original'!C711)</f>
        <v/>
      </c>
      <c r="D711" s="20" t="str">
        <f>IF('DDF Original'!F711="","",'DDF Original'!F711)</f>
        <v/>
      </c>
      <c r="E711" s="38" t="str">
        <f>'Recálculo Confissão (85-B)'!N711</f>
        <v/>
      </c>
      <c r="F711" s="20" t="str">
        <f t="shared" si="22"/>
        <v/>
      </c>
      <c r="G711" s="20" t="str">
        <f t="shared" si="23"/>
        <v/>
      </c>
    </row>
    <row r="712" spans="2:7" x14ac:dyDescent="0.2">
      <c r="B712" s="19" t="str">
        <f>IF('DDF Original'!B712="","",'DDF Original'!B712)</f>
        <v/>
      </c>
      <c r="C712" s="20" t="str">
        <f>IF('DDF Original'!C712="","",'DDF Original'!C712)</f>
        <v/>
      </c>
      <c r="D712" s="20" t="str">
        <f>IF('DDF Original'!F712="","",'DDF Original'!F712)</f>
        <v/>
      </c>
      <c r="E712" s="38" t="str">
        <f>'Recálculo Confissão (85-B)'!N712</f>
        <v/>
      </c>
      <c r="F712" s="20" t="str">
        <f t="shared" si="22"/>
        <v/>
      </c>
      <c r="G712" s="20" t="str">
        <f t="shared" si="23"/>
        <v/>
      </c>
    </row>
    <row r="713" spans="2:7" x14ac:dyDescent="0.2">
      <c r="B713" s="19" t="str">
        <f>IF('DDF Original'!B713="","",'DDF Original'!B713)</f>
        <v/>
      </c>
      <c r="C713" s="20" t="str">
        <f>IF('DDF Original'!C713="","",'DDF Original'!C713)</f>
        <v/>
      </c>
      <c r="D713" s="20" t="str">
        <f>IF('DDF Original'!F713="","",'DDF Original'!F713)</f>
        <v/>
      </c>
      <c r="E713" s="38" t="str">
        <f>'Recálculo Confissão (85-B)'!N713</f>
        <v/>
      </c>
      <c r="F713" s="20" t="str">
        <f t="shared" si="22"/>
        <v/>
      </c>
      <c r="G713" s="20" t="str">
        <f t="shared" si="23"/>
        <v/>
      </c>
    </row>
    <row r="714" spans="2:7" x14ac:dyDescent="0.2">
      <c r="B714" s="19" t="str">
        <f>IF('DDF Original'!B714="","",'DDF Original'!B714)</f>
        <v/>
      </c>
      <c r="C714" s="20" t="str">
        <f>IF('DDF Original'!C714="","",'DDF Original'!C714)</f>
        <v/>
      </c>
      <c r="D714" s="20" t="str">
        <f>IF('DDF Original'!F714="","",'DDF Original'!F714)</f>
        <v/>
      </c>
      <c r="E714" s="38" t="str">
        <f>'Recálculo Confissão (85-B)'!N714</f>
        <v/>
      </c>
      <c r="F714" s="20" t="str">
        <f t="shared" si="22"/>
        <v/>
      </c>
      <c r="G714" s="20" t="str">
        <f t="shared" si="23"/>
        <v/>
      </c>
    </row>
    <row r="715" spans="2:7" x14ac:dyDescent="0.2">
      <c r="B715" s="19" t="str">
        <f>IF('DDF Original'!B715="","",'DDF Original'!B715)</f>
        <v/>
      </c>
      <c r="C715" s="20" t="str">
        <f>IF('DDF Original'!C715="","",'DDF Original'!C715)</f>
        <v/>
      </c>
      <c r="D715" s="20" t="str">
        <f>IF('DDF Original'!F715="","",'DDF Original'!F715)</f>
        <v/>
      </c>
      <c r="E715" s="38" t="str">
        <f>'Recálculo Confissão (85-B)'!N715</f>
        <v/>
      </c>
      <c r="F715" s="20" t="str">
        <f t="shared" si="22"/>
        <v/>
      </c>
      <c r="G715" s="20" t="str">
        <f t="shared" si="23"/>
        <v/>
      </c>
    </row>
    <row r="716" spans="2:7" x14ac:dyDescent="0.2">
      <c r="B716" s="19" t="str">
        <f>IF('DDF Original'!B716="","",'DDF Original'!B716)</f>
        <v/>
      </c>
      <c r="C716" s="20" t="str">
        <f>IF('DDF Original'!C716="","",'DDF Original'!C716)</f>
        <v/>
      </c>
      <c r="D716" s="20" t="str">
        <f>IF('DDF Original'!F716="","",'DDF Original'!F716)</f>
        <v/>
      </c>
      <c r="E716" s="38" t="str">
        <f>'Recálculo Confissão (85-B)'!N716</f>
        <v/>
      </c>
      <c r="F716" s="20" t="str">
        <f t="shared" si="22"/>
        <v/>
      </c>
      <c r="G716" s="20" t="str">
        <f t="shared" si="23"/>
        <v/>
      </c>
    </row>
    <row r="717" spans="2:7" x14ac:dyDescent="0.2">
      <c r="B717" s="19" t="str">
        <f>IF('DDF Original'!B717="","",'DDF Original'!B717)</f>
        <v/>
      </c>
      <c r="C717" s="20" t="str">
        <f>IF('DDF Original'!C717="","",'DDF Original'!C717)</f>
        <v/>
      </c>
      <c r="D717" s="20" t="str">
        <f>IF('DDF Original'!F717="","",'DDF Original'!F717)</f>
        <v/>
      </c>
      <c r="E717" s="38" t="str">
        <f>'Recálculo Confissão (85-B)'!N717</f>
        <v/>
      </c>
      <c r="F717" s="20" t="str">
        <f t="shared" si="22"/>
        <v/>
      </c>
      <c r="G717" s="20" t="str">
        <f t="shared" si="23"/>
        <v/>
      </c>
    </row>
    <row r="718" spans="2:7" x14ac:dyDescent="0.2">
      <c r="B718" s="19" t="str">
        <f>IF('DDF Original'!B718="","",'DDF Original'!B718)</f>
        <v/>
      </c>
      <c r="C718" s="20" t="str">
        <f>IF('DDF Original'!C718="","",'DDF Original'!C718)</f>
        <v/>
      </c>
      <c r="D718" s="20" t="str">
        <f>IF('DDF Original'!F718="","",'DDF Original'!F718)</f>
        <v/>
      </c>
      <c r="E718" s="38" t="str">
        <f>'Recálculo Confissão (85-B)'!N718</f>
        <v/>
      </c>
      <c r="F718" s="20" t="str">
        <f t="shared" si="22"/>
        <v/>
      </c>
      <c r="G718" s="20" t="str">
        <f t="shared" si="23"/>
        <v/>
      </c>
    </row>
    <row r="719" spans="2:7" x14ac:dyDescent="0.2">
      <c r="B719" s="19" t="str">
        <f>IF('DDF Original'!B719="","",'DDF Original'!B719)</f>
        <v/>
      </c>
      <c r="C719" s="20" t="str">
        <f>IF('DDF Original'!C719="","",'DDF Original'!C719)</f>
        <v/>
      </c>
      <c r="D719" s="20" t="str">
        <f>IF('DDF Original'!F719="","",'DDF Original'!F719)</f>
        <v/>
      </c>
      <c r="E719" s="38" t="str">
        <f>'Recálculo Confissão (85-B)'!N719</f>
        <v/>
      </c>
      <c r="F719" s="20" t="str">
        <f t="shared" si="22"/>
        <v/>
      </c>
      <c r="G719" s="20" t="str">
        <f t="shared" si="23"/>
        <v/>
      </c>
    </row>
    <row r="720" spans="2:7" x14ac:dyDescent="0.2">
      <c r="B720" s="19" t="str">
        <f>IF('DDF Original'!B720="","",'DDF Original'!B720)</f>
        <v/>
      </c>
      <c r="C720" s="20" t="str">
        <f>IF('DDF Original'!C720="","",'DDF Original'!C720)</f>
        <v/>
      </c>
      <c r="D720" s="20" t="str">
        <f>IF('DDF Original'!F720="","",'DDF Original'!F720)</f>
        <v/>
      </c>
      <c r="E720" s="38" t="str">
        <f>'Recálculo Confissão (85-B)'!N720</f>
        <v/>
      </c>
      <c r="F720" s="20" t="str">
        <f t="shared" si="22"/>
        <v/>
      </c>
      <c r="G720" s="20" t="str">
        <f t="shared" si="23"/>
        <v/>
      </c>
    </row>
    <row r="721" spans="2:7" x14ac:dyDescent="0.2">
      <c r="B721" s="19" t="str">
        <f>IF('DDF Original'!B721="","",'DDF Original'!B721)</f>
        <v/>
      </c>
      <c r="C721" s="20" t="str">
        <f>IF('DDF Original'!C721="","",'DDF Original'!C721)</f>
        <v/>
      </c>
      <c r="D721" s="20" t="str">
        <f>IF('DDF Original'!F721="","",'DDF Original'!F721)</f>
        <v/>
      </c>
      <c r="E721" s="38" t="str">
        <f>'Recálculo Confissão (85-B)'!N721</f>
        <v/>
      </c>
      <c r="F721" s="20" t="str">
        <f t="shared" si="22"/>
        <v/>
      </c>
      <c r="G721" s="20" t="str">
        <f t="shared" si="23"/>
        <v/>
      </c>
    </row>
    <row r="722" spans="2:7" x14ac:dyDescent="0.2">
      <c r="B722" s="19" t="str">
        <f>IF('DDF Original'!B722="","",'DDF Original'!B722)</f>
        <v/>
      </c>
      <c r="C722" s="20" t="str">
        <f>IF('DDF Original'!C722="","",'DDF Original'!C722)</f>
        <v/>
      </c>
      <c r="D722" s="20" t="str">
        <f>IF('DDF Original'!F722="","",'DDF Original'!F722)</f>
        <v/>
      </c>
      <c r="E722" s="38" t="str">
        <f>'Recálculo Confissão (85-B)'!N722</f>
        <v/>
      </c>
      <c r="F722" s="20" t="str">
        <f t="shared" si="22"/>
        <v/>
      </c>
      <c r="G722" s="20" t="str">
        <f t="shared" si="23"/>
        <v/>
      </c>
    </row>
    <row r="723" spans="2:7" x14ac:dyDescent="0.2">
      <c r="B723" s="19" t="str">
        <f>IF('DDF Original'!B723="","",'DDF Original'!B723)</f>
        <v/>
      </c>
      <c r="C723" s="20" t="str">
        <f>IF('DDF Original'!C723="","",'DDF Original'!C723)</f>
        <v/>
      </c>
      <c r="D723" s="20" t="str">
        <f>IF('DDF Original'!F723="","",'DDF Original'!F723)</f>
        <v/>
      </c>
      <c r="E723" s="38" t="str">
        <f>'Recálculo Confissão (85-B)'!N723</f>
        <v/>
      </c>
      <c r="F723" s="20" t="str">
        <f t="shared" si="22"/>
        <v/>
      </c>
      <c r="G723" s="20" t="str">
        <f t="shared" si="23"/>
        <v/>
      </c>
    </row>
    <row r="724" spans="2:7" x14ac:dyDescent="0.2">
      <c r="B724" s="19" t="str">
        <f>IF('DDF Original'!B724="","",'DDF Original'!B724)</f>
        <v/>
      </c>
      <c r="C724" s="20" t="str">
        <f>IF('DDF Original'!C724="","",'DDF Original'!C724)</f>
        <v/>
      </c>
      <c r="D724" s="20" t="str">
        <f>IF('DDF Original'!F724="","",'DDF Original'!F724)</f>
        <v/>
      </c>
      <c r="E724" s="38" t="str">
        <f>'Recálculo Confissão (85-B)'!N724</f>
        <v/>
      </c>
      <c r="F724" s="20" t="str">
        <f t="shared" si="22"/>
        <v/>
      </c>
      <c r="G724" s="20" t="str">
        <f t="shared" si="23"/>
        <v/>
      </c>
    </row>
    <row r="725" spans="2:7" x14ac:dyDescent="0.2">
      <c r="B725" s="19" t="str">
        <f>IF('DDF Original'!B725="","",'DDF Original'!B725)</f>
        <v/>
      </c>
      <c r="C725" s="20" t="str">
        <f>IF('DDF Original'!C725="","",'DDF Original'!C725)</f>
        <v/>
      </c>
      <c r="D725" s="20" t="str">
        <f>IF('DDF Original'!F725="","",'DDF Original'!F725)</f>
        <v/>
      </c>
      <c r="E725" s="38" t="str">
        <f>'Recálculo Confissão (85-B)'!N725</f>
        <v/>
      </c>
      <c r="F725" s="20" t="str">
        <f t="shared" si="22"/>
        <v/>
      </c>
      <c r="G725" s="20" t="str">
        <f t="shared" si="23"/>
        <v/>
      </c>
    </row>
    <row r="726" spans="2:7" x14ac:dyDescent="0.2">
      <c r="B726" s="19" t="str">
        <f>IF('DDF Original'!B726="","",'DDF Original'!B726)</f>
        <v/>
      </c>
      <c r="C726" s="20" t="str">
        <f>IF('DDF Original'!C726="","",'DDF Original'!C726)</f>
        <v/>
      </c>
      <c r="D726" s="20" t="str">
        <f>IF('DDF Original'!F726="","",'DDF Original'!F726)</f>
        <v/>
      </c>
      <c r="E726" s="38" t="str">
        <f>'Recálculo Confissão (85-B)'!N726</f>
        <v/>
      </c>
      <c r="F726" s="20" t="str">
        <f t="shared" si="22"/>
        <v/>
      </c>
      <c r="G726" s="20" t="str">
        <f t="shared" si="23"/>
        <v/>
      </c>
    </row>
    <row r="727" spans="2:7" x14ac:dyDescent="0.2">
      <c r="B727" s="19" t="str">
        <f>IF('DDF Original'!B727="","",'DDF Original'!B727)</f>
        <v/>
      </c>
      <c r="C727" s="20" t="str">
        <f>IF('DDF Original'!C727="","",'DDF Original'!C727)</f>
        <v/>
      </c>
      <c r="D727" s="20" t="str">
        <f>IF('DDF Original'!F727="","",'DDF Original'!F727)</f>
        <v/>
      </c>
      <c r="E727" s="38" t="str">
        <f>'Recálculo Confissão (85-B)'!N727</f>
        <v/>
      </c>
      <c r="F727" s="20" t="str">
        <f t="shared" si="22"/>
        <v/>
      </c>
      <c r="G727" s="20" t="str">
        <f t="shared" si="23"/>
        <v/>
      </c>
    </row>
    <row r="728" spans="2:7" x14ac:dyDescent="0.2">
      <c r="B728" s="19" t="str">
        <f>IF('DDF Original'!B728="","",'DDF Original'!B728)</f>
        <v/>
      </c>
      <c r="C728" s="20" t="str">
        <f>IF('DDF Original'!C728="","",'DDF Original'!C728)</f>
        <v/>
      </c>
      <c r="D728" s="20" t="str">
        <f>IF('DDF Original'!F728="","",'DDF Original'!F728)</f>
        <v/>
      </c>
      <c r="E728" s="38" t="str">
        <f>'Recálculo Confissão (85-B)'!N728</f>
        <v/>
      </c>
      <c r="F728" s="20" t="str">
        <f t="shared" si="22"/>
        <v/>
      </c>
      <c r="G728" s="20" t="str">
        <f t="shared" si="23"/>
        <v/>
      </c>
    </row>
    <row r="729" spans="2:7" x14ac:dyDescent="0.2">
      <c r="B729" s="19" t="str">
        <f>IF('DDF Original'!B729="","",'DDF Original'!B729)</f>
        <v/>
      </c>
      <c r="C729" s="20" t="str">
        <f>IF('DDF Original'!C729="","",'DDF Original'!C729)</f>
        <v/>
      </c>
      <c r="D729" s="20" t="str">
        <f>IF('DDF Original'!F729="","",'DDF Original'!F729)</f>
        <v/>
      </c>
      <c r="E729" s="38" t="str">
        <f>'Recálculo Confissão (85-B)'!N729</f>
        <v/>
      </c>
      <c r="F729" s="20" t="str">
        <f t="shared" si="22"/>
        <v/>
      </c>
      <c r="G729" s="20" t="str">
        <f t="shared" si="23"/>
        <v/>
      </c>
    </row>
    <row r="730" spans="2:7" x14ac:dyDescent="0.2">
      <c r="B730" s="19" t="str">
        <f>IF('DDF Original'!B730="","",'DDF Original'!B730)</f>
        <v/>
      </c>
      <c r="C730" s="20" t="str">
        <f>IF('DDF Original'!C730="","",'DDF Original'!C730)</f>
        <v/>
      </c>
      <c r="D730" s="20" t="str">
        <f>IF('DDF Original'!F730="","",'DDF Original'!F730)</f>
        <v/>
      </c>
      <c r="E730" s="38" t="str">
        <f>'Recálculo Confissão (85-B)'!N730</f>
        <v/>
      </c>
      <c r="F730" s="20" t="str">
        <f t="shared" si="22"/>
        <v/>
      </c>
      <c r="G730" s="20" t="str">
        <f t="shared" si="23"/>
        <v/>
      </c>
    </row>
    <row r="731" spans="2:7" x14ac:dyDescent="0.2">
      <c r="B731" s="19" t="str">
        <f>IF('DDF Original'!B731="","",'DDF Original'!B731)</f>
        <v/>
      </c>
      <c r="C731" s="20" t="str">
        <f>IF('DDF Original'!C731="","",'DDF Original'!C731)</f>
        <v/>
      </c>
      <c r="D731" s="20" t="str">
        <f>IF('DDF Original'!F731="","",'DDF Original'!F731)</f>
        <v/>
      </c>
      <c r="E731" s="38" t="str">
        <f>'Recálculo Confissão (85-B)'!N731</f>
        <v/>
      </c>
      <c r="F731" s="20" t="str">
        <f t="shared" si="22"/>
        <v/>
      </c>
      <c r="G731" s="20" t="str">
        <f t="shared" si="23"/>
        <v/>
      </c>
    </row>
    <row r="732" spans="2:7" x14ac:dyDescent="0.2">
      <c r="B732" s="19" t="str">
        <f>IF('DDF Original'!B732="","",'DDF Original'!B732)</f>
        <v/>
      </c>
      <c r="C732" s="20" t="str">
        <f>IF('DDF Original'!C732="","",'DDF Original'!C732)</f>
        <v/>
      </c>
      <c r="D732" s="20" t="str">
        <f>IF('DDF Original'!F732="","",'DDF Original'!F732)</f>
        <v/>
      </c>
      <c r="E732" s="38" t="str">
        <f>'Recálculo Confissão (85-B)'!N732</f>
        <v/>
      </c>
      <c r="F732" s="20" t="str">
        <f t="shared" si="22"/>
        <v/>
      </c>
      <c r="G732" s="20" t="str">
        <f t="shared" si="23"/>
        <v/>
      </c>
    </row>
    <row r="733" spans="2:7" x14ac:dyDescent="0.2">
      <c r="B733" s="19" t="str">
        <f>IF('DDF Original'!B733="","",'DDF Original'!B733)</f>
        <v/>
      </c>
      <c r="C733" s="20" t="str">
        <f>IF('DDF Original'!C733="","",'DDF Original'!C733)</f>
        <v/>
      </c>
      <c r="D733" s="20" t="str">
        <f>IF('DDF Original'!F733="","",'DDF Original'!F733)</f>
        <v/>
      </c>
      <c r="E733" s="38" t="str">
        <f>'Recálculo Confissão (85-B)'!N733</f>
        <v/>
      </c>
      <c r="F733" s="20" t="str">
        <f t="shared" si="22"/>
        <v/>
      </c>
      <c r="G733" s="20" t="str">
        <f t="shared" si="23"/>
        <v/>
      </c>
    </row>
    <row r="734" spans="2:7" x14ac:dyDescent="0.2">
      <c r="B734" s="19" t="str">
        <f>IF('DDF Original'!B734="","",'DDF Original'!B734)</f>
        <v/>
      </c>
      <c r="C734" s="20" t="str">
        <f>IF('DDF Original'!C734="","",'DDF Original'!C734)</f>
        <v/>
      </c>
      <c r="D734" s="20" t="str">
        <f>IF('DDF Original'!F734="","",'DDF Original'!F734)</f>
        <v/>
      </c>
      <c r="E734" s="38" t="str">
        <f>'Recálculo Confissão (85-B)'!N734</f>
        <v/>
      </c>
      <c r="F734" s="20" t="str">
        <f t="shared" si="22"/>
        <v/>
      </c>
      <c r="G734" s="20" t="str">
        <f t="shared" si="23"/>
        <v/>
      </c>
    </row>
    <row r="735" spans="2:7" x14ac:dyDescent="0.2">
      <c r="B735" s="19" t="str">
        <f>IF('DDF Original'!B735="","",'DDF Original'!B735)</f>
        <v/>
      </c>
      <c r="C735" s="20" t="str">
        <f>IF('DDF Original'!C735="","",'DDF Original'!C735)</f>
        <v/>
      </c>
      <c r="D735" s="20" t="str">
        <f>IF('DDF Original'!F735="","",'DDF Original'!F735)</f>
        <v/>
      </c>
      <c r="E735" s="38" t="str">
        <f>'Recálculo Confissão (85-B)'!N735</f>
        <v/>
      </c>
      <c r="F735" s="20" t="str">
        <f t="shared" si="22"/>
        <v/>
      </c>
      <c r="G735" s="20" t="str">
        <f t="shared" si="23"/>
        <v/>
      </c>
    </row>
    <row r="736" spans="2:7" x14ac:dyDescent="0.2">
      <c r="B736" s="19" t="str">
        <f>IF('DDF Original'!B736="","",'DDF Original'!B736)</f>
        <v/>
      </c>
      <c r="C736" s="20" t="str">
        <f>IF('DDF Original'!C736="","",'DDF Original'!C736)</f>
        <v/>
      </c>
      <c r="D736" s="20" t="str">
        <f>IF('DDF Original'!F736="","",'DDF Original'!F736)</f>
        <v/>
      </c>
      <c r="E736" s="38" t="str">
        <f>'Recálculo Confissão (85-B)'!N736</f>
        <v/>
      </c>
      <c r="F736" s="20" t="str">
        <f t="shared" si="22"/>
        <v/>
      </c>
      <c r="G736" s="20" t="str">
        <f t="shared" si="23"/>
        <v/>
      </c>
    </row>
    <row r="737" spans="2:7" x14ac:dyDescent="0.2">
      <c r="B737" s="19" t="str">
        <f>IF('DDF Original'!B737="","",'DDF Original'!B737)</f>
        <v/>
      </c>
      <c r="C737" s="20" t="str">
        <f>IF('DDF Original'!C737="","",'DDF Original'!C737)</f>
        <v/>
      </c>
      <c r="D737" s="20" t="str">
        <f>IF('DDF Original'!F737="","",'DDF Original'!F737)</f>
        <v/>
      </c>
      <c r="E737" s="38" t="str">
        <f>'Recálculo Confissão (85-B)'!N737</f>
        <v/>
      </c>
      <c r="F737" s="20" t="str">
        <f t="shared" si="22"/>
        <v/>
      </c>
      <c r="G737" s="20" t="str">
        <f t="shared" si="23"/>
        <v/>
      </c>
    </row>
    <row r="738" spans="2:7" x14ac:dyDescent="0.2">
      <c r="B738" s="19" t="str">
        <f>IF('DDF Original'!B738="","",'DDF Original'!B738)</f>
        <v/>
      </c>
      <c r="C738" s="20" t="str">
        <f>IF('DDF Original'!C738="","",'DDF Original'!C738)</f>
        <v/>
      </c>
      <c r="D738" s="20" t="str">
        <f>IF('DDF Original'!F738="","",'DDF Original'!F738)</f>
        <v/>
      </c>
      <c r="E738" s="38" t="str">
        <f>'Recálculo Confissão (85-B)'!N738</f>
        <v/>
      </c>
      <c r="F738" s="20" t="str">
        <f t="shared" si="22"/>
        <v/>
      </c>
      <c r="G738" s="20" t="str">
        <f t="shared" si="23"/>
        <v/>
      </c>
    </row>
    <row r="739" spans="2:7" x14ac:dyDescent="0.2">
      <c r="B739" s="19" t="str">
        <f>IF('DDF Original'!B739="","",'DDF Original'!B739)</f>
        <v/>
      </c>
      <c r="C739" s="20" t="str">
        <f>IF('DDF Original'!C739="","",'DDF Original'!C739)</f>
        <v/>
      </c>
      <c r="D739" s="20" t="str">
        <f>IF('DDF Original'!F739="","",'DDF Original'!F739)</f>
        <v/>
      </c>
      <c r="E739" s="38" t="str">
        <f>'Recálculo Confissão (85-B)'!N739</f>
        <v/>
      </c>
      <c r="F739" s="20" t="str">
        <f t="shared" si="22"/>
        <v/>
      </c>
      <c r="G739" s="20" t="str">
        <f t="shared" si="23"/>
        <v/>
      </c>
    </row>
    <row r="740" spans="2:7" x14ac:dyDescent="0.2">
      <c r="B740" s="19" t="str">
        <f>IF('DDF Original'!B740="","",'DDF Original'!B740)</f>
        <v/>
      </c>
      <c r="C740" s="20" t="str">
        <f>IF('DDF Original'!C740="","",'DDF Original'!C740)</f>
        <v/>
      </c>
      <c r="D740" s="20" t="str">
        <f>IF('DDF Original'!F740="","",'DDF Original'!F740)</f>
        <v/>
      </c>
      <c r="E740" s="38" t="str">
        <f>'Recálculo Confissão (85-B)'!N740</f>
        <v/>
      </c>
      <c r="F740" s="20" t="str">
        <f t="shared" si="22"/>
        <v/>
      </c>
      <c r="G740" s="20" t="str">
        <f t="shared" si="23"/>
        <v/>
      </c>
    </row>
    <row r="741" spans="2:7" x14ac:dyDescent="0.2">
      <c r="B741" s="19" t="str">
        <f>IF('DDF Original'!B741="","",'DDF Original'!B741)</f>
        <v/>
      </c>
      <c r="C741" s="20" t="str">
        <f>IF('DDF Original'!C741="","",'DDF Original'!C741)</f>
        <v/>
      </c>
      <c r="D741" s="20" t="str">
        <f>IF('DDF Original'!F741="","",'DDF Original'!F741)</f>
        <v/>
      </c>
      <c r="E741" s="38" t="str">
        <f>'Recálculo Confissão (85-B)'!N741</f>
        <v/>
      </c>
      <c r="F741" s="20" t="str">
        <f t="shared" si="22"/>
        <v/>
      </c>
      <c r="G741" s="20" t="str">
        <f t="shared" si="23"/>
        <v/>
      </c>
    </row>
    <row r="742" spans="2:7" x14ac:dyDescent="0.2">
      <c r="B742" s="19" t="str">
        <f>IF('DDF Original'!B742="","",'DDF Original'!B742)</f>
        <v/>
      </c>
      <c r="C742" s="20" t="str">
        <f>IF('DDF Original'!C742="","",'DDF Original'!C742)</f>
        <v/>
      </c>
      <c r="D742" s="20" t="str">
        <f>IF('DDF Original'!F742="","",'DDF Original'!F742)</f>
        <v/>
      </c>
      <c r="E742" s="38" t="str">
        <f>'Recálculo Confissão (85-B)'!N742</f>
        <v/>
      </c>
      <c r="F742" s="20" t="str">
        <f t="shared" si="22"/>
        <v/>
      </c>
      <c r="G742" s="20" t="str">
        <f t="shared" si="23"/>
        <v/>
      </c>
    </row>
    <row r="743" spans="2:7" x14ac:dyDescent="0.2">
      <c r="B743" s="19" t="str">
        <f>IF('DDF Original'!B743="","",'DDF Original'!B743)</f>
        <v/>
      </c>
      <c r="C743" s="20" t="str">
        <f>IF('DDF Original'!C743="","",'DDF Original'!C743)</f>
        <v/>
      </c>
      <c r="D743" s="20" t="str">
        <f>IF('DDF Original'!F743="","",'DDF Original'!F743)</f>
        <v/>
      </c>
      <c r="E743" s="38" t="str">
        <f>'Recálculo Confissão (85-B)'!N743</f>
        <v/>
      </c>
      <c r="F743" s="20" t="str">
        <f t="shared" si="22"/>
        <v/>
      </c>
      <c r="G743" s="20" t="str">
        <f t="shared" si="23"/>
        <v/>
      </c>
    </row>
    <row r="744" spans="2:7" x14ac:dyDescent="0.2">
      <c r="B744" s="19" t="str">
        <f>IF('DDF Original'!B744="","",'DDF Original'!B744)</f>
        <v/>
      </c>
      <c r="C744" s="20" t="str">
        <f>IF('DDF Original'!C744="","",'DDF Original'!C744)</f>
        <v/>
      </c>
      <c r="D744" s="20" t="str">
        <f>IF('DDF Original'!F744="","",'DDF Original'!F744)</f>
        <v/>
      </c>
      <c r="E744" s="38" t="str">
        <f>'Recálculo Confissão (85-B)'!N744</f>
        <v/>
      </c>
      <c r="F744" s="20" t="str">
        <f t="shared" si="22"/>
        <v/>
      </c>
      <c r="G744" s="20" t="str">
        <f t="shared" si="23"/>
        <v/>
      </c>
    </row>
    <row r="745" spans="2:7" x14ac:dyDescent="0.2">
      <c r="B745" s="19" t="str">
        <f>IF('DDF Original'!B745="","",'DDF Original'!B745)</f>
        <v/>
      </c>
      <c r="C745" s="20" t="str">
        <f>IF('DDF Original'!C745="","",'DDF Original'!C745)</f>
        <v/>
      </c>
      <c r="D745" s="20" t="str">
        <f>IF('DDF Original'!F745="","",'DDF Original'!F745)</f>
        <v/>
      </c>
      <c r="E745" s="38" t="str">
        <f>'Recálculo Confissão (85-B)'!N745</f>
        <v/>
      </c>
      <c r="F745" s="20" t="str">
        <f t="shared" si="22"/>
        <v/>
      </c>
      <c r="G745" s="20" t="str">
        <f t="shared" si="23"/>
        <v/>
      </c>
    </row>
    <row r="746" spans="2:7" x14ac:dyDescent="0.2">
      <c r="B746" s="19" t="str">
        <f>IF('DDF Original'!B746="","",'DDF Original'!B746)</f>
        <v/>
      </c>
      <c r="C746" s="20" t="str">
        <f>IF('DDF Original'!C746="","",'DDF Original'!C746)</f>
        <v/>
      </c>
      <c r="D746" s="20" t="str">
        <f>IF('DDF Original'!F746="","",'DDF Original'!F746)</f>
        <v/>
      </c>
      <c r="E746" s="38" t="str">
        <f>'Recálculo Confissão (85-B)'!N746</f>
        <v/>
      </c>
      <c r="F746" s="20" t="str">
        <f t="shared" si="22"/>
        <v/>
      </c>
      <c r="G746" s="20" t="str">
        <f t="shared" si="23"/>
        <v/>
      </c>
    </row>
    <row r="747" spans="2:7" x14ac:dyDescent="0.2">
      <c r="B747" s="19" t="str">
        <f>IF('DDF Original'!B747="","",'DDF Original'!B747)</f>
        <v/>
      </c>
      <c r="C747" s="20" t="str">
        <f>IF('DDF Original'!C747="","",'DDF Original'!C747)</f>
        <v/>
      </c>
      <c r="D747" s="20" t="str">
        <f>IF('DDF Original'!F747="","",'DDF Original'!F747)</f>
        <v/>
      </c>
      <c r="E747" s="38" t="str">
        <f>'Recálculo Confissão (85-B)'!N747</f>
        <v/>
      </c>
      <c r="F747" s="20" t="str">
        <f t="shared" si="22"/>
        <v/>
      </c>
      <c r="G747" s="20" t="str">
        <f t="shared" si="23"/>
        <v/>
      </c>
    </row>
    <row r="748" spans="2:7" x14ac:dyDescent="0.2">
      <c r="B748" s="19" t="str">
        <f>IF('DDF Original'!B748="","",'DDF Original'!B748)</f>
        <v/>
      </c>
      <c r="C748" s="20" t="str">
        <f>IF('DDF Original'!C748="","",'DDF Original'!C748)</f>
        <v/>
      </c>
      <c r="D748" s="20" t="str">
        <f>IF('DDF Original'!F748="","",'DDF Original'!F748)</f>
        <v/>
      </c>
      <c r="E748" s="38" t="str">
        <f>'Recálculo Confissão (85-B)'!N748</f>
        <v/>
      </c>
      <c r="F748" s="20" t="str">
        <f t="shared" si="22"/>
        <v/>
      </c>
      <c r="G748" s="20" t="str">
        <f t="shared" si="23"/>
        <v/>
      </c>
    </row>
    <row r="749" spans="2:7" x14ac:dyDescent="0.2">
      <c r="B749" s="19" t="str">
        <f>IF('DDF Original'!B749="","",'DDF Original'!B749)</f>
        <v/>
      </c>
      <c r="C749" s="20" t="str">
        <f>IF('DDF Original'!C749="","",'DDF Original'!C749)</f>
        <v/>
      </c>
      <c r="D749" s="20" t="str">
        <f>IF('DDF Original'!F749="","",'DDF Original'!F749)</f>
        <v/>
      </c>
      <c r="E749" s="38" t="str">
        <f>'Recálculo Confissão (85-B)'!N749</f>
        <v/>
      </c>
      <c r="F749" s="20" t="str">
        <f t="shared" si="22"/>
        <v/>
      </c>
      <c r="G749" s="20" t="str">
        <f t="shared" si="23"/>
        <v/>
      </c>
    </row>
    <row r="750" spans="2:7" x14ac:dyDescent="0.2">
      <c r="B750" s="19" t="str">
        <f>IF('DDF Original'!B750="","",'DDF Original'!B750)</f>
        <v/>
      </c>
      <c r="C750" s="20" t="str">
        <f>IF('DDF Original'!C750="","",'DDF Original'!C750)</f>
        <v/>
      </c>
      <c r="D750" s="20" t="str">
        <f>IF('DDF Original'!F750="","",'DDF Original'!F750)</f>
        <v/>
      </c>
      <c r="E750" s="38" t="str">
        <f>'Recálculo Confissão (85-B)'!N750</f>
        <v/>
      </c>
      <c r="F750" s="20" t="str">
        <f t="shared" si="22"/>
        <v/>
      </c>
      <c r="G750" s="20" t="str">
        <f t="shared" si="23"/>
        <v/>
      </c>
    </row>
    <row r="751" spans="2:7" x14ac:dyDescent="0.2">
      <c r="B751" s="19" t="str">
        <f>IF('DDF Original'!B751="","",'DDF Original'!B751)</f>
        <v/>
      </c>
      <c r="C751" s="20" t="str">
        <f>IF('DDF Original'!C751="","",'DDF Original'!C751)</f>
        <v/>
      </c>
      <c r="D751" s="20" t="str">
        <f>IF('DDF Original'!F751="","",'DDF Original'!F751)</f>
        <v/>
      </c>
      <c r="E751" s="38" t="str">
        <f>'Recálculo Confissão (85-B)'!N751</f>
        <v/>
      </c>
      <c r="F751" s="20" t="str">
        <f t="shared" si="22"/>
        <v/>
      </c>
      <c r="G751" s="20" t="str">
        <f t="shared" si="23"/>
        <v/>
      </c>
    </row>
    <row r="752" spans="2:7" x14ac:dyDescent="0.2">
      <c r="B752" s="19" t="str">
        <f>IF('DDF Original'!B752="","",'DDF Original'!B752)</f>
        <v/>
      </c>
      <c r="C752" s="20" t="str">
        <f>IF('DDF Original'!C752="","",'DDF Original'!C752)</f>
        <v/>
      </c>
      <c r="D752" s="20" t="str">
        <f>IF('DDF Original'!F752="","",'DDF Original'!F752)</f>
        <v/>
      </c>
      <c r="E752" s="38" t="str">
        <f>'Recálculo Confissão (85-B)'!N752</f>
        <v/>
      </c>
      <c r="F752" s="20" t="str">
        <f t="shared" si="22"/>
        <v/>
      </c>
      <c r="G752" s="20" t="str">
        <f t="shared" si="23"/>
        <v/>
      </c>
    </row>
    <row r="753" spans="2:7" x14ac:dyDescent="0.2">
      <c r="B753" s="19" t="str">
        <f>IF('DDF Original'!B753="","",'DDF Original'!B753)</f>
        <v/>
      </c>
      <c r="C753" s="20" t="str">
        <f>IF('DDF Original'!C753="","",'DDF Original'!C753)</f>
        <v/>
      </c>
      <c r="D753" s="20" t="str">
        <f>IF('DDF Original'!F753="","",'DDF Original'!F753)</f>
        <v/>
      </c>
      <c r="E753" s="38" t="str">
        <f>'Recálculo Confissão (85-B)'!N753</f>
        <v/>
      </c>
      <c r="F753" s="20" t="str">
        <f t="shared" si="22"/>
        <v/>
      </c>
      <c r="G753" s="20" t="str">
        <f t="shared" si="23"/>
        <v/>
      </c>
    </row>
    <row r="754" spans="2:7" x14ac:dyDescent="0.2">
      <c r="B754" s="19" t="str">
        <f>IF('DDF Original'!B754="","",'DDF Original'!B754)</f>
        <v/>
      </c>
      <c r="C754" s="20" t="str">
        <f>IF('DDF Original'!C754="","",'DDF Original'!C754)</f>
        <v/>
      </c>
      <c r="D754" s="20" t="str">
        <f>IF('DDF Original'!F754="","",'DDF Original'!F754)</f>
        <v/>
      </c>
      <c r="E754" s="38" t="str">
        <f>'Recálculo Confissão (85-B)'!N754</f>
        <v/>
      </c>
      <c r="F754" s="20" t="str">
        <f t="shared" si="22"/>
        <v/>
      </c>
      <c r="G754" s="20" t="str">
        <f t="shared" si="23"/>
        <v/>
      </c>
    </row>
    <row r="755" spans="2:7" x14ac:dyDescent="0.2">
      <c r="B755" s="19" t="str">
        <f>IF('DDF Original'!B755="","",'DDF Original'!B755)</f>
        <v/>
      </c>
      <c r="C755" s="20" t="str">
        <f>IF('DDF Original'!C755="","",'DDF Original'!C755)</f>
        <v/>
      </c>
      <c r="D755" s="20" t="str">
        <f>IF('DDF Original'!F755="","",'DDF Original'!F755)</f>
        <v/>
      </c>
      <c r="E755" s="38" t="str">
        <f>'Recálculo Confissão (85-B)'!N755</f>
        <v/>
      </c>
      <c r="F755" s="20" t="str">
        <f t="shared" si="22"/>
        <v/>
      </c>
      <c r="G755" s="20" t="str">
        <f t="shared" si="23"/>
        <v/>
      </c>
    </row>
    <row r="756" spans="2:7" x14ac:dyDescent="0.2">
      <c r="B756" s="19" t="str">
        <f>IF('DDF Original'!B756="","",'DDF Original'!B756)</f>
        <v/>
      </c>
      <c r="C756" s="20" t="str">
        <f>IF('DDF Original'!C756="","",'DDF Original'!C756)</f>
        <v/>
      </c>
      <c r="D756" s="20" t="str">
        <f>IF('DDF Original'!F756="","",'DDF Original'!F756)</f>
        <v/>
      </c>
      <c r="E756" s="38" t="str">
        <f>'Recálculo Confissão (85-B)'!N756</f>
        <v/>
      </c>
      <c r="F756" s="20" t="str">
        <f t="shared" si="22"/>
        <v/>
      </c>
      <c r="G756" s="20" t="str">
        <f t="shared" si="23"/>
        <v/>
      </c>
    </row>
    <row r="757" spans="2:7" x14ac:dyDescent="0.2">
      <c r="B757" s="19" t="str">
        <f>IF('DDF Original'!B757="","",'DDF Original'!B757)</f>
        <v/>
      </c>
      <c r="C757" s="20" t="str">
        <f>IF('DDF Original'!C757="","",'DDF Original'!C757)</f>
        <v/>
      </c>
      <c r="D757" s="20" t="str">
        <f>IF('DDF Original'!F757="","",'DDF Original'!F757)</f>
        <v/>
      </c>
      <c r="E757" s="38" t="str">
        <f>'Recálculo Confissão (85-B)'!N757</f>
        <v/>
      </c>
      <c r="F757" s="20" t="str">
        <f t="shared" si="22"/>
        <v/>
      </c>
      <c r="G757" s="20" t="str">
        <f t="shared" si="23"/>
        <v/>
      </c>
    </row>
    <row r="758" spans="2:7" x14ac:dyDescent="0.2">
      <c r="B758" s="19" t="str">
        <f>IF('DDF Original'!B758="","",'DDF Original'!B758)</f>
        <v/>
      </c>
      <c r="C758" s="20" t="str">
        <f>IF('DDF Original'!C758="","",'DDF Original'!C758)</f>
        <v/>
      </c>
      <c r="D758" s="20" t="str">
        <f>IF('DDF Original'!F758="","",'DDF Original'!F758)</f>
        <v/>
      </c>
      <c r="E758" s="38" t="str">
        <f>'Recálculo Confissão (85-B)'!N758</f>
        <v/>
      </c>
      <c r="F758" s="20" t="str">
        <f t="shared" si="22"/>
        <v/>
      </c>
      <c r="G758" s="20" t="str">
        <f t="shared" si="23"/>
        <v/>
      </c>
    </row>
    <row r="759" spans="2:7" x14ac:dyDescent="0.2">
      <c r="B759" s="19" t="str">
        <f>IF('DDF Original'!B759="","",'DDF Original'!B759)</f>
        <v/>
      </c>
      <c r="C759" s="20" t="str">
        <f>IF('DDF Original'!C759="","",'DDF Original'!C759)</f>
        <v/>
      </c>
      <c r="D759" s="20" t="str">
        <f>IF('DDF Original'!F759="","",'DDF Original'!F759)</f>
        <v/>
      </c>
      <c r="E759" s="38" t="str">
        <f>'Recálculo Confissão (85-B)'!N759</f>
        <v/>
      </c>
      <c r="F759" s="20" t="str">
        <f t="shared" si="22"/>
        <v/>
      </c>
      <c r="G759" s="20" t="str">
        <f t="shared" si="23"/>
        <v/>
      </c>
    </row>
    <row r="760" spans="2:7" x14ac:dyDescent="0.2">
      <c r="B760" s="19" t="str">
        <f>IF('DDF Original'!B760="","",'DDF Original'!B760)</f>
        <v/>
      </c>
      <c r="C760" s="20" t="str">
        <f>IF('DDF Original'!C760="","",'DDF Original'!C760)</f>
        <v/>
      </c>
      <c r="D760" s="20" t="str">
        <f>IF('DDF Original'!F760="","",'DDF Original'!F760)</f>
        <v/>
      </c>
      <c r="E760" s="38" t="str">
        <f>'Recálculo Confissão (85-B)'!N760</f>
        <v/>
      </c>
      <c r="F760" s="20" t="str">
        <f t="shared" si="22"/>
        <v/>
      </c>
      <c r="G760" s="20" t="str">
        <f t="shared" si="23"/>
        <v/>
      </c>
    </row>
    <row r="761" spans="2:7" x14ac:dyDescent="0.2">
      <c r="B761" s="19" t="str">
        <f>IF('DDF Original'!B761="","",'DDF Original'!B761)</f>
        <v/>
      </c>
      <c r="C761" s="20" t="str">
        <f>IF('DDF Original'!C761="","",'DDF Original'!C761)</f>
        <v/>
      </c>
      <c r="D761" s="20" t="str">
        <f>IF('DDF Original'!F761="","",'DDF Original'!F761)</f>
        <v/>
      </c>
      <c r="E761" s="38" t="str">
        <f>'Recálculo Confissão (85-B)'!N761</f>
        <v/>
      </c>
      <c r="F761" s="20" t="str">
        <f t="shared" si="22"/>
        <v/>
      </c>
      <c r="G761" s="20" t="str">
        <f t="shared" si="23"/>
        <v/>
      </c>
    </row>
    <row r="762" spans="2:7" x14ac:dyDescent="0.2">
      <c r="B762" s="19" t="str">
        <f>IF('DDF Original'!B762="","",'DDF Original'!B762)</f>
        <v/>
      </c>
      <c r="C762" s="20" t="str">
        <f>IF('DDF Original'!C762="","",'DDF Original'!C762)</f>
        <v/>
      </c>
      <c r="D762" s="20" t="str">
        <f>IF('DDF Original'!F762="","",'DDF Original'!F762)</f>
        <v/>
      </c>
      <c r="E762" s="38" t="str">
        <f>'Recálculo Confissão (85-B)'!N762</f>
        <v/>
      </c>
      <c r="F762" s="20" t="str">
        <f t="shared" si="22"/>
        <v/>
      </c>
      <c r="G762" s="20" t="str">
        <f t="shared" si="23"/>
        <v/>
      </c>
    </row>
    <row r="763" spans="2:7" x14ac:dyDescent="0.2">
      <c r="B763" s="19" t="str">
        <f>IF('DDF Original'!B763="","",'DDF Original'!B763)</f>
        <v/>
      </c>
      <c r="C763" s="20" t="str">
        <f>IF('DDF Original'!C763="","",'DDF Original'!C763)</f>
        <v/>
      </c>
      <c r="D763" s="20" t="str">
        <f>IF('DDF Original'!F763="","",'DDF Original'!F763)</f>
        <v/>
      </c>
      <c r="E763" s="38" t="str">
        <f>'Recálculo Confissão (85-B)'!N763</f>
        <v/>
      </c>
      <c r="F763" s="20" t="str">
        <f t="shared" si="22"/>
        <v/>
      </c>
      <c r="G763" s="20" t="str">
        <f t="shared" si="23"/>
        <v/>
      </c>
    </row>
    <row r="764" spans="2:7" x14ac:dyDescent="0.2">
      <c r="B764" s="19" t="str">
        <f>IF('DDF Original'!B764="","",'DDF Original'!B764)</f>
        <v/>
      </c>
      <c r="C764" s="20" t="str">
        <f>IF('DDF Original'!C764="","",'DDF Original'!C764)</f>
        <v/>
      </c>
      <c r="D764" s="20" t="str">
        <f>IF('DDF Original'!F764="","",'DDF Original'!F764)</f>
        <v/>
      </c>
      <c r="E764" s="38" t="str">
        <f>'Recálculo Confissão (85-B)'!N764</f>
        <v/>
      </c>
      <c r="F764" s="20" t="str">
        <f t="shared" si="22"/>
        <v/>
      </c>
      <c r="G764" s="20" t="str">
        <f t="shared" si="23"/>
        <v/>
      </c>
    </row>
    <row r="765" spans="2:7" x14ac:dyDescent="0.2">
      <c r="B765" s="19" t="str">
        <f>IF('DDF Original'!B765="","",'DDF Original'!B765)</f>
        <v/>
      </c>
      <c r="C765" s="20" t="str">
        <f>IF('DDF Original'!C765="","",'DDF Original'!C765)</f>
        <v/>
      </c>
      <c r="D765" s="20" t="str">
        <f>IF('DDF Original'!F765="","",'DDF Original'!F765)</f>
        <v/>
      </c>
      <c r="E765" s="38" t="str">
        <f>'Recálculo Confissão (85-B)'!N765</f>
        <v/>
      </c>
      <c r="F765" s="20" t="str">
        <f t="shared" ref="F765:F828" si="24">IF(E765="","",ROUND(E765*(1-70%),2))</f>
        <v/>
      </c>
      <c r="G765" s="20" t="str">
        <f t="shared" ref="G765:G828" si="25">IF(E765="","",ROUND(E765*(1-60%),2))</f>
        <v/>
      </c>
    </row>
    <row r="766" spans="2:7" x14ac:dyDescent="0.2">
      <c r="B766" s="19" t="str">
        <f>IF('DDF Original'!B766="","",'DDF Original'!B766)</f>
        <v/>
      </c>
      <c r="C766" s="20" t="str">
        <f>IF('DDF Original'!C766="","",'DDF Original'!C766)</f>
        <v/>
      </c>
      <c r="D766" s="20" t="str">
        <f>IF('DDF Original'!F766="","",'DDF Original'!F766)</f>
        <v/>
      </c>
      <c r="E766" s="38" t="str">
        <f>'Recálculo Confissão (85-B)'!N766</f>
        <v/>
      </c>
      <c r="F766" s="20" t="str">
        <f t="shared" si="24"/>
        <v/>
      </c>
      <c r="G766" s="20" t="str">
        <f t="shared" si="25"/>
        <v/>
      </c>
    </row>
    <row r="767" spans="2:7" x14ac:dyDescent="0.2">
      <c r="B767" s="19" t="str">
        <f>IF('DDF Original'!B767="","",'DDF Original'!B767)</f>
        <v/>
      </c>
      <c r="C767" s="20" t="str">
        <f>IF('DDF Original'!C767="","",'DDF Original'!C767)</f>
        <v/>
      </c>
      <c r="D767" s="20" t="str">
        <f>IF('DDF Original'!F767="","",'DDF Original'!F767)</f>
        <v/>
      </c>
      <c r="E767" s="38" t="str">
        <f>'Recálculo Confissão (85-B)'!N767</f>
        <v/>
      </c>
      <c r="F767" s="20" t="str">
        <f t="shared" si="24"/>
        <v/>
      </c>
      <c r="G767" s="20" t="str">
        <f t="shared" si="25"/>
        <v/>
      </c>
    </row>
    <row r="768" spans="2:7" x14ac:dyDescent="0.2">
      <c r="B768" s="19" t="str">
        <f>IF('DDF Original'!B768="","",'DDF Original'!B768)</f>
        <v/>
      </c>
      <c r="C768" s="20" t="str">
        <f>IF('DDF Original'!C768="","",'DDF Original'!C768)</f>
        <v/>
      </c>
      <c r="D768" s="20" t="str">
        <f>IF('DDF Original'!F768="","",'DDF Original'!F768)</f>
        <v/>
      </c>
      <c r="E768" s="38" t="str">
        <f>'Recálculo Confissão (85-B)'!N768</f>
        <v/>
      </c>
      <c r="F768" s="20" t="str">
        <f t="shared" si="24"/>
        <v/>
      </c>
      <c r="G768" s="20" t="str">
        <f t="shared" si="25"/>
        <v/>
      </c>
    </row>
    <row r="769" spans="2:7" x14ac:dyDescent="0.2">
      <c r="B769" s="19" t="str">
        <f>IF('DDF Original'!B769="","",'DDF Original'!B769)</f>
        <v/>
      </c>
      <c r="C769" s="20" t="str">
        <f>IF('DDF Original'!C769="","",'DDF Original'!C769)</f>
        <v/>
      </c>
      <c r="D769" s="20" t="str">
        <f>IF('DDF Original'!F769="","",'DDF Original'!F769)</f>
        <v/>
      </c>
      <c r="E769" s="38" t="str">
        <f>'Recálculo Confissão (85-B)'!N769</f>
        <v/>
      </c>
      <c r="F769" s="20" t="str">
        <f t="shared" si="24"/>
        <v/>
      </c>
      <c r="G769" s="20" t="str">
        <f t="shared" si="25"/>
        <v/>
      </c>
    </row>
    <row r="770" spans="2:7" x14ac:dyDescent="0.2">
      <c r="B770" s="19" t="str">
        <f>IF('DDF Original'!B770="","",'DDF Original'!B770)</f>
        <v/>
      </c>
      <c r="C770" s="20" t="str">
        <f>IF('DDF Original'!C770="","",'DDF Original'!C770)</f>
        <v/>
      </c>
      <c r="D770" s="20" t="str">
        <f>IF('DDF Original'!F770="","",'DDF Original'!F770)</f>
        <v/>
      </c>
      <c r="E770" s="38" t="str">
        <f>'Recálculo Confissão (85-B)'!N770</f>
        <v/>
      </c>
      <c r="F770" s="20" t="str">
        <f t="shared" si="24"/>
        <v/>
      </c>
      <c r="G770" s="20" t="str">
        <f t="shared" si="25"/>
        <v/>
      </c>
    </row>
    <row r="771" spans="2:7" x14ac:dyDescent="0.2">
      <c r="B771" s="19" t="str">
        <f>IF('DDF Original'!B771="","",'DDF Original'!B771)</f>
        <v/>
      </c>
      <c r="C771" s="20" t="str">
        <f>IF('DDF Original'!C771="","",'DDF Original'!C771)</f>
        <v/>
      </c>
      <c r="D771" s="20" t="str">
        <f>IF('DDF Original'!F771="","",'DDF Original'!F771)</f>
        <v/>
      </c>
      <c r="E771" s="38" t="str">
        <f>'Recálculo Confissão (85-B)'!N771</f>
        <v/>
      </c>
      <c r="F771" s="20" t="str">
        <f t="shared" si="24"/>
        <v/>
      </c>
      <c r="G771" s="20" t="str">
        <f t="shared" si="25"/>
        <v/>
      </c>
    </row>
    <row r="772" spans="2:7" x14ac:dyDescent="0.2">
      <c r="B772" s="19" t="str">
        <f>IF('DDF Original'!B772="","",'DDF Original'!B772)</f>
        <v/>
      </c>
      <c r="C772" s="20" t="str">
        <f>IF('DDF Original'!C772="","",'DDF Original'!C772)</f>
        <v/>
      </c>
      <c r="D772" s="20" t="str">
        <f>IF('DDF Original'!F772="","",'DDF Original'!F772)</f>
        <v/>
      </c>
      <c r="E772" s="38" t="str">
        <f>'Recálculo Confissão (85-B)'!N772</f>
        <v/>
      </c>
      <c r="F772" s="20" t="str">
        <f t="shared" si="24"/>
        <v/>
      </c>
      <c r="G772" s="20" t="str">
        <f t="shared" si="25"/>
        <v/>
      </c>
    </row>
    <row r="773" spans="2:7" x14ac:dyDescent="0.2">
      <c r="B773" s="19" t="str">
        <f>IF('DDF Original'!B773="","",'DDF Original'!B773)</f>
        <v/>
      </c>
      <c r="C773" s="20" t="str">
        <f>IF('DDF Original'!C773="","",'DDF Original'!C773)</f>
        <v/>
      </c>
      <c r="D773" s="20" t="str">
        <f>IF('DDF Original'!F773="","",'DDF Original'!F773)</f>
        <v/>
      </c>
      <c r="E773" s="38" t="str">
        <f>'Recálculo Confissão (85-B)'!N773</f>
        <v/>
      </c>
      <c r="F773" s="20" t="str">
        <f t="shared" si="24"/>
        <v/>
      </c>
      <c r="G773" s="20" t="str">
        <f t="shared" si="25"/>
        <v/>
      </c>
    </row>
    <row r="774" spans="2:7" x14ac:dyDescent="0.2">
      <c r="B774" s="19" t="str">
        <f>IF('DDF Original'!B774="","",'DDF Original'!B774)</f>
        <v/>
      </c>
      <c r="C774" s="20" t="str">
        <f>IF('DDF Original'!C774="","",'DDF Original'!C774)</f>
        <v/>
      </c>
      <c r="D774" s="20" t="str">
        <f>IF('DDF Original'!F774="","",'DDF Original'!F774)</f>
        <v/>
      </c>
      <c r="E774" s="38" t="str">
        <f>'Recálculo Confissão (85-B)'!N774</f>
        <v/>
      </c>
      <c r="F774" s="20" t="str">
        <f t="shared" si="24"/>
        <v/>
      </c>
      <c r="G774" s="20" t="str">
        <f t="shared" si="25"/>
        <v/>
      </c>
    </row>
    <row r="775" spans="2:7" x14ac:dyDescent="0.2">
      <c r="B775" s="19" t="str">
        <f>IF('DDF Original'!B775="","",'DDF Original'!B775)</f>
        <v/>
      </c>
      <c r="C775" s="20" t="str">
        <f>IF('DDF Original'!C775="","",'DDF Original'!C775)</f>
        <v/>
      </c>
      <c r="D775" s="20" t="str">
        <f>IF('DDF Original'!F775="","",'DDF Original'!F775)</f>
        <v/>
      </c>
      <c r="E775" s="38" t="str">
        <f>'Recálculo Confissão (85-B)'!N775</f>
        <v/>
      </c>
      <c r="F775" s="20" t="str">
        <f t="shared" si="24"/>
        <v/>
      </c>
      <c r="G775" s="20" t="str">
        <f t="shared" si="25"/>
        <v/>
      </c>
    </row>
    <row r="776" spans="2:7" x14ac:dyDescent="0.2">
      <c r="B776" s="19" t="str">
        <f>IF('DDF Original'!B776="","",'DDF Original'!B776)</f>
        <v/>
      </c>
      <c r="C776" s="20" t="str">
        <f>IF('DDF Original'!C776="","",'DDF Original'!C776)</f>
        <v/>
      </c>
      <c r="D776" s="20" t="str">
        <f>IF('DDF Original'!F776="","",'DDF Original'!F776)</f>
        <v/>
      </c>
      <c r="E776" s="38" t="str">
        <f>'Recálculo Confissão (85-B)'!N776</f>
        <v/>
      </c>
      <c r="F776" s="20" t="str">
        <f t="shared" si="24"/>
        <v/>
      </c>
      <c r="G776" s="20" t="str">
        <f t="shared" si="25"/>
        <v/>
      </c>
    </row>
    <row r="777" spans="2:7" x14ac:dyDescent="0.2">
      <c r="B777" s="19" t="str">
        <f>IF('DDF Original'!B777="","",'DDF Original'!B777)</f>
        <v/>
      </c>
      <c r="C777" s="20" t="str">
        <f>IF('DDF Original'!C777="","",'DDF Original'!C777)</f>
        <v/>
      </c>
      <c r="D777" s="20" t="str">
        <f>IF('DDF Original'!F777="","",'DDF Original'!F777)</f>
        <v/>
      </c>
      <c r="E777" s="38" t="str">
        <f>'Recálculo Confissão (85-B)'!N777</f>
        <v/>
      </c>
      <c r="F777" s="20" t="str">
        <f t="shared" si="24"/>
        <v/>
      </c>
      <c r="G777" s="20" t="str">
        <f t="shared" si="25"/>
        <v/>
      </c>
    </row>
    <row r="778" spans="2:7" x14ac:dyDescent="0.2">
      <c r="B778" s="19" t="str">
        <f>IF('DDF Original'!B778="","",'DDF Original'!B778)</f>
        <v/>
      </c>
      <c r="C778" s="20" t="str">
        <f>IF('DDF Original'!C778="","",'DDF Original'!C778)</f>
        <v/>
      </c>
      <c r="D778" s="20" t="str">
        <f>IF('DDF Original'!F778="","",'DDF Original'!F778)</f>
        <v/>
      </c>
      <c r="E778" s="38" t="str">
        <f>'Recálculo Confissão (85-B)'!N778</f>
        <v/>
      </c>
      <c r="F778" s="20" t="str">
        <f t="shared" si="24"/>
        <v/>
      </c>
      <c r="G778" s="20" t="str">
        <f t="shared" si="25"/>
        <v/>
      </c>
    </row>
    <row r="779" spans="2:7" x14ac:dyDescent="0.2">
      <c r="B779" s="19" t="str">
        <f>IF('DDF Original'!B779="","",'DDF Original'!B779)</f>
        <v/>
      </c>
      <c r="C779" s="20" t="str">
        <f>IF('DDF Original'!C779="","",'DDF Original'!C779)</f>
        <v/>
      </c>
      <c r="D779" s="20" t="str">
        <f>IF('DDF Original'!F779="","",'DDF Original'!F779)</f>
        <v/>
      </c>
      <c r="E779" s="38" t="str">
        <f>'Recálculo Confissão (85-B)'!N779</f>
        <v/>
      </c>
      <c r="F779" s="20" t="str">
        <f t="shared" si="24"/>
        <v/>
      </c>
      <c r="G779" s="20" t="str">
        <f t="shared" si="25"/>
        <v/>
      </c>
    </row>
    <row r="780" spans="2:7" x14ac:dyDescent="0.2">
      <c r="B780" s="19" t="str">
        <f>IF('DDF Original'!B780="","",'DDF Original'!B780)</f>
        <v/>
      </c>
      <c r="C780" s="20" t="str">
        <f>IF('DDF Original'!C780="","",'DDF Original'!C780)</f>
        <v/>
      </c>
      <c r="D780" s="20" t="str">
        <f>IF('DDF Original'!F780="","",'DDF Original'!F780)</f>
        <v/>
      </c>
      <c r="E780" s="38" t="str">
        <f>'Recálculo Confissão (85-B)'!N780</f>
        <v/>
      </c>
      <c r="F780" s="20" t="str">
        <f t="shared" si="24"/>
        <v/>
      </c>
      <c r="G780" s="20" t="str">
        <f t="shared" si="25"/>
        <v/>
      </c>
    </row>
    <row r="781" spans="2:7" x14ac:dyDescent="0.2">
      <c r="B781" s="19" t="str">
        <f>IF('DDF Original'!B781="","",'DDF Original'!B781)</f>
        <v/>
      </c>
      <c r="C781" s="20" t="str">
        <f>IF('DDF Original'!C781="","",'DDF Original'!C781)</f>
        <v/>
      </c>
      <c r="D781" s="20" t="str">
        <f>IF('DDF Original'!F781="","",'DDF Original'!F781)</f>
        <v/>
      </c>
      <c r="E781" s="38" t="str">
        <f>'Recálculo Confissão (85-B)'!N781</f>
        <v/>
      </c>
      <c r="F781" s="20" t="str">
        <f t="shared" si="24"/>
        <v/>
      </c>
      <c r="G781" s="20" t="str">
        <f t="shared" si="25"/>
        <v/>
      </c>
    </row>
    <row r="782" spans="2:7" x14ac:dyDescent="0.2">
      <c r="B782" s="19" t="str">
        <f>IF('DDF Original'!B782="","",'DDF Original'!B782)</f>
        <v/>
      </c>
      <c r="C782" s="20" t="str">
        <f>IF('DDF Original'!C782="","",'DDF Original'!C782)</f>
        <v/>
      </c>
      <c r="D782" s="20" t="str">
        <f>IF('DDF Original'!F782="","",'DDF Original'!F782)</f>
        <v/>
      </c>
      <c r="E782" s="38" t="str">
        <f>'Recálculo Confissão (85-B)'!N782</f>
        <v/>
      </c>
      <c r="F782" s="20" t="str">
        <f t="shared" si="24"/>
        <v/>
      </c>
      <c r="G782" s="20" t="str">
        <f t="shared" si="25"/>
        <v/>
      </c>
    </row>
    <row r="783" spans="2:7" x14ac:dyDescent="0.2">
      <c r="B783" s="19" t="str">
        <f>IF('DDF Original'!B783="","",'DDF Original'!B783)</f>
        <v/>
      </c>
      <c r="C783" s="20" t="str">
        <f>IF('DDF Original'!C783="","",'DDF Original'!C783)</f>
        <v/>
      </c>
      <c r="D783" s="20" t="str">
        <f>IF('DDF Original'!F783="","",'DDF Original'!F783)</f>
        <v/>
      </c>
      <c r="E783" s="38" t="str">
        <f>'Recálculo Confissão (85-B)'!N783</f>
        <v/>
      </c>
      <c r="F783" s="20" t="str">
        <f t="shared" si="24"/>
        <v/>
      </c>
      <c r="G783" s="20" t="str">
        <f t="shared" si="25"/>
        <v/>
      </c>
    </row>
    <row r="784" spans="2:7" x14ac:dyDescent="0.2">
      <c r="B784" s="19" t="str">
        <f>IF('DDF Original'!B784="","",'DDF Original'!B784)</f>
        <v/>
      </c>
      <c r="C784" s="20" t="str">
        <f>IF('DDF Original'!C784="","",'DDF Original'!C784)</f>
        <v/>
      </c>
      <c r="D784" s="20" t="str">
        <f>IF('DDF Original'!F784="","",'DDF Original'!F784)</f>
        <v/>
      </c>
      <c r="E784" s="38" t="str">
        <f>'Recálculo Confissão (85-B)'!N784</f>
        <v/>
      </c>
      <c r="F784" s="20" t="str">
        <f t="shared" si="24"/>
        <v/>
      </c>
      <c r="G784" s="20" t="str">
        <f t="shared" si="25"/>
        <v/>
      </c>
    </row>
    <row r="785" spans="2:7" x14ac:dyDescent="0.2">
      <c r="B785" s="19" t="str">
        <f>IF('DDF Original'!B785="","",'DDF Original'!B785)</f>
        <v/>
      </c>
      <c r="C785" s="20" t="str">
        <f>IF('DDF Original'!C785="","",'DDF Original'!C785)</f>
        <v/>
      </c>
      <c r="D785" s="20" t="str">
        <f>IF('DDF Original'!F785="","",'DDF Original'!F785)</f>
        <v/>
      </c>
      <c r="E785" s="38" t="str">
        <f>'Recálculo Confissão (85-B)'!N785</f>
        <v/>
      </c>
      <c r="F785" s="20" t="str">
        <f t="shared" si="24"/>
        <v/>
      </c>
      <c r="G785" s="20" t="str">
        <f t="shared" si="25"/>
        <v/>
      </c>
    </row>
    <row r="786" spans="2:7" x14ac:dyDescent="0.2">
      <c r="B786" s="19" t="str">
        <f>IF('DDF Original'!B786="","",'DDF Original'!B786)</f>
        <v/>
      </c>
      <c r="C786" s="20" t="str">
        <f>IF('DDF Original'!C786="","",'DDF Original'!C786)</f>
        <v/>
      </c>
      <c r="D786" s="20" t="str">
        <f>IF('DDF Original'!F786="","",'DDF Original'!F786)</f>
        <v/>
      </c>
      <c r="E786" s="38" t="str">
        <f>'Recálculo Confissão (85-B)'!N786</f>
        <v/>
      </c>
      <c r="F786" s="20" t="str">
        <f t="shared" si="24"/>
        <v/>
      </c>
      <c r="G786" s="20" t="str">
        <f t="shared" si="25"/>
        <v/>
      </c>
    </row>
    <row r="787" spans="2:7" x14ac:dyDescent="0.2">
      <c r="B787" s="19" t="str">
        <f>IF('DDF Original'!B787="","",'DDF Original'!B787)</f>
        <v/>
      </c>
      <c r="C787" s="20" t="str">
        <f>IF('DDF Original'!C787="","",'DDF Original'!C787)</f>
        <v/>
      </c>
      <c r="D787" s="20" t="str">
        <f>IF('DDF Original'!F787="","",'DDF Original'!F787)</f>
        <v/>
      </c>
      <c r="E787" s="38" t="str">
        <f>'Recálculo Confissão (85-B)'!N787</f>
        <v/>
      </c>
      <c r="F787" s="20" t="str">
        <f t="shared" si="24"/>
        <v/>
      </c>
      <c r="G787" s="20" t="str">
        <f t="shared" si="25"/>
        <v/>
      </c>
    </row>
    <row r="788" spans="2:7" x14ac:dyDescent="0.2">
      <c r="B788" s="19" t="str">
        <f>IF('DDF Original'!B788="","",'DDF Original'!B788)</f>
        <v/>
      </c>
      <c r="C788" s="20" t="str">
        <f>IF('DDF Original'!C788="","",'DDF Original'!C788)</f>
        <v/>
      </c>
      <c r="D788" s="20" t="str">
        <f>IF('DDF Original'!F788="","",'DDF Original'!F788)</f>
        <v/>
      </c>
      <c r="E788" s="38" t="str">
        <f>'Recálculo Confissão (85-B)'!N788</f>
        <v/>
      </c>
      <c r="F788" s="20" t="str">
        <f t="shared" si="24"/>
        <v/>
      </c>
      <c r="G788" s="20" t="str">
        <f t="shared" si="25"/>
        <v/>
      </c>
    </row>
    <row r="789" spans="2:7" x14ac:dyDescent="0.2">
      <c r="B789" s="19" t="str">
        <f>IF('DDF Original'!B789="","",'DDF Original'!B789)</f>
        <v/>
      </c>
      <c r="C789" s="20" t="str">
        <f>IF('DDF Original'!C789="","",'DDF Original'!C789)</f>
        <v/>
      </c>
      <c r="D789" s="20" t="str">
        <f>IF('DDF Original'!F789="","",'DDF Original'!F789)</f>
        <v/>
      </c>
      <c r="E789" s="38" t="str">
        <f>'Recálculo Confissão (85-B)'!N789</f>
        <v/>
      </c>
      <c r="F789" s="20" t="str">
        <f t="shared" si="24"/>
        <v/>
      </c>
      <c r="G789" s="20" t="str">
        <f t="shared" si="25"/>
        <v/>
      </c>
    </row>
    <row r="790" spans="2:7" x14ac:dyDescent="0.2">
      <c r="B790" s="19" t="str">
        <f>IF('DDF Original'!B790="","",'DDF Original'!B790)</f>
        <v/>
      </c>
      <c r="C790" s="20" t="str">
        <f>IF('DDF Original'!C790="","",'DDF Original'!C790)</f>
        <v/>
      </c>
      <c r="D790" s="20" t="str">
        <f>IF('DDF Original'!F790="","",'DDF Original'!F790)</f>
        <v/>
      </c>
      <c r="E790" s="38" t="str">
        <f>'Recálculo Confissão (85-B)'!N790</f>
        <v/>
      </c>
      <c r="F790" s="20" t="str">
        <f t="shared" si="24"/>
        <v/>
      </c>
      <c r="G790" s="20" t="str">
        <f t="shared" si="25"/>
        <v/>
      </c>
    </row>
    <row r="791" spans="2:7" x14ac:dyDescent="0.2">
      <c r="B791" s="19" t="str">
        <f>IF('DDF Original'!B791="","",'DDF Original'!B791)</f>
        <v/>
      </c>
      <c r="C791" s="20" t="str">
        <f>IF('DDF Original'!C791="","",'DDF Original'!C791)</f>
        <v/>
      </c>
      <c r="D791" s="20" t="str">
        <f>IF('DDF Original'!F791="","",'DDF Original'!F791)</f>
        <v/>
      </c>
      <c r="E791" s="38" t="str">
        <f>'Recálculo Confissão (85-B)'!N791</f>
        <v/>
      </c>
      <c r="F791" s="20" t="str">
        <f t="shared" si="24"/>
        <v/>
      </c>
      <c r="G791" s="20" t="str">
        <f t="shared" si="25"/>
        <v/>
      </c>
    </row>
    <row r="792" spans="2:7" x14ac:dyDescent="0.2">
      <c r="B792" s="19" t="str">
        <f>IF('DDF Original'!B792="","",'DDF Original'!B792)</f>
        <v/>
      </c>
      <c r="C792" s="20" t="str">
        <f>IF('DDF Original'!C792="","",'DDF Original'!C792)</f>
        <v/>
      </c>
      <c r="D792" s="20" t="str">
        <f>IF('DDF Original'!F792="","",'DDF Original'!F792)</f>
        <v/>
      </c>
      <c r="E792" s="38" t="str">
        <f>'Recálculo Confissão (85-B)'!N792</f>
        <v/>
      </c>
      <c r="F792" s="20" t="str">
        <f t="shared" si="24"/>
        <v/>
      </c>
      <c r="G792" s="20" t="str">
        <f t="shared" si="25"/>
        <v/>
      </c>
    </row>
    <row r="793" spans="2:7" x14ac:dyDescent="0.2">
      <c r="B793" s="19" t="str">
        <f>IF('DDF Original'!B793="","",'DDF Original'!B793)</f>
        <v/>
      </c>
      <c r="C793" s="20" t="str">
        <f>IF('DDF Original'!C793="","",'DDF Original'!C793)</f>
        <v/>
      </c>
      <c r="D793" s="20" t="str">
        <f>IF('DDF Original'!F793="","",'DDF Original'!F793)</f>
        <v/>
      </c>
      <c r="E793" s="38" t="str">
        <f>'Recálculo Confissão (85-B)'!N793</f>
        <v/>
      </c>
      <c r="F793" s="20" t="str">
        <f t="shared" si="24"/>
        <v/>
      </c>
      <c r="G793" s="20" t="str">
        <f t="shared" si="25"/>
        <v/>
      </c>
    </row>
    <row r="794" spans="2:7" x14ac:dyDescent="0.2">
      <c r="B794" s="19" t="str">
        <f>IF('DDF Original'!B794="","",'DDF Original'!B794)</f>
        <v/>
      </c>
      <c r="C794" s="20" t="str">
        <f>IF('DDF Original'!C794="","",'DDF Original'!C794)</f>
        <v/>
      </c>
      <c r="D794" s="20" t="str">
        <f>IF('DDF Original'!F794="","",'DDF Original'!F794)</f>
        <v/>
      </c>
      <c r="E794" s="38" t="str">
        <f>'Recálculo Confissão (85-B)'!N794</f>
        <v/>
      </c>
      <c r="F794" s="20" t="str">
        <f t="shared" si="24"/>
        <v/>
      </c>
      <c r="G794" s="20" t="str">
        <f t="shared" si="25"/>
        <v/>
      </c>
    </row>
    <row r="795" spans="2:7" x14ac:dyDescent="0.2">
      <c r="B795" s="19" t="str">
        <f>IF('DDF Original'!B795="","",'DDF Original'!B795)</f>
        <v/>
      </c>
      <c r="C795" s="20" t="str">
        <f>IF('DDF Original'!C795="","",'DDF Original'!C795)</f>
        <v/>
      </c>
      <c r="D795" s="20" t="str">
        <f>IF('DDF Original'!F795="","",'DDF Original'!F795)</f>
        <v/>
      </c>
      <c r="E795" s="38" t="str">
        <f>'Recálculo Confissão (85-B)'!N795</f>
        <v/>
      </c>
      <c r="F795" s="20" t="str">
        <f t="shared" si="24"/>
        <v/>
      </c>
      <c r="G795" s="20" t="str">
        <f t="shared" si="25"/>
        <v/>
      </c>
    </row>
    <row r="796" spans="2:7" x14ac:dyDescent="0.2">
      <c r="B796" s="19" t="str">
        <f>IF('DDF Original'!B796="","",'DDF Original'!B796)</f>
        <v/>
      </c>
      <c r="C796" s="20" t="str">
        <f>IF('DDF Original'!C796="","",'DDF Original'!C796)</f>
        <v/>
      </c>
      <c r="D796" s="20" t="str">
        <f>IF('DDF Original'!F796="","",'DDF Original'!F796)</f>
        <v/>
      </c>
      <c r="E796" s="38" t="str">
        <f>'Recálculo Confissão (85-B)'!N796</f>
        <v/>
      </c>
      <c r="F796" s="20" t="str">
        <f t="shared" si="24"/>
        <v/>
      </c>
      <c r="G796" s="20" t="str">
        <f t="shared" si="25"/>
        <v/>
      </c>
    </row>
    <row r="797" spans="2:7" x14ac:dyDescent="0.2">
      <c r="B797" s="19" t="str">
        <f>IF('DDF Original'!B797="","",'DDF Original'!B797)</f>
        <v/>
      </c>
      <c r="C797" s="20" t="str">
        <f>IF('DDF Original'!C797="","",'DDF Original'!C797)</f>
        <v/>
      </c>
      <c r="D797" s="20" t="str">
        <f>IF('DDF Original'!F797="","",'DDF Original'!F797)</f>
        <v/>
      </c>
      <c r="E797" s="38" t="str">
        <f>'Recálculo Confissão (85-B)'!N797</f>
        <v/>
      </c>
      <c r="F797" s="20" t="str">
        <f t="shared" si="24"/>
        <v/>
      </c>
      <c r="G797" s="20" t="str">
        <f t="shared" si="25"/>
        <v/>
      </c>
    </row>
    <row r="798" spans="2:7" x14ac:dyDescent="0.2">
      <c r="B798" s="19" t="str">
        <f>IF('DDF Original'!B798="","",'DDF Original'!B798)</f>
        <v/>
      </c>
      <c r="C798" s="20" t="str">
        <f>IF('DDF Original'!C798="","",'DDF Original'!C798)</f>
        <v/>
      </c>
      <c r="D798" s="20" t="str">
        <f>IF('DDF Original'!F798="","",'DDF Original'!F798)</f>
        <v/>
      </c>
      <c r="E798" s="38" t="str">
        <f>'Recálculo Confissão (85-B)'!N798</f>
        <v/>
      </c>
      <c r="F798" s="20" t="str">
        <f t="shared" si="24"/>
        <v/>
      </c>
      <c r="G798" s="20" t="str">
        <f t="shared" si="25"/>
        <v/>
      </c>
    </row>
    <row r="799" spans="2:7" x14ac:dyDescent="0.2">
      <c r="B799" s="19" t="str">
        <f>IF('DDF Original'!B799="","",'DDF Original'!B799)</f>
        <v/>
      </c>
      <c r="C799" s="20" t="str">
        <f>IF('DDF Original'!C799="","",'DDF Original'!C799)</f>
        <v/>
      </c>
      <c r="D799" s="20" t="str">
        <f>IF('DDF Original'!F799="","",'DDF Original'!F799)</f>
        <v/>
      </c>
      <c r="E799" s="38" t="str">
        <f>'Recálculo Confissão (85-B)'!N799</f>
        <v/>
      </c>
      <c r="F799" s="20" t="str">
        <f t="shared" si="24"/>
        <v/>
      </c>
      <c r="G799" s="20" t="str">
        <f t="shared" si="25"/>
        <v/>
      </c>
    </row>
    <row r="800" spans="2:7" x14ac:dyDescent="0.2">
      <c r="B800" s="19" t="str">
        <f>IF('DDF Original'!B800="","",'DDF Original'!B800)</f>
        <v/>
      </c>
      <c r="C800" s="20" t="str">
        <f>IF('DDF Original'!C800="","",'DDF Original'!C800)</f>
        <v/>
      </c>
      <c r="D800" s="20" t="str">
        <f>IF('DDF Original'!F800="","",'DDF Original'!F800)</f>
        <v/>
      </c>
      <c r="E800" s="38" t="str">
        <f>'Recálculo Confissão (85-B)'!N800</f>
        <v/>
      </c>
      <c r="F800" s="20" t="str">
        <f t="shared" si="24"/>
        <v/>
      </c>
      <c r="G800" s="20" t="str">
        <f t="shared" si="25"/>
        <v/>
      </c>
    </row>
    <row r="801" spans="2:7" x14ac:dyDescent="0.2">
      <c r="B801" s="19" t="str">
        <f>IF('DDF Original'!B801="","",'DDF Original'!B801)</f>
        <v/>
      </c>
      <c r="C801" s="20" t="str">
        <f>IF('DDF Original'!C801="","",'DDF Original'!C801)</f>
        <v/>
      </c>
      <c r="D801" s="20" t="str">
        <f>IF('DDF Original'!F801="","",'DDF Original'!F801)</f>
        <v/>
      </c>
      <c r="E801" s="38" t="str">
        <f>'Recálculo Confissão (85-B)'!N801</f>
        <v/>
      </c>
      <c r="F801" s="20" t="str">
        <f t="shared" si="24"/>
        <v/>
      </c>
      <c r="G801" s="20" t="str">
        <f t="shared" si="25"/>
        <v/>
      </c>
    </row>
    <row r="802" spans="2:7" x14ac:dyDescent="0.2">
      <c r="B802" s="19" t="str">
        <f>IF('DDF Original'!B802="","",'DDF Original'!B802)</f>
        <v/>
      </c>
      <c r="C802" s="20" t="str">
        <f>IF('DDF Original'!C802="","",'DDF Original'!C802)</f>
        <v/>
      </c>
      <c r="D802" s="20" t="str">
        <f>IF('DDF Original'!F802="","",'DDF Original'!F802)</f>
        <v/>
      </c>
      <c r="E802" s="38" t="str">
        <f>'Recálculo Confissão (85-B)'!N802</f>
        <v/>
      </c>
      <c r="F802" s="20" t="str">
        <f t="shared" si="24"/>
        <v/>
      </c>
      <c r="G802" s="20" t="str">
        <f t="shared" si="25"/>
        <v/>
      </c>
    </row>
    <row r="803" spans="2:7" x14ac:dyDescent="0.2">
      <c r="B803" s="19" t="str">
        <f>IF('DDF Original'!B803="","",'DDF Original'!B803)</f>
        <v/>
      </c>
      <c r="C803" s="20" t="str">
        <f>IF('DDF Original'!C803="","",'DDF Original'!C803)</f>
        <v/>
      </c>
      <c r="D803" s="20" t="str">
        <f>IF('DDF Original'!F803="","",'DDF Original'!F803)</f>
        <v/>
      </c>
      <c r="E803" s="38" t="str">
        <f>'Recálculo Confissão (85-B)'!N803</f>
        <v/>
      </c>
      <c r="F803" s="20" t="str">
        <f t="shared" si="24"/>
        <v/>
      </c>
      <c r="G803" s="20" t="str">
        <f t="shared" si="25"/>
        <v/>
      </c>
    </row>
    <row r="804" spans="2:7" x14ac:dyDescent="0.2">
      <c r="B804" s="19" t="str">
        <f>IF('DDF Original'!B804="","",'DDF Original'!B804)</f>
        <v/>
      </c>
      <c r="C804" s="20" t="str">
        <f>IF('DDF Original'!C804="","",'DDF Original'!C804)</f>
        <v/>
      </c>
      <c r="D804" s="20" t="str">
        <f>IF('DDF Original'!F804="","",'DDF Original'!F804)</f>
        <v/>
      </c>
      <c r="E804" s="38" t="str">
        <f>'Recálculo Confissão (85-B)'!N804</f>
        <v/>
      </c>
      <c r="F804" s="20" t="str">
        <f t="shared" si="24"/>
        <v/>
      </c>
      <c r="G804" s="20" t="str">
        <f t="shared" si="25"/>
        <v/>
      </c>
    </row>
    <row r="805" spans="2:7" x14ac:dyDescent="0.2">
      <c r="B805" s="19" t="str">
        <f>IF('DDF Original'!B805="","",'DDF Original'!B805)</f>
        <v/>
      </c>
      <c r="C805" s="20" t="str">
        <f>IF('DDF Original'!C805="","",'DDF Original'!C805)</f>
        <v/>
      </c>
      <c r="D805" s="20" t="str">
        <f>IF('DDF Original'!F805="","",'DDF Original'!F805)</f>
        <v/>
      </c>
      <c r="E805" s="38" t="str">
        <f>'Recálculo Confissão (85-B)'!N805</f>
        <v/>
      </c>
      <c r="F805" s="20" t="str">
        <f t="shared" si="24"/>
        <v/>
      </c>
      <c r="G805" s="20" t="str">
        <f t="shared" si="25"/>
        <v/>
      </c>
    </row>
    <row r="806" spans="2:7" x14ac:dyDescent="0.2">
      <c r="B806" s="19" t="str">
        <f>IF('DDF Original'!B806="","",'DDF Original'!B806)</f>
        <v/>
      </c>
      <c r="C806" s="20" t="str">
        <f>IF('DDF Original'!C806="","",'DDF Original'!C806)</f>
        <v/>
      </c>
      <c r="D806" s="20" t="str">
        <f>IF('DDF Original'!F806="","",'DDF Original'!F806)</f>
        <v/>
      </c>
      <c r="E806" s="38" t="str">
        <f>'Recálculo Confissão (85-B)'!N806</f>
        <v/>
      </c>
      <c r="F806" s="20" t="str">
        <f t="shared" si="24"/>
        <v/>
      </c>
      <c r="G806" s="20" t="str">
        <f t="shared" si="25"/>
        <v/>
      </c>
    </row>
    <row r="807" spans="2:7" x14ac:dyDescent="0.2">
      <c r="B807" s="19" t="str">
        <f>IF('DDF Original'!B807="","",'DDF Original'!B807)</f>
        <v/>
      </c>
      <c r="C807" s="20" t="str">
        <f>IF('DDF Original'!C807="","",'DDF Original'!C807)</f>
        <v/>
      </c>
      <c r="D807" s="20" t="str">
        <f>IF('DDF Original'!F807="","",'DDF Original'!F807)</f>
        <v/>
      </c>
      <c r="E807" s="38" t="str">
        <f>'Recálculo Confissão (85-B)'!N807</f>
        <v/>
      </c>
      <c r="F807" s="20" t="str">
        <f t="shared" si="24"/>
        <v/>
      </c>
      <c r="G807" s="20" t="str">
        <f t="shared" si="25"/>
        <v/>
      </c>
    </row>
    <row r="808" spans="2:7" x14ac:dyDescent="0.2">
      <c r="B808" s="19" t="str">
        <f>IF('DDF Original'!B808="","",'DDF Original'!B808)</f>
        <v/>
      </c>
      <c r="C808" s="20" t="str">
        <f>IF('DDF Original'!C808="","",'DDF Original'!C808)</f>
        <v/>
      </c>
      <c r="D808" s="20" t="str">
        <f>IF('DDF Original'!F808="","",'DDF Original'!F808)</f>
        <v/>
      </c>
      <c r="E808" s="38" t="str">
        <f>'Recálculo Confissão (85-B)'!N808</f>
        <v/>
      </c>
      <c r="F808" s="20" t="str">
        <f t="shared" si="24"/>
        <v/>
      </c>
      <c r="G808" s="20" t="str">
        <f t="shared" si="25"/>
        <v/>
      </c>
    </row>
    <row r="809" spans="2:7" x14ac:dyDescent="0.2">
      <c r="B809" s="19" t="str">
        <f>IF('DDF Original'!B809="","",'DDF Original'!B809)</f>
        <v/>
      </c>
      <c r="C809" s="20" t="str">
        <f>IF('DDF Original'!C809="","",'DDF Original'!C809)</f>
        <v/>
      </c>
      <c r="D809" s="20" t="str">
        <f>IF('DDF Original'!F809="","",'DDF Original'!F809)</f>
        <v/>
      </c>
      <c r="E809" s="38" t="str">
        <f>'Recálculo Confissão (85-B)'!N809</f>
        <v/>
      </c>
      <c r="F809" s="20" t="str">
        <f t="shared" si="24"/>
        <v/>
      </c>
      <c r="G809" s="20" t="str">
        <f t="shared" si="25"/>
        <v/>
      </c>
    </row>
    <row r="810" spans="2:7" x14ac:dyDescent="0.2">
      <c r="B810" s="19" t="str">
        <f>IF('DDF Original'!B810="","",'DDF Original'!B810)</f>
        <v/>
      </c>
      <c r="C810" s="20" t="str">
        <f>IF('DDF Original'!C810="","",'DDF Original'!C810)</f>
        <v/>
      </c>
      <c r="D810" s="20" t="str">
        <f>IF('DDF Original'!F810="","",'DDF Original'!F810)</f>
        <v/>
      </c>
      <c r="E810" s="38" t="str">
        <f>'Recálculo Confissão (85-B)'!N810</f>
        <v/>
      </c>
      <c r="F810" s="20" t="str">
        <f t="shared" si="24"/>
        <v/>
      </c>
      <c r="G810" s="20" t="str">
        <f t="shared" si="25"/>
        <v/>
      </c>
    </row>
    <row r="811" spans="2:7" x14ac:dyDescent="0.2">
      <c r="B811" s="19" t="str">
        <f>IF('DDF Original'!B811="","",'DDF Original'!B811)</f>
        <v/>
      </c>
      <c r="C811" s="20" t="str">
        <f>IF('DDF Original'!C811="","",'DDF Original'!C811)</f>
        <v/>
      </c>
      <c r="D811" s="20" t="str">
        <f>IF('DDF Original'!F811="","",'DDF Original'!F811)</f>
        <v/>
      </c>
      <c r="E811" s="38" t="str">
        <f>'Recálculo Confissão (85-B)'!N811</f>
        <v/>
      </c>
      <c r="F811" s="20" t="str">
        <f t="shared" si="24"/>
        <v/>
      </c>
      <c r="G811" s="20" t="str">
        <f t="shared" si="25"/>
        <v/>
      </c>
    </row>
    <row r="812" spans="2:7" x14ac:dyDescent="0.2">
      <c r="B812" s="19" t="str">
        <f>IF('DDF Original'!B812="","",'DDF Original'!B812)</f>
        <v/>
      </c>
      <c r="C812" s="20" t="str">
        <f>IF('DDF Original'!C812="","",'DDF Original'!C812)</f>
        <v/>
      </c>
      <c r="D812" s="20" t="str">
        <f>IF('DDF Original'!F812="","",'DDF Original'!F812)</f>
        <v/>
      </c>
      <c r="E812" s="38" t="str">
        <f>'Recálculo Confissão (85-B)'!N812</f>
        <v/>
      </c>
      <c r="F812" s="20" t="str">
        <f t="shared" si="24"/>
        <v/>
      </c>
      <c r="G812" s="20" t="str">
        <f t="shared" si="25"/>
        <v/>
      </c>
    </row>
    <row r="813" spans="2:7" x14ac:dyDescent="0.2">
      <c r="B813" s="19" t="str">
        <f>IF('DDF Original'!B813="","",'DDF Original'!B813)</f>
        <v/>
      </c>
      <c r="C813" s="20" t="str">
        <f>IF('DDF Original'!C813="","",'DDF Original'!C813)</f>
        <v/>
      </c>
      <c r="D813" s="20" t="str">
        <f>IF('DDF Original'!F813="","",'DDF Original'!F813)</f>
        <v/>
      </c>
      <c r="E813" s="38" t="str">
        <f>'Recálculo Confissão (85-B)'!N813</f>
        <v/>
      </c>
      <c r="F813" s="20" t="str">
        <f t="shared" si="24"/>
        <v/>
      </c>
      <c r="G813" s="20" t="str">
        <f t="shared" si="25"/>
        <v/>
      </c>
    </row>
    <row r="814" spans="2:7" x14ac:dyDescent="0.2">
      <c r="B814" s="19" t="str">
        <f>IF('DDF Original'!B814="","",'DDF Original'!B814)</f>
        <v/>
      </c>
      <c r="C814" s="20" t="str">
        <f>IF('DDF Original'!C814="","",'DDF Original'!C814)</f>
        <v/>
      </c>
      <c r="D814" s="20" t="str">
        <f>IF('DDF Original'!F814="","",'DDF Original'!F814)</f>
        <v/>
      </c>
      <c r="E814" s="38" t="str">
        <f>'Recálculo Confissão (85-B)'!N814</f>
        <v/>
      </c>
      <c r="F814" s="20" t="str">
        <f t="shared" si="24"/>
        <v/>
      </c>
      <c r="G814" s="20" t="str">
        <f t="shared" si="25"/>
        <v/>
      </c>
    </row>
    <row r="815" spans="2:7" x14ac:dyDescent="0.2">
      <c r="B815" s="19" t="str">
        <f>IF('DDF Original'!B815="","",'DDF Original'!B815)</f>
        <v/>
      </c>
      <c r="C815" s="20" t="str">
        <f>IF('DDF Original'!C815="","",'DDF Original'!C815)</f>
        <v/>
      </c>
      <c r="D815" s="20" t="str">
        <f>IF('DDF Original'!F815="","",'DDF Original'!F815)</f>
        <v/>
      </c>
      <c r="E815" s="38" t="str">
        <f>'Recálculo Confissão (85-B)'!N815</f>
        <v/>
      </c>
      <c r="F815" s="20" t="str">
        <f t="shared" si="24"/>
        <v/>
      </c>
      <c r="G815" s="20" t="str">
        <f t="shared" si="25"/>
        <v/>
      </c>
    </row>
    <row r="816" spans="2:7" x14ac:dyDescent="0.2">
      <c r="B816" s="19" t="str">
        <f>IF('DDF Original'!B816="","",'DDF Original'!B816)</f>
        <v/>
      </c>
      <c r="C816" s="20" t="str">
        <f>IF('DDF Original'!C816="","",'DDF Original'!C816)</f>
        <v/>
      </c>
      <c r="D816" s="20" t="str">
        <f>IF('DDF Original'!F816="","",'DDF Original'!F816)</f>
        <v/>
      </c>
      <c r="E816" s="38" t="str">
        <f>'Recálculo Confissão (85-B)'!N816</f>
        <v/>
      </c>
      <c r="F816" s="20" t="str">
        <f t="shared" si="24"/>
        <v/>
      </c>
      <c r="G816" s="20" t="str">
        <f t="shared" si="25"/>
        <v/>
      </c>
    </row>
    <row r="817" spans="2:7" x14ac:dyDescent="0.2">
      <c r="B817" s="19" t="str">
        <f>IF('DDF Original'!B817="","",'DDF Original'!B817)</f>
        <v/>
      </c>
      <c r="C817" s="20" t="str">
        <f>IF('DDF Original'!C817="","",'DDF Original'!C817)</f>
        <v/>
      </c>
      <c r="D817" s="20" t="str">
        <f>IF('DDF Original'!F817="","",'DDF Original'!F817)</f>
        <v/>
      </c>
      <c r="E817" s="38" t="str">
        <f>'Recálculo Confissão (85-B)'!N817</f>
        <v/>
      </c>
      <c r="F817" s="20" t="str">
        <f t="shared" si="24"/>
        <v/>
      </c>
      <c r="G817" s="20" t="str">
        <f t="shared" si="25"/>
        <v/>
      </c>
    </row>
    <row r="818" spans="2:7" x14ac:dyDescent="0.2">
      <c r="B818" s="19" t="str">
        <f>IF('DDF Original'!B818="","",'DDF Original'!B818)</f>
        <v/>
      </c>
      <c r="C818" s="20" t="str">
        <f>IF('DDF Original'!C818="","",'DDF Original'!C818)</f>
        <v/>
      </c>
      <c r="D818" s="20" t="str">
        <f>IF('DDF Original'!F818="","",'DDF Original'!F818)</f>
        <v/>
      </c>
      <c r="E818" s="38" t="str">
        <f>'Recálculo Confissão (85-B)'!N818</f>
        <v/>
      </c>
      <c r="F818" s="20" t="str">
        <f t="shared" si="24"/>
        <v/>
      </c>
      <c r="G818" s="20" t="str">
        <f t="shared" si="25"/>
        <v/>
      </c>
    </row>
    <row r="819" spans="2:7" x14ac:dyDescent="0.2">
      <c r="B819" s="19" t="str">
        <f>IF('DDF Original'!B819="","",'DDF Original'!B819)</f>
        <v/>
      </c>
      <c r="C819" s="20" t="str">
        <f>IF('DDF Original'!C819="","",'DDF Original'!C819)</f>
        <v/>
      </c>
      <c r="D819" s="20" t="str">
        <f>IF('DDF Original'!F819="","",'DDF Original'!F819)</f>
        <v/>
      </c>
      <c r="E819" s="38" t="str">
        <f>'Recálculo Confissão (85-B)'!N819</f>
        <v/>
      </c>
      <c r="F819" s="20" t="str">
        <f t="shared" si="24"/>
        <v/>
      </c>
      <c r="G819" s="20" t="str">
        <f t="shared" si="25"/>
        <v/>
      </c>
    </row>
    <row r="820" spans="2:7" x14ac:dyDescent="0.2">
      <c r="B820" s="19" t="str">
        <f>IF('DDF Original'!B820="","",'DDF Original'!B820)</f>
        <v/>
      </c>
      <c r="C820" s="20" t="str">
        <f>IF('DDF Original'!C820="","",'DDF Original'!C820)</f>
        <v/>
      </c>
      <c r="D820" s="20" t="str">
        <f>IF('DDF Original'!F820="","",'DDF Original'!F820)</f>
        <v/>
      </c>
      <c r="E820" s="38" t="str">
        <f>'Recálculo Confissão (85-B)'!N820</f>
        <v/>
      </c>
      <c r="F820" s="20" t="str">
        <f t="shared" si="24"/>
        <v/>
      </c>
      <c r="G820" s="20" t="str">
        <f t="shared" si="25"/>
        <v/>
      </c>
    </row>
    <row r="821" spans="2:7" x14ac:dyDescent="0.2">
      <c r="B821" s="19" t="str">
        <f>IF('DDF Original'!B821="","",'DDF Original'!B821)</f>
        <v/>
      </c>
      <c r="C821" s="20" t="str">
        <f>IF('DDF Original'!C821="","",'DDF Original'!C821)</f>
        <v/>
      </c>
      <c r="D821" s="20" t="str">
        <f>IF('DDF Original'!F821="","",'DDF Original'!F821)</f>
        <v/>
      </c>
      <c r="E821" s="38" t="str">
        <f>'Recálculo Confissão (85-B)'!N821</f>
        <v/>
      </c>
      <c r="F821" s="20" t="str">
        <f t="shared" si="24"/>
        <v/>
      </c>
      <c r="G821" s="20" t="str">
        <f t="shared" si="25"/>
        <v/>
      </c>
    </row>
    <row r="822" spans="2:7" x14ac:dyDescent="0.2">
      <c r="B822" s="19" t="str">
        <f>IF('DDF Original'!B822="","",'DDF Original'!B822)</f>
        <v/>
      </c>
      <c r="C822" s="20" t="str">
        <f>IF('DDF Original'!C822="","",'DDF Original'!C822)</f>
        <v/>
      </c>
      <c r="D822" s="20" t="str">
        <f>IF('DDF Original'!F822="","",'DDF Original'!F822)</f>
        <v/>
      </c>
      <c r="E822" s="38" t="str">
        <f>'Recálculo Confissão (85-B)'!N822</f>
        <v/>
      </c>
      <c r="F822" s="20" t="str">
        <f t="shared" si="24"/>
        <v/>
      </c>
      <c r="G822" s="20" t="str">
        <f t="shared" si="25"/>
        <v/>
      </c>
    </row>
    <row r="823" spans="2:7" x14ac:dyDescent="0.2">
      <c r="B823" s="19" t="str">
        <f>IF('DDF Original'!B823="","",'DDF Original'!B823)</f>
        <v/>
      </c>
      <c r="C823" s="20" t="str">
        <f>IF('DDF Original'!C823="","",'DDF Original'!C823)</f>
        <v/>
      </c>
      <c r="D823" s="20" t="str">
        <f>IF('DDF Original'!F823="","",'DDF Original'!F823)</f>
        <v/>
      </c>
      <c r="E823" s="38" t="str">
        <f>'Recálculo Confissão (85-B)'!N823</f>
        <v/>
      </c>
      <c r="F823" s="20" t="str">
        <f t="shared" si="24"/>
        <v/>
      </c>
      <c r="G823" s="20" t="str">
        <f t="shared" si="25"/>
        <v/>
      </c>
    </row>
    <row r="824" spans="2:7" x14ac:dyDescent="0.2">
      <c r="B824" s="19" t="str">
        <f>IF('DDF Original'!B824="","",'DDF Original'!B824)</f>
        <v/>
      </c>
      <c r="C824" s="20" t="str">
        <f>IF('DDF Original'!C824="","",'DDF Original'!C824)</f>
        <v/>
      </c>
      <c r="D824" s="20" t="str">
        <f>IF('DDF Original'!F824="","",'DDF Original'!F824)</f>
        <v/>
      </c>
      <c r="E824" s="38" t="str">
        <f>'Recálculo Confissão (85-B)'!N824</f>
        <v/>
      </c>
      <c r="F824" s="20" t="str">
        <f t="shared" si="24"/>
        <v/>
      </c>
      <c r="G824" s="20" t="str">
        <f t="shared" si="25"/>
        <v/>
      </c>
    </row>
    <row r="825" spans="2:7" x14ac:dyDescent="0.2">
      <c r="B825" s="19" t="str">
        <f>IF('DDF Original'!B825="","",'DDF Original'!B825)</f>
        <v/>
      </c>
      <c r="C825" s="20" t="str">
        <f>IF('DDF Original'!C825="","",'DDF Original'!C825)</f>
        <v/>
      </c>
      <c r="D825" s="20" t="str">
        <f>IF('DDF Original'!F825="","",'DDF Original'!F825)</f>
        <v/>
      </c>
      <c r="E825" s="38" t="str">
        <f>'Recálculo Confissão (85-B)'!N825</f>
        <v/>
      </c>
      <c r="F825" s="20" t="str">
        <f t="shared" si="24"/>
        <v/>
      </c>
      <c r="G825" s="20" t="str">
        <f t="shared" si="25"/>
        <v/>
      </c>
    </row>
    <row r="826" spans="2:7" x14ac:dyDescent="0.2">
      <c r="B826" s="19" t="str">
        <f>IF('DDF Original'!B826="","",'DDF Original'!B826)</f>
        <v/>
      </c>
      <c r="C826" s="20" t="str">
        <f>IF('DDF Original'!C826="","",'DDF Original'!C826)</f>
        <v/>
      </c>
      <c r="D826" s="20" t="str">
        <f>IF('DDF Original'!F826="","",'DDF Original'!F826)</f>
        <v/>
      </c>
      <c r="E826" s="38" t="str">
        <f>'Recálculo Confissão (85-B)'!N826</f>
        <v/>
      </c>
      <c r="F826" s="20" t="str">
        <f t="shared" si="24"/>
        <v/>
      </c>
      <c r="G826" s="20" t="str">
        <f t="shared" si="25"/>
        <v/>
      </c>
    </row>
    <row r="827" spans="2:7" x14ac:dyDescent="0.2">
      <c r="B827" s="19" t="str">
        <f>IF('DDF Original'!B827="","",'DDF Original'!B827)</f>
        <v/>
      </c>
      <c r="C827" s="20" t="str">
        <f>IF('DDF Original'!C827="","",'DDF Original'!C827)</f>
        <v/>
      </c>
      <c r="D827" s="20" t="str">
        <f>IF('DDF Original'!F827="","",'DDF Original'!F827)</f>
        <v/>
      </c>
      <c r="E827" s="38" t="str">
        <f>'Recálculo Confissão (85-B)'!N827</f>
        <v/>
      </c>
      <c r="F827" s="20" t="str">
        <f t="shared" si="24"/>
        <v/>
      </c>
      <c r="G827" s="20" t="str">
        <f t="shared" si="25"/>
        <v/>
      </c>
    </row>
    <row r="828" spans="2:7" x14ac:dyDescent="0.2">
      <c r="B828" s="19" t="str">
        <f>IF('DDF Original'!B828="","",'DDF Original'!B828)</f>
        <v/>
      </c>
      <c r="C828" s="20" t="str">
        <f>IF('DDF Original'!C828="","",'DDF Original'!C828)</f>
        <v/>
      </c>
      <c r="D828" s="20" t="str">
        <f>IF('DDF Original'!F828="","",'DDF Original'!F828)</f>
        <v/>
      </c>
      <c r="E828" s="38" t="str">
        <f>'Recálculo Confissão (85-B)'!N828</f>
        <v/>
      </c>
      <c r="F828" s="20" t="str">
        <f t="shared" si="24"/>
        <v/>
      </c>
      <c r="G828" s="20" t="str">
        <f t="shared" si="25"/>
        <v/>
      </c>
    </row>
    <row r="829" spans="2:7" x14ac:dyDescent="0.2">
      <c r="B829" s="19" t="str">
        <f>IF('DDF Original'!B829="","",'DDF Original'!B829)</f>
        <v/>
      </c>
      <c r="C829" s="20" t="str">
        <f>IF('DDF Original'!C829="","",'DDF Original'!C829)</f>
        <v/>
      </c>
      <c r="D829" s="20" t="str">
        <f>IF('DDF Original'!F829="","",'DDF Original'!F829)</f>
        <v/>
      </c>
      <c r="E829" s="38" t="str">
        <f>'Recálculo Confissão (85-B)'!N829</f>
        <v/>
      </c>
      <c r="F829" s="20" t="str">
        <f t="shared" ref="F829:F892" si="26">IF(E829="","",ROUND(E829*(1-70%),2))</f>
        <v/>
      </c>
      <c r="G829" s="20" t="str">
        <f t="shared" ref="G829:G892" si="27">IF(E829="","",ROUND(E829*(1-60%),2))</f>
        <v/>
      </c>
    </row>
    <row r="830" spans="2:7" x14ac:dyDescent="0.2">
      <c r="B830" s="19" t="str">
        <f>IF('DDF Original'!B830="","",'DDF Original'!B830)</f>
        <v/>
      </c>
      <c r="C830" s="20" t="str">
        <f>IF('DDF Original'!C830="","",'DDF Original'!C830)</f>
        <v/>
      </c>
      <c r="D830" s="20" t="str">
        <f>IF('DDF Original'!F830="","",'DDF Original'!F830)</f>
        <v/>
      </c>
      <c r="E830" s="38" t="str">
        <f>'Recálculo Confissão (85-B)'!N830</f>
        <v/>
      </c>
      <c r="F830" s="20" t="str">
        <f t="shared" si="26"/>
        <v/>
      </c>
      <c r="G830" s="20" t="str">
        <f t="shared" si="27"/>
        <v/>
      </c>
    </row>
    <row r="831" spans="2:7" x14ac:dyDescent="0.2">
      <c r="B831" s="19" t="str">
        <f>IF('DDF Original'!B831="","",'DDF Original'!B831)</f>
        <v/>
      </c>
      <c r="C831" s="20" t="str">
        <f>IF('DDF Original'!C831="","",'DDF Original'!C831)</f>
        <v/>
      </c>
      <c r="D831" s="20" t="str">
        <f>IF('DDF Original'!F831="","",'DDF Original'!F831)</f>
        <v/>
      </c>
      <c r="E831" s="38" t="str">
        <f>'Recálculo Confissão (85-B)'!N831</f>
        <v/>
      </c>
      <c r="F831" s="20" t="str">
        <f t="shared" si="26"/>
        <v/>
      </c>
      <c r="G831" s="20" t="str">
        <f t="shared" si="27"/>
        <v/>
      </c>
    </row>
    <row r="832" spans="2:7" x14ac:dyDescent="0.2">
      <c r="B832" s="19" t="str">
        <f>IF('DDF Original'!B832="","",'DDF Original'!B832)</f>
        <v/>
      </c>
      <c r="C832" s="20" t="str">
        <f>IF('DDF Original'!C832="","",'DDF Original'!C832)</f>
        <v/>
      </c>
      <c r="D832" s="20" t="str">
        <f>IF('DDF Original'!F832="","",'DDF Original'!F832)</f>
        <v/>
      </c>
      <c r="E832" s="38" t="str">
        <f>'Recálculo Confissão (85-B)'!N832</f>
        <v/>
      </c>
      <c r="F832" s="20" t="str">
        <f t="shared" si="26"/>
        <v/>
      </c>
      <c r="G832" s="20" t="str">
        <f t="shared" si="27"/>
        <v/>
      </c>
    </row>
    <row r="833" spans="2:7" x14ac:dyDescent="0.2">
      <c r="B833" s="19" t="str">
        <f>IF('DDF Original'!B833="","",'DDF Original'!B833)</f>
        <v/>
      </c>
      <c r="C833" s="20" t="str">
        <f>IF('DDF Original'!C833="","",'DDF Original'!C833)</f>
        <v/>
      </c>
      <c r="D833" s="20" t="str">
        <f>IF('DDF Original'!F833="","",'DDF Original'!F833)</f>
        <v/>
      </c>
      <c r="E833" s="38" t="str">
        <f>'Recálculo Confissão (85-B)'!N833</f>
        <v/>
      </c>
      <c r="F833" s="20" t="str">
        <f t="shared" si="26"/>
        <v/>
      </c>
      <c r="G833" s="20" t="str">
        <f t="shared" si="27"/>
        <v/>
      </c>
    </row>
    <row r="834" spans="2:7" x14ac:dyDescent="0.2">
      <c r="B834" s="19" t="str">
        <f>IF('DDF Original'!B834="","",'DDF Original'!B834)</f>
        <v/>
      </c>
      <c r="C834" s="20" t="str">
        <f>IF('DDF Original'!C834="","",'DDF Original'!C834)</f>
        <v/>
      </c>
      <c r="D834" s="20" t="str">
        <f>IF('DDF Original'!F834="","",'DDF Original'!F834)</f>
        <v/>
      </c>
      <c r="E834" s="38" t="str">
        <f>'Recálculo Confissão (85-B)'!N834</f>
        <v/>
      </c>
      <c r="F834" s="20" t="str">
        <f t="shared" si="26"/>
        <v/>
      </c>
      <c r="G834" s="20" t="str">
        <f t="shared" si="27"/>
        <v/>
      </c>
    </row>
    <row r="835" spans="2:7" x14ac:dyDescent="0.2">
      <c r="B835" s="19" t="str">
        <f>IF('DDF Original'!B835="","",'DDF Original'!B835)</f>
        <v/>
      </c>
      <c r="C835" s="20" t="str">
        <f>IF('DDF Original'!C835="","",'DDF Original'!C835)</f>
        <v/>
      </c>
      <c r="D835" s="20" t="str">
        <f>IF('DDF Original'!F835="","",'DDF Original'!F835)</f>
        <v/>
      </c>
      <c r="E835" s="38" t="str">
        <f>'Recálculo Confissão (85-B)'!N835</f>
        <v/>
      </c>
      <c r="F835" s="20" t="str">
        <f t="shared" si="26"/>
        <v/>
      </c>
      <c r="G835" s="20" t="str">
        <f t="shared" si="27"/>
        <v/>
      </c>
    </row>
    <row r="836" spans="2:7" x14ac:dyDescent="0.2">
      <c r="B836" s="19" t="str">
        <f>IF('DDF Original'!B836="","",'DDF Original'!B836)</f>
        <v/>
      </c>
      <c r="C836" s="20" t="str">
        <f>IF('DDF Original'!C836="","",'DDF Original'!C836)</f>
        <v/>
      </c>
      <c r="D836" s="20" t="str">
        <f>IF('DDF Original'!F836="","",'DDF Original'!F836)</f>
        <v/>
      </c>
      <c r="E836" s="38" t="str">
        <f>'Recálculo Confissão (85-B)'!N836</f>
        <v/>
      </c>
      <c r="F836" s="20" t="str">
        <f t="shared" si="26"/>
        <v/>
      </c>
      <c r="G836" s="20" t="str">
        <f t="shared" si="27"/>
        <v/>
      </c>
    </row>
    <row r="837" spans="2:7" x14ac:dyDescent="0.2">
      <c r="B837" s="19" t="str">
        <f>IF('DDF Original'!B837="","",'DDF Original'!B837)</f>
        <v/>
      </c>
      <c r="C837" s="20" t="str">
        <f>IF('DDF Original'!C837="","",'DDF Original'!C837)</f>
        <v/>
      </c>
      <c r="D837" s="20" t="str">
        <f>IF('DDF Original'!F837="","",'DDF Original'!F837)</f>
        <v/>
      </c>
      <c r="E837" s="38" t="str">
        <f>'Recálculo Confissão (85-B)'!N837</f>
        <v/>
      </c>
      <c r="F837" s="20" t="str">
        <f t="shared" si="26"/>
        <v/>
      </c>
      <c r="G837" s="20" t="str">
        <f t="shared" si="27"/>
        <v/>
      </c>
    </row>
    <row r="838" spans="2:7" x14ac:dyDescent="0.2">
      <c r="B838" s="19" t="str">
        <f>IF('DDF Original'!B838="","",'DDF Original'!B838)</f>
        <v/>
      </c>
      <c r="C838" s="20" t="str">
        <f>IF('DDF Original'!C838="","",'DDF Original'!C838)</f>
        <v/>
      </c>
      <c r="D838" s="20" t="str">
        <f>IF('DDF Original'!F838="","",'DDF Original'!F838)</f>
        <v/>
      </c>
      <c r="E838" s="38" t="str">
        <f>'Recálculo Confissão (85-B)'!N838</f>
        <v/>
      </c>
      <c r="F838" s="20" t="str">
        <f t="shared" si="26"/>
        <v/>
      </c>
      <c r="G838" s="20" t="str">
        <f t="shared" si="27"/>
        <v/>
      </c>
    </row>
    <row r="839" spans="2:7" x14ac:dyDescent="0.2">
      <c r="B839" s="19" t="str">
        <f>IF('DDF Original'!B839="","",'DDF Original'!B839)</f>
        <v/>
      </c>
      <c r="C839" s="20" t="str">
        <f>IF('DDF Original'!C839="","",'DDF Original'!C839)</f>
        <v/>
      </c>
      <c r="D839" s="20" t="str">
        <f>IF('DDF Original'!F839="","",'DDF Original'!F839)</f>
        <v/>
      </c>
      <c r="E839" s="38" t="str">
        <f>'Recálculo Confissão (85-B)'!N839</f>
        <v/>
      </c>
      <c r="F839" s="20" t="str">
        <f t="shared" si="26"/>
        <v/>
      </c>
      <c r="G839" s="20" t="str">
        <f t="shared" si="27"/>
        <v/>
      </c>
    </row>
    <row r="840" spans="2:7" x14ac:dyDescent="0.2">
      <c r="B840" s="19" t="str">
        <f>IF('DDF Original'!B840="","",'DDF Original'!B840)</f>
        <v/>
      </c>
      <c r="C840" s="20" t="str">
        <f>IF('DDF Original'!C840="","",'DDF Original'!C840)</f>
        <v/>
      </c>
      <c r="D840" s="20" t="str">
        <f>IF('DDF Original'!F840="","",'DDF Original'!F840)</f>
        <v/>
      </c>
      <c r="E840" s="38" t="str">
        <f>'Recálculo Confissão (85-B)'!N840</f>
        <v/>
      </c>
      <c r="F840" s="20" t="str">
        <f t="shared" si="26"/>
        <v/>
      </c>
      <c r="G840" s="20" t="str">
        <f t="shared" si="27"/>
        <v/>
      </c>
    </row>
    <row r="841" spans="2:7" x14ac:dyDescent="0.2">
      <c r="B841" s="19" t="str">
        <f>IF('DDF Original'!B841="","",'DDF Original'!B841)</f>
        <v/>
      </c>
      <c r="C841" s="20" t="str">
        <f>IF('DDF Original'!C841="","",'DDF Original'!C841)</f>
        <v/>
      </c>
      <c r="D841" s="20" t="str">
        <f>IF('DDF Original'!F841="","",'DDF Original'!F841)</f>
        <v/>
      </c>
      <c r="E841" s="38" t="str">
        <f>'Recálculo Confissão (85-B)'!N841</f>
        <v/>
      </c>
      <c r="F841" s="20" t="str">
        <f t="shared" si="26"/>
        <v/>
      </c>
      <c r="G841" s="20" t="str">
        <f t="shared" si="27"/>
        <v/>
      </c>
    </row>
    <row r="842" spans="2:7" x14ac:dyDescent="0.2">
      <c r="B842" s="19" t="str">
        <f>IF('DDF Original'!B842="","",'DDF Original'!B842)</f>
        <v/>
      </c>
      <c r="C842" s="20" t="str">
        <f>IF('DDF Original'!C842="","",'DDF Original'!C842)</f>
        <v/>
      </c>
      <c r="D842" s="20" t="str">
        <f>IF('DDF Original'!F842="","",'DDF Original'!F842)</f>
        <v/>
      </c>
      <c r="E842" s="38" t="str">
        <f>'Recálculo Confissão (85-B)'!N842</f>
        <v/>
      </c>
      <c r="F842" s="20" t="str">
        <f t="shared" si="26"/>
        <v/>
      </c>
      <c r="G842" s="20" t="str">
        <f t="shared" si="27"/>
        <v/>
      </c>
    </row>
    <row r="843" spans="2:7" x14ac:dyDescent="0.2">
      <c r="B843" s="19" t="str">
        <f>IF('DDF Original'!B843="","",'DDF Original'!B843)</f>
        <v/>
      </c>
      <c r="C843" s="20" t="str">
        <f>IF('DDF Original'!C843="","",'DDF Original'!C843)</f>
        <v/>
      </c>
      <c r="D843" s="20" t="str">
        <f>IF('DDF Original'!F843="","",'DDF Original'!F843)</f>
        <v/>
      </c>
      <c r="E843" s="38" t="str">
        <f>'Recálculo Confissão (85-B)'!N843</f>
        <v/>
      </c>
      <c r="F843" s="20" t="str">
        <f t="shared" si="26"/>
        <v/>
      </c>
      <c r="G843" s="20" t="str">
        <f t="shared" si="27"/>
        <v/>
      </c>
    </row>
    <row r="844" spans="2:7" x14ac:dyDescent="0.2">
      <c r="B844" s="19" t="str">
        <f>IF('DDF Original'!B844="","",'DDF Original'!B844)</f>
        <v/>
      </c>
      <c r="C844" s="20" t="str">
        <f>IF('DDF Original'!C844="","",'DDF Original'!C844)</f>
        <v/>
      </c>
      <c r="D844" s="20" t="str">
        <f>IF('DDF Original'!F844="","",'DDF Original'!F844)</f>
        <v/>
      </c>
      <c r="E844" s="38" t="str">
        <f>'Recálculo Confissão (85-B)'!N844</f>
        <v/>
      </c>
      <c r="F844" s="20" t="str">
        <f t="shared" si="26"/>
        <v/>
      </c>
      <c r="G844" s="20" t="str">
        <f t="shared" si="27"/>
        <v/>
      </c>
    </row>
    <row r="845" spans="2:7" x14ac:dyDescent="0.2">
      <c r="B845" s="19" t="str">
        <f>IF('DDF Original'!B845="","",'DDF Original'!B845)</f>
        <v/>
      </c>
      <c r="C845" s="20" t="str">
        <f>IF('DDF Original'!C845="","",'DDF Original'!C845)</f>
        <v/>
      </c>
      <c r="D845" s="20" t="str">
        <f>IF('DDF Original'!F845="","",'DDF Original'!F845)</f>
        <v/>
      </c>
      <c r="E845" s="38" t="str">
        <f>'Recálculo Confissão (85-B)'!N845</f>
        <v/>
      </c>
      <c r="F845" s="20" t="str">
        <f t="shared" si="26"/>
        <v/>
      </c>
      <c r="G845" s="20" t="str">
        <f t="shared" si="27"/>
        <v/>
      </c>
    </row>
    <row r="846" spans="2:7" x14ac:dyDescent="0.2">
      <c r="B846" s="19" t="str">
        <f>IF('DDF Original'!B846="","",'DDF Original'!B846)</f>
        <v/>
      </c>
      <c r="C846" s="20" t="str">
        <f>IF('DDF Original'!C846="","",'DDF Original'!C846)</f>
        <v/>
      </c>
      <c r="D846" s="20" t="str">
        <f>IF('DDF Original'!F846="","",'DDF Original'!F846)</f>
        <v/>
      </c>
      <c r="E846" s="38" t="str">
        <f>'Recálculo Confissão (85-B)'!N846</f>
        <v/>
      </c>
      <c r="F846" s="20" t="str">
        <f t="shared" si="26"/>
        <v/>
      </c>
      <c r="G846" s="20" t="str">
        <f t="shared" si="27"/>
        <v/>
      </c>
    </row>
    <row r="847" spans="2:7" x14ac:dyDescent="0.2">
      <c r="B847" s="19" t="str">
        <f>IF('DDF Original'!B847="","",'DDF Original'!B847)</f>
        <v/>
      </c>
      <c r="C847" s="20" t="str">
        <f>IF('DDF Original'!C847="","",'DDF Original'!C847)</f>
        <v/>
      </c>
      <c r="D847" s="20" t="str">
        <f>IF('DDF Original'!F847="","",'DDF Original'!F847)</f>
        <v/>
      </c>
      <c r="E847" s="38" t="str">
        <f>'Recálculo Confissão (85-B)'!N847</f>
        <v/>
      </c>
      <c r="F847" s="20" t="str">
        <f t="shared" si="26"/>
        <v/>
      </c>
      <c r="G847" s="20" t="str">
        <f t="shared" si="27"/>
        <v/>
      </c>
    </row>
    <row r="848" spans="2:7" x14ac:dyDescent="0.2">
      <c r="B848" s="19" t="str">
        <f>IF('DDF Original'!B848="","",'DDF Original'!B848)</f>
        <v/>
      </c>
      <c r="C848" s="20" t="str">
        <f>IF('DDF Original'!C848="","",'DDF Original'!C848)</f>
        <v/>
      </c>
      <c r="D848" s="20" t="str">
        <f>IF('DDF Original'!F848="","",'DDF Original'!F848)</f>
        <v/>
      </c>
      <c r="E848" s="38" t="str">
        <f>'Recálculo Confissão (85-B)'!N848</f>
        <v/>
      </c>
      <c r="F848" s="20" t="str">
        <f t="shared" si="26"/>
        <v/>
      </c>
      <c r="G848" s="20" t="str">
        <f t="shared" si="27"/>
        <v/>
      </c>
    </row>
    <row r="849" spans="2:7" x14ac:dyDescent="0.2">
      <c r="B849" s="19" t="str">
        <f>IF('DDF Original'!B849="","",'DDF Original'!B849)</f>
        <v/>
      </c>
      <c r="C849" s="20" t="str">
        <f>IF('DDF Original'!C849="","",'DDF Original'!C849)</f>
        <v/>
      </c>
      <c r="D849" s="20" t="str">
        <f>IF('DDF Original'!F849="","",'DDF Original'!F849)</f>
        <v/>
      </c>
      <c r="E849" s="38" t="str">
        <f>'Recálculo Confissão (85-B)'!N849</f>
        <v/>
      </c>
      <c r="F849" s="20" t="str">
        <f t="shared" si="26"/>
        <v/>
      </c>
      <c r="G849" s="20" t="str">
        <f t="shared" si="27"/>
        <v/>
      </c>
    </row>
    <row r="850" spans="2:7" x14ac:dyDescent="0.2">
      <c r="B850" s="19" t="str">
        <f>IF('DDF Original'!B850="","",'DDF Original'!B850)</f>
        <v/>
      </c>
      <c r="C850" s="20" t="str">
        <f>IF('DDF Original'!C850="","",'DDF Original'!C850)</f>
        <v/>
      </c>
      <c r="D850" s="20" t="str">
        <f>IF('DDF Original'!F850="","",'DDF Original'!F850)</f>
        <v/>
      </c>
      <c r="E850" s="38" t="str">
        <f>'Recálculo Confissão (85-B)'!N850</f>
        <v/>
      </c>
      <c r="F850" s="20" t="str">
        <f t="shared" si="26"/>
        <v/>
      </c>
      <c r="G850" s="20" t="str">
        <f t="shared" si="27"/>
        <v/>
      </c>
    </row>
    <row r="851" spans="2:7" x14ac:dyDescent="0.2">
      <c r="B851" s="19" t="str">
        <f>IF('DDF Original'!B851="","",'DDF Original'!B851)</f>
        <v/>
      </c>
      <c r="C851" s="20" t="str">
        <f>IF('DDF Original'!C851="","",'DDF Original'!C851)</f>
        <v/>
      </c>
      <c r="D851" s="20" t="str">
        <f>IF('DDF Original'!F851="","",'DDF Original'!F851)</f>
        <v/>
      </c>
      <c r="E851" s="38" t="str">
        <f>'Recálculo Confissão (85-B)'!N851</f>
        <v/>
      </c>
      <c r="F851" s="20" t="str">
        <f t="shared" si="26"/>
        <v/>
      </c>
      <c r="G851" s="20" t="str">
        <f t="shared" si="27"/>
        <v/>
      </c>
    </row>
    <row r="852" spans="2:7" x14ac:dyDescent="0.2">
      <c r="B852" s="19" t="str">
        <f>IF('DDF Original'!B852="","",'DDF Original'!B852)</f>
        <v/>
      </c>
      <c r="C852" s="20" t="str">
        <f>IF('DDF Original'!C852="","",'DDF Original'!C852)</f>
        <v/>
      </c>
      <c r="D852" s="20" t="str">
        <f>IF('DDF Original'!F852="","",'DDF Original'!F852)</f>
        <v/>
      </c>
      <c r="E852" s="38" t="str">
        <f>'Recálculo Confissão (85-B)'!N852</f>
        <v/>
      </c>
      <c r="F852" s="20" t="str">
        <f t="shared" si="26"/>
        <v/>
      </c>
      <c r="G852" s="20" t="str">
        <f t="shared" si="27"/>
        <v/>
      </c>
    </row>
    <row r="853" spans="2:7" x14ac:dyDescent="0.2">
      <c r="B853" s="19" t="str">
        <f>IF('DDF Original'!B853="","",'DDF Original'!B853)</f>
        <v/>
      </c>
      <c r="C853" s="20" t="str">
        <f>IF('DDF Original'!C853="","",'DDF Original'!C853)</f>
        <v/>
      </c>
      <c r="D853" s="20" t="str">
        <f>IF('DDF Original'!F853="","",'DDF Original'!F853)</f>
        <v/>
      </c>
      <c r="E853" s="38" t="str">
        <f>'Recálculo Confissão (85-B)'!N853</f>
        <v/>
      </c>
      <c r="F853" s="20" t="str">
        <f t="shared" si="26"/>
        <v/>
      </c>
      <c r="G853" s="20" t="str">
        <f t="shared" si="27"/>
        <v/>
      </c>
    </row>
    <row r="854" spans="2:7" x14ac:dyDescent="0.2">
      <c r="B854" s="19" t="str">
        <f>IF('DDF Original'!B854="","",'DDF Original'!B854)</f>
        <v/>
      </c>
      <c r="C854" s="20" t="str">
        <f>IF('DDF Original'!C854="","",'DDF Original'!C854)</f>
        <v/>
      </c>
      <c r="D854" s="20" t="str">
        <f>IF('DDF Original'!F854="","",'DDF Original'!F854)</f>
        <v/>
      </c>
      <c r="E854" s="38" t="str">
        <f>'Recálculo Confissão (85-B)'!N854</f>
        <v/>
      </c>
      <c r="F854" s="20" t="str">
        <f t="shared" si="26"/>
        <v/>
      </c>
      <c r="G854" s="20" t="str">
        <f t="shared" si="27"/>
        <v/>
      </c>
    </row>
    <row r="855" spans="2:7" x14ac:dyDescent="0.2">
      <c r="B855" s="19" t="str">
        <f>IF('DDF Original'!B855="","",'DDF Original'!B855)</f>
        <v/>
      </c>
      <c r="C855" s="20" t="str">
        <f>IF('DDF Original'!C855="","",'DDF Original'!C855)</f>
        <v/>
      </c>
      <c r="D855" s="20" t="str">
        <f>IF('DDF Original'!F855="","",'DDF Original'!F855)</f>
        <v/>
      </c>
      <c r="E855" s="38" t="str">
        <f>'Recálculo Confissão (85-B)'!N855</f>
        <v/>
      </c>
      <c r="F855" s="20" t="str">
        <f t="shared" si="26"/>
        <v/>
      </c>
      <c r="G855" s="20" t="str">
        <f t="shared" si="27"/>
        <v/>
      </c>
    </row>
    <row r="856" spans="2:7" x14ac:dyDescent="0.2">
      <c r="B856" s="19" t="str">
        <f>IF('DDF Original'!B856="","",'DDF Original'!B856)</f>
        <v/>
      </c>
      <c r="C856" s="20" t="str">
        <f>IF('DDF Original'!C856="","",'DDF Original'!C856)</f>
        <v/>
      </c>
      <c r="D856" s="20" t="str">
        <f>IF('DDF Original'!F856="","",'DDF Original'!F856)</f>
        <v/>
      </c>
      <c r="E856" s="38" t="str">
        <f>'Recálculo Confissão (85-B)'!N856</f>
        <v/>
      </c>
      <c r="F856" s="20" t="str">
        <f t="shared" si="26"/>
        <v/>
      </c>
      <c r="G856" s="20" t="str">
        <f t="shared" si="27"/>
        <v/>
      </c>
    </row>
    <row r="857" spans="2:7" x14ac:dyDescent="0.2">
      <c r="B857" s="19" t="str">
        <f>IF('DDF Original'!B857="","",'DDF Original'!B857)</f>
        <v/>
      </c>
      <c r="C857" s="20" t="str">
        <f>IF('DDF Original'!C857="","",'DDF Original'!C857)</f>
        <v/>
      </c>
      <c r="D857" s="20" t="str">
        <f>IF('DDF Original'!F857="","",'DDF Original'!F857)</f>
        <v/>
      </c>
      <c r="E857" s="38" t="str">
        <f>'Recálculo Confissão (85-B)'!N857</f>
        <v/>
      </c>
      <c r="F857" s="20" t="str">
        <f t="shared" si="26"/>
        <v/>
      </c>
      <c r="G857" s="20" t="str">
        <f t="shared" si="27"/>
        <v/>
      </c>
    </row>
    <row r="858" spans="2:7" x14ac:dyDescent="0.2">
      <c r="B858" s="19" t="str">
        <f>IF('DDF Original'!B858="","",'DDF Original'!B858)</f>
        <v/>
      </c>
      <c r="C858" s="20" t="str">
        <f>IF('DDF Original'!C858="","",'DDF Original'!C858)</f>
        <v/>
      </c>
      <c r="D858" s="20" t="str">
        <f>IF('DDF Original'!F858="","",'DDF Original'!F858)</f>
        <v/>
      </c>
      <c r="E858" s="38" t="str">
        <f>'Recálculo Confissão (85-B)'!N858</f>
        <v/>
      </c>
      <c r="F858" s="20" t="str">
        <f t="shared" si="26"/>
        <v/>
      </c>
      <c r="G858" s="20" t="str">
        <f t="shared" si="27"/>
        <v/>
      </c>
    </row>
    <row r="859" spans="2:7" x14ac:dyDescent="0.2">
      <c r="B859" s="19" t="str">
        <f>IF('DDF Original'!B859="","",'DDF Original'!B859)</f>
        <v/>
      </c>
      <c r="C859" s="20" t="str">
        <f>IF('DDF Original'!C859="","",'DDF Original'!C859)</f>
        <v/>
      </c>
      <c r="D859" s="20" t="str">
        <f>IF('DDF Original'!F859="","",'DDF Original'!F859)</f>
        <v/>
      </c>
      <c r="E859" s="38" t="str">
        <f>'Recálculo Confissão (85-B)'!N859</f>
        <v/>
      </c>
      <c r="F859" s="20" t="str">
        <f t="shared" si="26"/>
        <v/>
      </c>
      <c r="G859" s="20" t="str">
        <f t="shared" si="27"/>
        <v/>
      </c>
    </row>
    <row r="860" spans="2:7" x14ac:dyDescent="0.2">
      <c r="B860" s="19" t="str">
        <f>IF('DDF Original'!B860="","",'DDF Original'!B860)</f>
        <v/>
      </c>
      <c r="C860" s="20" t="str">
        <f>IF('DDF Original'!C860="","",'DDF Original'!C860)</f>
        <v/>
      </c>
      <c r="D860" s="20" t="str">
        <f>IF('DDF Original'!F860="","",'DDF Original'!F860)</f>
        <v/>
      </c>
      <c r="E860" s="38" t="str">
        <f>'Recálculo Confissão (85-B)'!N860</f>
        <v/>
      </c>
      <c r="F860" s="20" t="str">
        <f t="shared" si="26"/>
        <v/>
      </c>
      <c r="G860" s="20" t="str">
        <f t="shared" si="27"/>
        <v/>
      </c>
    </row>
    <row r="861" spans="2:7" x14ac:dyDescent="0.2">
      <c r="B861" s="19" t="str">
        <f>IF('DDF Original'!B861="","",'DDF Original'!B861)</f>
        <v/>
      </c>
      <c r="C861" s="20" t="str">
        <f>IF('DDF Original'!C861="","",'DDF Original'!C861)</f>
        <v/>
      </c>
      <c r="D861" s="20" t="str">
        <f>IF('DDF Original'!F861="","",'DDF Original'!F861)</f>
        <v/>
      </c>
      <c r="E861" s="38" t="str">
        <f>'Recálculo Confissão (85-B)'!N861</f>
        <v/>
      </c>
      <c r="F861" s="20" t="str">
        <f t="shared" si="26"/>
        <v/>
      </c>
      <c r="G861" s="20" t="str">
        <f t="shared" si="27"/>
        <v/>
      </c>
    </row>
    <row r="862" spans="2:7" x14ac:dyDescent="0.2">
      <c r="B862" s="19" t="str">
        <f>IF('DDF Original'!B862="","",'DDF Original'!B862)</f>
        <v/>
      </c>
      <c r="C862" s="20" t="str">
        <f>IF('DDF Original'!C862="","",'DDF Original'!C862)</f>
        <v/>
      </c>
      <c r="D862" s="20" t="str">
        <f>IF('DDF Original'!F862="","",'DDF Original'!F862)</f>
        <v/>
      </c>
      <c r="E862" s="38" t="str">
        <f>'Recálculo Confissão (85-B)'!N862</f>
        <v/>
      </c>
      <c r="F862" s="20" t="str">
        <f t="shared" si="26"/>
        <v/>
      </c>
      <c r="G862" s="20" t="str">
        <f t="shared" si="27"/>
        <v/>
      </c>
    </row>
    <row r="863" spans="2:7" x14ac:dyDescent="0.2">
      <c r="B863" s="19" t="str">
        <f>IF('DDF Original'!B863="","",'DDF Original'!B863)</f>
        <v/>
      </c>
      <c r="C863" s="20" t="str">
        <f>IF('DDF Original'!C863="","",'DDF Original'!C863)</f>
        <v/>
      </c>
      <c r="D863" s="20" t="str">
        <f>IF('DDF Original'!F863="","",'DDF Original'!F863)</f>
        <v/>
      </c>
      <c r="E863" s="38" t="str">
        <f>'Recálculo Confissão (85-B)'!N863</f>
        <v/>
      </c>
      <c r="F863" s="20" t="str">
        <f t="shared" si="26"/>
        <v/>
      </c>
      <c r="G863" s="20" t="str">
        <f t="shared" si="27"/>
        <v/>
      </c>
    </row>
    <row r="864" spans="2:7" x14ac:dyDescent="0.2">
      <c r="B864" s="19" t="str">
        <f>IF('DDF Original'!B864="","",'DDF Original'!B864)</f>
        <v/>
      </c>
      <c r="C864" s="20" t="str">
        <f>IF('DDF Original'!C864="","",'DDF Original'!C864)</f>
        <v/>
      </c>
      <c r="D864" s="20" t="str">
        <f>IF('DDF Original'!F864="","",'DDF Original'!F864)</f>
        <v/>
      </c>
      <c r="E864" s="38" t="str">
        <f>'Recálculo Confissão (85-B)'!N864</f>
        <v/>
      </c>
      <c r="F864" s="20" t="str">
        <f t="shared" si="26"/>
        <v/>
      </c>
      <c r="G864" s="20" t="str">
        <f t="shared" si="27"/>
        <v/>
      </c>
    </row>
    <row r="865" spans="2:7" x14ac:dyDescent="0.2">
      <c r="B865" s="19" t="str">
        <f>IF('DDF Original'!B865="","",'DDF Original'!B865)</f>
        <v/>
      </c>
      <c r="C865" s="20" t="str">
        <f>IF('DDF Original'!C865="","",'DDF Original'!C865)</f>
        <v/>
      </c>
      <c r="D865" s="20" t="str">
        <f>IF('DDF Original'!F865="","",'DDF Original'!F865)</f>
        <v/>
      </c>
      <c r="E865" s="38" t="str">
        <f>'Recálculo Confissão (85-B)'!N865</f>
        <v/>
      </c>
      <c r="F865" s="20" t="str">
        <f t="shared" si="26"/>
        <v/>
      </c>
      <c r="G865" s="20" t="str">
        <f t="shared" si="27"/>
        <v/>
      </c>
    </row>
    <row r="866" spans="2:7" x14ac:dyDescent="0.2">
      <c r="B866" s="19" t="str">
        <f>IF('DDF Original'!B866="","",'DDF Original'!B866)</f>
        <v/>
      </c>
      <c r="C866" s="20" t="str">
        <f>IF('DDF Original'!C866="","",'DDF Original'!C866)</f>
        <v/>
      </c>
      <c r="D866" s="20" t="str">
        <f>IF('DDF Original'!F866="","",'DDF Original'!F866)</f>
        <v/>
      </c>
      <c r="E866" s="38" t="str">
        <f>'Recálculo Confissão (85-B)'!N866</f>
        <v/>
      </c>
      <c r="F866" s="20" t="str">
        <f t="shared" si="26"/>
        <v/>
      </c>
      <c r="G866" s="20" t="str">
        <f t="shared" si="27"/>
        <v/>
      </c>
    </row>
    <row r="867" spans="2:7" x14ac:dyDescent="0.2">
      <c r="B867" s="19" t="str">
        <f>IF('DDF Original'!B867="","",'DDF Original'!B867)</f>
        <v/>
      </c>
      <c r="C867" s="20" t="str">
        <f>IF('DDF Original'!C867="","",'DDF Original'!C867)</f>
        <v/>
      </c>
      <c r="D867" s="20" t="str">
        <f>IF('DDF Original'!F867="","",'DDF Original'!F867)</f>
        <v/>
      </c>
      <c r="E867" s="38" t="str">
        <f>'Recálculo Confissão (85-B)'!N867</f>
        <v/>
      </c>
      <c r="F867" s="20" t="str">
        <f t="shared" si="26"/>
        <v/>
      </c>
      <c r="G867" s="20" t="str">
        <f t="shared" si="27"/>
        <v/>
      </c>
    </row>
    <row r="868" spans="2:7" x14ac:dyDescent="0.2">
      <c r="B868" s="19" t="str">
        <f>IF('DDF Original'!B868="","",'DDF Original'!B868)</f>
        <v/>
      </c>
      <c r="C868" s="20" t="str">
        <f>IF('DDF Original'!C868="","",'DDF Original'!C868)</f>
        <v/>
      </c>
      <c r="D868" s="20" t="str">
        <f>IF('DDF Original'!F868="","",'DDF Original'!F868)</f>
        <v/>
      </c>
      <c r="E868" s="38" t="str">
        <f>'Recálculo Confissão (85-B)'!N868</f>
        <v/>
      </c>
      <c r="F868" s="20" t="str">
        <f t="shared" si="26"/>
        <v/>
      </c>
      <c r="G868" s="20" t="str">
        <f t="shared" si="27"/>
        <v/>
      </c>
    </row>
    <row r="869" spans="2:7" x14ac:dyDescent="0.2">
      <c r="B869" s="19" t="str">
        <f>IF('DDF Original'!B869="","",'DDF Original'!B869)</f>
        <v/>
      </c>
      <c r="C869" s="20" t="str">
        <f>IF('DDF Original'!C869="","",'DDF Original'!C869)</f>
        <v/>
      </c>
      <c r="D869" s="20" t="str">
        <f>IF('DDF Original'!F869="","",'DDF Original'!F869)</f>
        <v/>
      </c>
      <c r="E869" s="38" t="str">
        <f>'Recálculo Confissão (85-B)'!N869</f>
        <v/>
      </c>
      <c r="F869" s="20" t="str">
        <f t="shared" si="26"/>
        <v/>
      </c>
      <c r="G869" s="20" t="str">
        <f t="shared" si="27"/>
        <v/>
      </c>
    </row>
    <row r="870" spans="2:7" x14ac:dyDescent="0.2">
      <c r="B870" s="19" t="str">
        <f>IF('DDF Original'!B870="","",'DDF Original'!B870)</f>
        <v/>
      </c>
      <c r="C870" s="20" t="str">
        <f>IF('DDF Original'!C870="","",'DDF Original'!C870)</f>
        <v/>
      </c>
      <c r="D870" s="20" t="str">
        <f>IF('DDF Original'!F870="","",'DDF Original'!F870)</f>
        <v/>
      </c>
      <c r="E870" s="38" t="str">
        <f>'Recálculo Confissão (85-B)'!N870</f>
        <v/>
      </c>
      <c r="F870" s="20" t="str">
        <f t="shared" si="26"/>
        <v/>
      </c>
      <c r="G870" s="20" t="str">
        <f t="shared" si="27"/>
        <v/>
      </c>
    </row>
    <row r="871" spans="2:7" x14ac:dyDescent="0.2">
      <c r="B871" s="19" t="str">
        <f>IF('DDF Original'!B871="","",'DDF Original'!B871)</f>
        <v/>
      </c>
      <c r="C871" s="20" t="str">
        <f>IF('DDF Original'!C871="","",'DDF Original'!C871)</f>
        <v/>
      </c>
      <c r="D871" s="20" t="str">
        <f>IF('DDF Original'!F871="","",'DDF Original'!F871)</f>
        <v/>
      </c>
      <c r="E871" s="38" t="str">
        <f>'Recálculo Confissão (85-B)'!N871</f>
        <v/>
      </c>
      <c r="F871" s="20" t="str">
        <f t="shared" si="26"/>
        <v/>
      </c>
      <c r="G871" s="20" t="str">
        <f t="shared" si="27"/>
        <v/>
      </c>
    </row>
    <row r="872" spans="2:7" x14ac:dyDescent="0.2">
      <c r="B872" s="19" t="str">
        <f>IF('DDF Original'!B872="","",'DDF Original'!B872)</f>
        <v/>
      </c>
      <c r="C872" s="20" t="str">
        <f>IF('DDF Original'!C872="","",'DDF Original'!C872)</f>
        <v/>
      </c>
      <c r="D872" s="20" t="str">
        <f>IF('DDF Original'!F872="","",'DDF Original'!F872)</f>
        <v/>
      </c>
      <c r="E872" s="38" t="str">
        <f>'Recálculo Confissão (85-B)'!N872</f>
        <v/>
      </c>
      <c r="F872" s="20" t="str">
        <f t="shared" si="26"/>
        <v/>
      </c>
      <c r="G872" s="20" t="str">
        <f t="shared" si="27"/>
        <v/>
      </c>
    </row>
    <row r="873" spans="2:7" x14ac:dyDescent="0.2">
      <c r="B873" s="19" t="str">
        <f>IF('DDF Original'!B873="","",'DDF Original'!B873)</f>
        <v/>
      </c>
      <c r="C873" s="20" t="str">
        <f>IF('DDF Original'!C873="","",'DDF Original'!C873)</f>
        <v/>
      </c>
      <c r="D873" s="20" t="str">
        <f>IF('DDF Original'!F873="","",'DDF Original'!F873)</f>
        <v/>
      </c>
      <c r="E873" s="38" t="str">
        <f>'Recálculo Confissão (85-B)'!N873</f>
        <v/>
      </c>
      <c r="F873" s="20" t="str">
        <f t="shared" si="26"/>
        <v/>
      </c>
      <c r="G873" s="20" t="str">
        <f t="shared" si="27"/>
        <v/>
      </c>
    </row>
    <row r="874" spans="2:7" x14ac:dyDescent="0.2">
      <c r="B874" s="19" t="str">
        <f>IF('DDF Original'!B874="","",'DDF Original'!B874)</f>
        <v/>
      </c>
      <c r="C874" s="20" t="str">
        <f>IF('DDF Original'!C874="","",'DDF Original'!C874)</f>
        <v/>
      </c>
      <c r="D874" s="20" t="str">
        <f>IF('DDF Original'!F874="","",'DDF Original'!F874)</f>
        <v/>
      </c>
      <c r="E874" s="38" t="str">
        <f>'Recálculo Confissão (85-B)'!N874</f>
        <v/>
      </c>
      <c r="F874" s="20" t="str">
        <f t="shared" si="26"/>
        <v/>
      </c>
      <c r="G874" s="20" t="str">
        <f t="shared" si="27"/>
        <v/>
      </c>
    </row>
    <row r="875" spans="2:7" x14ac:dyDescent="0.2">
      <c r="B875" s="19" t="str">
        <f>IF('DDF Original'!B875="","",'DDF Original'!B875)</f>
        <v/>
      </c>
      <c r="C875" s="20" t="str">
        <f>IF('DDF Original'!C875="","",'DDF Original'!C875)</f>
        <v/>
      </c>
      <c r="D875" s="20" t="str">
        <f>IF('DDF Original'!F875="","",'DDF Original'!F875)</f>
        <v/>
      </c>
      <c r="E875" s="38" t="str">
        <f>'Recálculo Confissão (85-B)'!N875</f>
        <v/>
      </c>
      <c r="F875" s="20" t="str">
        <f t="shared" si="26"/>
        <v/>
      </c>
      <c r="G875" s="20" t="str">
        <f t="shared" si="27"/>
        <v/>
      </c>
    </row>
    <row r="876" spans="2:7" x14ac:dyDescent="0.2">
      <c r="B876" s="19" t="str">
        <f>IF('DDF Original'!B876="","",'DDF Original'!B876)</f>
        <v/>
      </c>
      <c r="C876" s="20" t="str">
        <f>IF('DDF Original'!C876="","",'DDF Original'!C876)</f>
        <v/>
      </c>
      <c r="D876" s="20" t="str">
        <f>IF('DDF Original'!F876="","",'DDF Original'!F876)</f>
        <v/>
      </c>
      <c r="E876" s="38" t="str">
        <f>'Recálculo Confissão (85-B)'!N876</f>
        <v/>
      </c>
      <c r="F876" s="20" t="str">
        <f t="shared" si="26"/>
        <v/>
      </c>
      <c r="G876" s="20" t="str">
        <f t="shared" si="27"/>
        <v/>
      </c>
    </row>
    <row r="877" spans="2:7" x14ac:dyDescent="0.2">
      <c r="B877" s="19" t="str">
        <f>IF('DDF Original'!B877="","",'DDF Original'!B877)</f>
        <v/>
      </c>
      <c r="C877" s="20" t="str">
        <f>IF('DDF Original'!C877="","",'DDF Original'!C877)</f>
        <v/>
      </c>
      <c r="D877" s="20" t="str">
        <f>IF('DDF Original'!F877="","",'DDF Original'!F877)</f>
        <v/>
      </c>
      <c r="E877" s="38" t="str">
        <f>'Recálculo Confissão (85-B)'!N877</f>
        <v/>
      </c>
      <c r="F877" s="20" t="str">
        <f t="shared" si="26"/>
        <v/>
      </c>
      <c r="G877" s="20" t="str">
        <f t="shared" si="27"/>
        <v/>
      </c>
    </row>
    <row r="878" spans="2:7" x14ac:dyDescent="0.2">
      <c r="B878" s="19" t="str">
        <f>IF('DDF Original'!B878="","",'DDF Original'!B878)</f>
        <v/>
      </c>
      <c r="C878" s="20" t="str">
        <f>IF('DDF Original'!C878="","",'DDF Original'!C878)</f>
        <v/>
      </c>
      <c r="D878" s="20" t="str">
        <f>IF('DDF Original'!F878="","",'DDF Original'!F878)</f>
        <v/>
      </c>
      <c r="E878" s="38" t="str">
        <f>'Recálculo Confissão (85-B)'!N878</f>
        <v/>
      </c>
      <c r="F878" s="20" t="str">
        <f t="shared" si="26"/>
        <v/>
      </c>
      <c r="G878" s="20" t="str">
        <f t="shared" si="27"/>
        <v/>
      </c>
    </row>
    <row r="879" spans="2:7" x14ac:dyDescent="0.2">
      <c r="B879" s="19" t="str">
        <f>IF('DDF Original'!B879="","",'DDF Original'!B879)</f>
        <v/>
      </c>
      <c r="C879" s="20" t="str">
        <f>IF('DDF Original'!C879="","",'DDF Original'!C879)</f>
        <v/>
      </c>
      <c r="D879" s="20" t="str">
        <f>IF('DDF Original'!F879="","",'DDF Original'!F879)</f>
        <v/>
      </c>
      <c r="E879" s="38" t="str">
        <f>'Recálculo Confissão (85-B)'!N879</f>
        <v/>
      </c>
      <c r="F879" s="20" t="str">
        <f t="shared" si="26"/>
        <v/>
      </c>
      <c r="G879" s="20" t="str">
        <f t="shared" si="27"/>
        <v/>
      </c>
    </row>
    <row r="880" spans="2:7" x14ac:dyDescent="0.2">
      <c r="B880" s="19" t="str">
        <f>IF('DDF Original'!B880="","",'DDF Original'!B880)</f>
        <v/>
      </c>
      <c r="C880" s="20" t="str">
        <f>IF('DDF Original'!C880="","",'DDF Original'!C880)</f>
        <v/>
      </c>
      <c r="D880" s="20" t="str">
        <f>IF('DDF Original'!F880="","",'DDF Original'!F880)</f>
        <v/>
      </c>
      <c r="E880" s="38" t="str">
        <f>'Recálculo Confissão (85-B)'!N880</f>
        <v/>
      </c>
      <c r="F880" s="20" t="str">
        <f t="shared" si="26"/>
        <v/>
      </c>
      <c r="G880" s="20" t="str">
        <f t="shared" si="27"/>
        <v/>
      </c>
    </row>
    <row r="881" spans="2:7" x14ac:dyDescent="0.2">
      <c r="B881" s="19" t="str">
        <f>IF('DDF Original'!B881="","",'DDF Original'!B881)</f>
        <v/>
      </c>
      <c r="C881" s="20" t="str">
        <f>IF('DDF Original'!C881="","",'DDF Original'!C881)</f>
        <v/>
      </c>
      <c r="D881" s="20" t="str">
        <f>IF('DDF Original'!F881="","",'DDF Original'!F881)</f>
        <v/>
      </c>
      <c r="E881" s="38" t="str">
        <f>'Recálculo Confissão (85-B)'!N881</f>
        <v/>
      </c>
      <c r="F881" s="20" t="str">
        <f t="shared" si="26"/>
        <v/>
      </c>
      <c r="G881" s="20" t="str">
        <f t="shared" si="27"/>
        <v/>
      </c>
    </row>
    <row r="882" spans="2:7" x14ac:dyDescent="0.2">
      <c r="B882" s="19" t="str">
        <f>IF('DDF Original'!B882="","",'DDF Original'!B882)</f>
        <v/>
      </c>
      <c r="C882" s="20" t="str">
        <f>IF('DDF Original'!C882="","",'DDF Original'!C882)</f>
        <v/>
      </c>
      <c r="D882" s="20" t="str">
        <f>IF('DDF Original'!F882="","",'DDF Original'!F882)</f>
        <v/>
      </c>
      <c r="E882" s="38" t="str">
        <f>'Recálculo Confissão (85-B)'!N882</f>
        <v/>
      </c>
      <c r="F882" s="20" t="str">
        <f t="shared" si="26"/>
        <v/>
      </c>
      <c r="G882" s="20" t="str">
        <f t="shared" si="27"/>
        <v/>
      </c>
    </row>
    <row r="883" spans="2:7" x14ac:dyDescent="0.2">
      <c r="B883" s="19" t="str">
        <f>IF('DDF Original'!B883="","",'DDF Original'!B883)</f>
        <v/>
      </c>
      <c r="C883" s="20" t="str">
        <f>IF('DDF Original'!C883="","",'DDF Original'!C883)</f>
        <v/>
      </c>
      <c r="D883" s="20" t="str">
        <f>IF('DDF Original'!F883="","",'DDF Original'!F883)</f>
        <v/>
      </c>
      <c r="E883" s="38" t="str">
        <f>'Recálculo Confissão (85-B)'!N883</f>
        <v/>
      </c>
      <c r="F883" s="20" t="str">
        <f t="shared" si="26"/>
        <v/>
      </c>
      <c r="G883" s="20" t="str">
        <f t="shared" si="27"/>
        <v/>
      </c>
    </row>
    <row r="884" spans="2:7" x14ac:dyDescent="0.2">
      <c r="B884" s="19" t="str">
        <f>IF('DDF Original'!B884="","",'DDF Original'!B884)</f>
        <v/>
      </c>
      <c r="C884" s="20" t="str">
        <f>IF('DDF Original'!C884="","",'DDF Original'!C884)</f>
        <v/>
      </c>
      <c r="D884" s="20" t="str">
        <f>IF('DDF Original'!F884="","",'DDF Original'!F884)</f>
        <v/>
      </c>
      <c r="E884" s="38" t="str">
        <f>'Recálculo Confissão (85-B)'!N884</f>
        <v/>
      </c>
      <c r="F884" s="20" t="str">
        <f t="shared" si="26"/>
        <v/>
      </c>
      <c r="G884" s="20" t="str">
        <f t="shared" si="27"/>
        <v/>
      </c>
    </row>
    <row r="885" spans="2:7" x14ac:dyDescent="0.2">
      <c r="B885" s="19" t="str">
        <f>IF('DDF Original'!B885="","",'DDF Original'!B885)</f>
        <v/>
      </c>
      <c r="C885" s="20" t="str">
        <f>IF('DDF Original'!C885="","",'DDF Original'!C885)</f>
        <v/>
      </c>
      <c r="D885" s="20" t="str">
        <f>IF('DDF Original'!F885="","",'DDF Original'!F885)</f>
        <v/>
      </c>
      <c r="E885" s="38" t="str">
        <f>'Recálculo Confissão (85-B)'!N885</f>
        <v/>
      </c>
      <c r="F885" s="20" t="str">
        <f t="shared" si="26"/>
        <v/>
      </c>
      <c r="G885" s="20" t="str">
        <f t="shared" si="27"/>
        <v/>
      </c>
    </row>
    <row r="886" spans="2:7" x14ac:dyDescent="0.2">
      <c r="B886" s="19" t="str">
        <f>IF('DDF Original'!B886="","",'DDF Original'!B886)</f>
        <v/>
      </c>
      <c r="C886" s="20" t="str">
        <f>IF('DDF Original'!C886="","",'DDF Original'!C886)</f>
        <v/>
      </c>
      <c r="D886" s="20" t="str">
        <f>IF('DDF Original'!F886="","",'DDF Original'!F886)</f>
        <v/>
      </c>
      <c r="E886" s="38" t="str">
        <f>'Recálculo Confissão (85-B)'!N886</f>
        <v/>
      </c>
      <c r="F886" s="20" t="str">
        <f t="shared" si="26"/>
        <v/>
      </c>
      <c r="G886" s="20" t="str">
        <f t="shared" si="27"/>
        <v/>
      </c>
    </row>
    <row r="887" spans="2:7" x14ac:dyDescent="0.2">
      <c r="B887" s="19" t="str">
        <f>IF('DDF Original'!B887="","",'DDF Original'!B887)</f>
        <v/>
      </c>
      <c r="C887" s="20" t="str">
        <f>IF('DDF Original'!C887="","",'DDF Original'!C887)</f>
        <v/>
      </c>
      <c r="D887" s="20" t="str">
        <f>IF('DDF Original'!F887="","",'DDF Original'!F887)</f>
        <v/>
      </c>
      <c r="E887" s="38" t="str">
        <f>'Recálculo Confissão (85-B)'!N887</f>
        <v/>
      </c>
      <c r="F887" s="20" t="str">
        <f t="shared" si="26"/>
        <v/>
      </c>
      <c r="G887" s="20" t="str">
        <f t="shared" si="27"/>
        <v/>
      </c>
    </row>
    <row r="888" spans="2:7" x14ac:dyDescent="0.2">
      <c r="B888" s="19" t="str">
        <f>IF('DDF Original'!B888="","",'DDF Original'!B888)</f>
        <v/>
      </c>
      <c r="C888" s="20" t="str">
        <f>IF('DDF Original'!C888="","",'DDF Original'!C888)</f>
        <v/>
      </c>
      <c r="D888" s="20" t="str">
        <f>IF('DDF Original'!F888="","",'DDF Original'!F888)</f>
        <v/>
      </c>
      <c r="E888" s="38" t="str">
        <f>'Recálculo Confissão (85-B)'!N888</f>
        <v/>
      </c>
      <c r="F888" s="20" t="str">
        <f t="shared" si="26"/>
        <v/>
      </c>
      <c r="G888" s="20" t="str">
        <f t="shared" si="27"/>
        <v/>
      </c>
    </row>
    <row r="889" spans="2:7" x14ac:dyDescent="0.2">
      <c r="B889" s="19" t="str">
        <f>IF('DDF Original'!B889="","",'DDF Original'!B889)</f>
        <v/>
      </c>
      <c r="C889" s="20" t="str">
        <f>IF('DDF Original'!C889="","",'DDF Original'!C889)</f>
        <v/>
      </c>
      <c r="D889" s="20" t="str">
        <f>IF('DDF Original'!F889="","",'DDF Original'!F889)</f>
        <v/>
      </c>
      <c r="E889" s="38" t="str">
        <f>'Recálculo Confissão (85-B)'!N889</f>
        <v/>
      </c>
      <c r="F889" s="20" t="str">
        <f t="shared" si="26"/>
        <v/>
      </c>
      <c r="G889" s="20" t="str">
        <f t="shared" si="27"/>
        <v/>
      </c>
    </row>
    <row r="890" spans="2:7" x14ac:dyDescent="0.2">
      <c r="B890" s="19" t="str">
        <f>IF('DDF Original'!B890="","",'DDF Original'!B890)</f>
        <v/>
      </c>
      <c r="C890" s="20" t="str">
        <f>IF('DDF Original'!C890="","",'DDF Original'!C890)</f>
        <v/>
      </c>
      <c r="D890" s="20" t="str">
        <f>IF('DDF Original'!F890="","",'DDF Original'!F890)</f>
        <v/>
      </c>
      <c r="E890" s="38" t="str">
        <f>'Recálculo Confissão (85-B)'!N890</f>
        <v/>
      </c>
      <c r="F890" s="20" t="str">
        <f t="shared" si="26"/>
        <v/>
      </c>
      <c r="G890" s="20" t="str">
        <f t="shared" si="27"/>
        <v/>
      </c>
    </row>
    <row r="891" spans="2:7" x14ac:dyDescent="0.2">
      <c r="B891" s="19" t="str">
        <f>IF('DDF Original'!B891="","",'DDF Original'!B891)</f>
        <v/>
      </c>
      <c r="C891" s="20" t="str">
        <f>IF('DDF Original'!C891="","",'DDF Original'!C891)</f>
        <v/>
      </c>
      <c r="D891" s="20" t="str">
        <f>IF('DDF Original'!F891="","",'DDF Original'!F891)</f>
        <v/>
      </c>
      <c r="E891" s="38" t="str">
        <f>'Recálculo Confissão (85-B)'!N891</f>
        <v/>
      </c>
      <c r="F891" s="20" t="str">
        <f t="shared" si="26"/>
        <v/>
      </c>
      <c r="G891" s="20" t="str">
        <f t="shared" si="27"/>
        <v/>
      </c>
    </row>
    <row r="892" spans="2:7" x14ac:dyDescent="0.2">
      <c r="B892" s="19" t="str">
        <f>IF('DDF Original'!B892="","",'DDF Original'!B892)</f>
        <v/>
      </c>
      <c r="C892" s="20" t="str">
        <f>IF('DDF Original'!C892="","",'DDF Original'!C892)</f>
        <v/>
      </c>
      <c r="D892" s="20" t="str">
        <f>IF('DDF Original'!F892="","",'DDF Original'!F892)</f>
        <v/>
      </c>
      <c r="E892" s="38" t="str">
        <f>'Recálculo Confissão (85-B)'!N892</f>
        <v/>
      </c>
      <c r="F892" s="20" t="str">
        <f t="shared" si="26"/>
        <v/>
      </c>
      <c r="G892" s="20" t="str">
        <f t="shared" si="27"/>
        <v/>
      </c>
    </row>
    <row r="893" spans="2:7" x14ac:dyDescent="0.2">
      <c r="B893" s="19" t="str">
        <f>IF('DDF Original'!B893="","",'DDF Original'!B893)</f>
        <v/>
      </c>
      <c r="C893" s="20" t="str">
        <f>IF('DDF Original'!C893="","",'DDF Original'!C893)</f>
        <v/>
      </c>
      <c r="D893" s="20" t="str">
        <f>IF('DDF Original'!F893="","",'DDF Original'!F893)</f>
        <v/>
      </c>
      <c r="E893" s="38" t="str">
        <f>'Recálculo Confissão (85-B)'!N893</f>
        <v/>
      </c>
      <c r="F893" s="20" t="str">
        <f t="shared" ref="F893:F956" si="28">IF(E893="","",ROUND(E893*(1-70%),2))</f>
        <v/>
      </c>
      <c r="G893" s="20" t="str">
        <f t="shared" ref="G893:G956" si="29">IF(E893="","",ROUND(E893*(1-60%),2))</f>
        <v/>
      </c>
    </row>
    <row r="894" spans="2:7" x14ac:dyDescent="0.2">
      <c r="B894" s="19" t="str">
        <f>IF('DDF Original'!B894="","",'DDF Original'!B894)</f>
        <v/>
      </c>
      <c r="C894" s="20" t="str">
        <f>IF('DDF Original'!C894="","",'DDF Original'!C894)</f>
        <v/>
      </c>
      <c r="D894" s="20" t="str">
        <f>IF('DDF Original'!F894="","",'DDF Original'!F894)</f>
        <v/>
      </c>
      <c r="E894" s="38" t="str">
        <f>'Recálculo Confissão (85-B)'!N894</f>
        <v/>
      </c>
      <c r="F894" s="20" t="str">
        <f t="shared" si="28"/>
        <v/>
      </c>
      <c r="G894" s="20" t="str">
        <f t="shared" si="29"/>
        <v/>
      </c>
    </row>
    <row r="895" spans="2:7" x14ac:dyDescent="0.2">
      <c r="B895" s="19" t="str">
        <f>IF('DDF Original'!B895="","",'DDF Original'!B895)</f>
        <v/>
      </c>
      <c r="C895" s="20" t="str">
        <f>IF('DDF Original'!C895="","",'DDF Original'!C895)</f>
        <v/>
      </c>
      <c r="D895" s="20" t="str">
        <f>IF('DDF Original'!F895="","",'DDF Original'!F895)</f>
        <v/>
      </c>
      <c r="E895" s="38" t="str">
        <f>'Recálculo Confissão (85-B)'!N895</f>
        <v/>
      </c>
      <c r="F895" s="20" t="str">
        <f t="shared" si="28"/>
        <v/>
      </c>
      <c r="G895" s="20" t="str">
        <f t="shared" si="29"/>
        <v/>
      </c>
    </row>
    <row r="896" spans="2:7" x14ac:dyDescent="0.2">
      <c r="B896" s="19" t="str">
        <f>IF('DDF Original'!B896="","",'DDF Original'!B896)</f>
        <v/>
      </c>
      <c r="C896" s="20" t="str">
        <f>IF('DDF Original'!C896="","",'DDF Original'!C896)</f>
        <v/>
      </c>
      <c r="D896" s="20" t="str">
        <f>IF('DDF Original'!F896="","",'DDF Original'!F896)</f>
        <v/>
      </c>
      <c r="E896" s="38" t="str">
        <f>'Recálculo Confissão (85-B)'!N896</f>
        <v/>
      </c>
      <c r="F896" s="20" t="str">
        <f t="shared" si="28"/>
        <v/>
      </c>
      <c r="G896" s="20" t="str">
        <f t="shared" si="29"/>
        <v/>
      </c>
    </row>
    <row r="897" spans="2:7" x14ac:dyDescent="0.2">
      <c r="B897" s="19" t="str">
        <f>IF('DDF Original'!B897="","",'DDF Original'!B897)</f>
        <v/>
      </c>
      <c r="C897" s="20" t="str">
        <f>IF('DDF Original'!C897="","",'DDF Original'!C897)</f>
        <v/>
      </c>
      <c r="D897" s="20" t="str">
        <f>IF('DDF Original'!F897="","",'DDF Original'!F897)</f>
        <v/>
      </c>
      <c r="E897" s="38" t="str">
        <f>'Recálculo Confissão (85-B)'!N897</f>
        <v/>
      </c>
      <c r="F897" s="20" t="str">
        <f t="shared" si="28"/>
        <v/>
      </c>
      <c r="G897" s="20" t="str">
        <f t="shared" si="29"/>
        <v/>
      </c>
    </row>
    <row r="898" spans="2:7" x14ac:dyDescent="0.2">
      <c r="B898" s="19" t="str">
        <f>IF('DDF Original'!B898="","",'DDF Original'!B898)</f>
        <v/>
      </c>
      <c r="C898" s="20" t="str">
        <f>IF('DDF Original'!C898="","",'DDF Original'!C898)</f>
        <v/>
      </c>
      <c r="D898" s="20" t="str">
        <f>IF('DDF Original'!F898="","",'DDF Original'!F898)</f>
        <v/>
      </c>
      <c r="E898" s="38" t="str">
        <f>'Recálculo Confissão (85-B)'!N898</f>
        <v/>
      </c>
      <c r="F898" s="20" t="str">
        <f t="shared" si="28"/>
        <v/>
      </c>
      <c r="G898" s="20" t="str">
        <f t="shared" si="29"/>
        <v/>
      </c>
    </row>
    <row r="899" spans="2:7" x14ac:dyDescent="0.2">
      <c r="B899" s="19" t="str">
        <f>IF('DDF Original'!B899="","",'DDF Original'!B899)</f>
        <v/>
      </c>
      <c r="C899" s="20" t="str">
        <f>IF('DDF Original'!C899="","",'DDF Original'!C899)</f>
        <v/>
      </c>
      <c r="D899" s="20" t="str">
        <f>IF('DDF Original'!F899="","",'DDF Original'!F899)</f>
        <v/>
      </c>
      <c r="E899" s="38" t="str">
        <f>'Recálculo Confissão (85-B)'!N899</f>
        <v/>
      </c>
      <c r="F899" s="20" t="str">
        <f t="shared" si="28"/>
        <v/>
      </c>
      <c r="G899" s="20" t="str">
        <f t="shared" si="29"/>
        <v/>
      </c>
    </row>
    <row r="900" spans="2:7" x14ac:dyDescent="0.2">
      <c r="B900" s="19" t="str">
        <f>IF('DDF Original'!B900="","",'DDF Original'!B900)</f>
        <v/>
      </c>
      <c r="C900" s="20" t="str">
        <f>IF('DDF Original'!C900="","",'DDF Original'!C900)</f>
        <v/>
      </c>
      <c r="D900" s="20" t="str">
        <f>IF('DDF Original'!F900="","",'DDF Original'!F900)</f>
        <v/>
      </c>
      <c r="E900" s="38" t="str">
        <f>'Recálculo Confissão (85-B)'!N900</f>
        <v/>
      </c>
      <c r="F900" s="20" t="str">
        <f t="shared" si="28"/>
        <v/>
      </c>
      <c r="G900" s="20" t="str">
        <f t="shared" si="29"/>
        <v/>
      </c>
    </row>
    <row r="901" spans="2:7" x14ac:dyDescent="0.2">
      <c r="B901" s="19" t="str">
        <f>IF('DDF Original'!B901="","",'DDF Original'!B901)</f>
        <v/>
      </c>
      <c r="C901" s="20" t="str">
        <f>IF('DDF Original'!C901="","",'DDF Original'!C901)</f>
        <v/>
      </c>
      <c r="D901" s="20" t="str">
        <f>IF('DDF Original'!F901="","",'DDF Original'!F901)</f>
        <v/>
      </c>
      <c r="E901" s="38" t="str">
        <f>'Recálculo Confissão (85-B)'!N901</f>
        <v/>
      </c>
      <c r="F901" s="20" t="str">
        <f t="shared" si="28"/>
        <v/>
      </c>
      <c r="G901" s="20" t="str">
        <f t="shared" si="29"/>
        <v/>
      </c>
    </row>
    <row r="902" spans="2:7" x14ac:dyDescent="0.2">
      <c r="B902" s="19" t="str">
        <f>IF('DDF Original'!B902="","",'DDF Original'!B902)</f>
        <v/>
      </c>
      <c r="C902" s="20" t="str">
        <f>IF('DDF Original'!C902="","",'DDF Original'!C902)</f>
        <v/>
      </c>
      <c r="D902" s="20" t="str">
        <f>IF('DDF Original'!F902="","",'DDF Original'!F902)</f>
        <v/>
      </c>
      <c r="E902" s="38" t="str">
        <f>'Recálculo Confissão (85-B)'!N902</f>
        <v/>
      </c>
      <c r="F902" s="20" t="str">
        <f t="shared" si="28"/>
        <v/>
      </c>
      <c r="G902" s="20" t="str">
        <f t="shared" si="29"/>
        <v/>
      </c>
    </row>
    <row r="903" spans="2:7" x14ac:dyDescent="0.2">
      <c r="B903" s="19" t="str">
        <f>IF('DDF Original'!B903="","",'DDF Original'!B903)</f>
        <v/>
      </c>
      <c r="C903" s="20" t="str">
        <f>IF('DDF Original'!C903="","",'DDF Original'!C903)</f>
        <v/>
      </c>
      <c r="D903" s="20" t="str">
        <f>IF('DDF Original'!F903="","",'DDF Original'!F903)</f>
        <v/>
      </c>
      <c r="E903" s="38" t="str">
        <f>'Recálculo Confissão (85-B)'!N903</f>
        <v/>
      </c>
      <c r="F903" s="20" t="str">
        <f t="shared" si="28"/>
        <v/>
      </c>
      <c r="G903" s="20" t="str">
        <f t="shared" si="29"/>
        <v/>
      </c>
    </row>
    <row r="904" spans="2:7" x14ac:dyDescent="0.2">
      <c r="B904" s="19" t="str">
        <f>IF('DDF Original'!B904="","",'DDF Original'!B904)</f>
        <v/>
      </c>
      <c r="C904" s="20" t="str">
        <f>IF('DDF Original'!C904="","",'DDF Original'!C904)</f>
        <v/>
      </c>
      <c r="D904" s="20" t="str">
        <f>IF('DDF Original'!F904="","",'DDF Original'!F904)</f>
        <v/>
      </c>
      <c r="E904" s="38" t="str">
        <f>'Recálculo Confissão (85-B)'!N904</f>
        <v/>
      </c>
      <c r="F904" s="20" t="str">
        <f t="shared" si="28"/>
        <v/>
      </c>
      <c r="G904" s="20" t="str">
        <f t="shared" si="29"/>
        <v/>
      </c>
    </row>
    <row r="905" spans="2:7" x14ac:dyDescent="0.2">
      <c r="B905" s="19" t="str">
        <f>IF('DDF Original'!B905="","",'DDF Original'!B905)</f>
        <v/>
      </c>
      <c r="C905" s="20" t="str">
        <f>IF('DDF Original'!C905="","",'DDF Original'!C905)</f>
        <v/>
      </c>
      <c r="D905" s="20" t="str">
        <f>IF('DDF Original'!F905="","",'DDF Original'!F905)</f>
        <v/>
      </c>
      <c r="E905" s="38" t="str">
        <f>'Recálculo Confissão (85-B)'!N905</f>
        <v/>
      </c>
      <c r="F905" s="20" t="str">
        <f t="shared" si="28"/>
        <v/>
      </c>
      <c r="G905" s="20" t="str">
        <f t="shared" si="29"/>
        <v/>
      </c>
    </row>
    <row r="906" spans="2:7" x14ac:dyDescent="0.2">
      <c r="B906" s="19" t="str">
        <f>IF('DDF Original'!B906="","",'DDF Original'!B906)</f>
        <v/>
      </c>
      <c r="C906" s="20" t="str">
        <f>IF('DDF Original'!C906="","",'DDF Original'!C906)</f>
        <v/>
      </c>
      <c r="D906" s="20" t="str">
        <f>IF('DDF Original'!F906="","",'DDF Original'!F906)</f>
        <v/>
      </c>
      <c r="E906" s="38" t="str">
        <f>'Recálculo Confissão (85-B)'!N906</f>
        <v/>
      </c>
      <c r="F906" s="20" t="str">
        <f t="shared" si="28"/>
        <v/>
      </c>
      <c r="G906" s="20" t="str">
        <f t="shared" si="29"/>
        <v/>
      </c>
    </row>
    <row r="907" spans="2:7" x14ac:dyDescent="0.2">
      <c r="B907" s="19" t="str">
        <f>IF('DDF Original'!B907="","",'DDF Original'!B907)</f>
        <v/>
      </c>
      <c r="C907" s="20" t="str">
        <f>IF('DDF Original'!C907="","",'DDF Original'!C907)</f>
        <v/>
      </c>
      <c r="D907" s="20" t="str">
        <f>IF('DDF Original'!F907="","",'DDF Original'!F907)</f>
        <v/>
      </c>
      <c r="E907" s="38" t="str">
        <f>'Recálculo Confissão (85-B)'!N907</f>
        <v/>
      </c>
      <c r="F907" s="20" t="str">
        <f t="shared" si="28"/>
        <v/>
      </c>
      <c r="G907" s="20" t="str">
        <f t="shared" si="29"/>
        <v/>
      </c>
    </row>
    <row r="908" spans="2:7" x14ac:dyDescent="0.2">
      <c r="B908" s="19" t="str">
        <f>IF('DDF Original'!B908="","",'DDF Original'!B908)</f>
        <v/>
      </c>
      <c r="C908" s="20" t="str">
        <f>IF('DDF Original'!C908="","",'DDF Original'!C908)</f>
        <v/>
      </c>
      <c r="D908" s="20" t="str">
        <f>IF('DDF Original'!F908="","",'DDF Original'!F908)</f>
        <v/>
      </c>
      <c r="E908" s="38" t="str">
        <f>'Recálculo Confissão (85-B)'!N908</f>
        <v/>
      </c>
      <c r="F908" s="20" t="str">
        <f t="shared" si="28"/>
        <v/>
      </c>
      <c r="G908" s="20" t="str">
        <f t="shared" si="29"/>
        <v/>
      </c>
    </row>
    <row r="909" spans="2:7" x14ac:dyDescent="0.2">
      <c r="B909" s="19" t="str">
        <f>IF('DDF Original'!B909="","",'DDF Original'!B909)</f>
        <v/>
      </c>
      <c r="C909" s="20" t="str">
        <f>IF('DDF Original'!C909="","",'DDF Original'!C909)</f>
        <v/>
      </c>
      <c r="D909" s="20" t="str">
        <f>IF('DDF Original'!F909="","",'DDF Original'!F909)</f>
        <v/>
      </c>
      <c r="E909" s="38" t="str">
        <f>'Recálculo Confissão (85-B)'!N909</f>
        <v/>
      </c>
      <c r="F909" s="20" t="str">
        <f t="shared" si="28"/>
        <v/>
      </c>
      <c r="G909" s="20" t="str">
        <f t="shared" si="29"/>
        <v/>
      </c>
    </row>
    <row r="910" spans="2:7" x14ac:dyDescent="0.2">
      <c r="B910" s="19" t="str">
        <f>IF('DDF Original'!B910="","",'DDF Original'!B910)</f>
        <v/>
      </c>
      <c r="C910" s="20" t="str">
        <f>IF('DDF Original'!C910="","",'DDF Original'!C910)</f>
        <v/>
      </c>
      <c r="D910" s="20" t="str">
        <f>IF('DDF Original'!F910="","",'DDF Original'!F910)</f>
        <v/>
      </c>
      <c r="E910" s="38" t="str">
        <f>'Recálculo Confissão (85-B)'!N910</f>
        <v/>
      </c>
      <c r="F910" s="20" t="str">
        <f t="shared" si="28"/>
        <v/>
      </c>
      <c r="G910" s="20" t="str">
        <f t="shared" si="29"/>
        <v/>
      </c>
    </row>
    <row r="911" spans="2:7" x14ac:dyDescent="0.2">
      <c r="B911" s="19" t="str">
        <f>IF('DDF Original'!B911="","",'DDF Original'!B911)</f>
        <v/>
      </c>
      <c r="C911" s="20" t="str">
        <f>IF('DDF Original'!C911="","",'DDF Original'!C911)</f>
        <v/>
      </c>
      <c r="D911" s="20" t="str">
        <f>IF('DDF Original'!F911="","",'DDF Original'!F911)</f>
        <v/>
      </c>
      <c r="E911" s="38" t="str">
        <f>'Recálculo Confissão (85-B)'!N911</f>
        <v/>
      </c>
      <c r="F911" s="20" t="str">
        <f t="shared" si="28"/>
        <v/>
      </c>
      <c r="G911" s="20" t="str">
        <f t="shared" si="29"/>
        <v/>
      </c>
    </row>
    <row r="912" spans="2:7" x14ac:dyDescent="0.2">
      <c r="B912" s="19" t="str">
        <f>IF('DDF Original'!B912="","",'DDF Original'!B912)</f>
        <v/>
      </c>
      <c r="C912" s="20" t="str">
        <f>IF('DDF Original'!C912="","",'DDF Original'!C912)</f>
        <v/>
      </c>
      <c r="D912" s="20" t="str">
        <f>IF('DDF Original'!F912="","",'DDF Original'!F912)</f>
        <v/>
      </c>
      <c r="E912" s="38" t="str">
        <f>'Recálculo Confissão (85-B)'!N912</f>
        <v/>
      </c>
      <c r="F912" s="20" t="str">
        <f t="shared" si="28"/>
        <v/>
      </c>
      <c r="G912" s="20" t="str">
        <f t="shared" si="29"/>
        <v/>
      </c>
    </row>
    <row r="913" spans="2:7" x14ac:dyDescent="0.2">
      <c r="B913" s="19" t="str">
        <f>IF('DDF Original'!B913="","",'DDF Original'!B913)</f>
        <v/>
      </c>
      <c r="C913" s="20" t="str">
        <f>IF('DDF Original'!C913="","",'DDF Original'!C913)</f>
        <v/>
      </c>
      <c r="D913" s="20" t="str">
        <f>IF('DDF Original'!F913="","",'DDF Original'!F913)</f>
        <v/>
      </c>
      <c r="E913" s="38" t="str">
        <f>'Recálculo Confissão (85-B)'!N913</f>
        <v/>
      </c>
      <c r="F913" s="20" t="str">
        <f t="shared" si="28"/>
        <v/>
      </c>
      <c r="G913" s="20" t="str">
        <f t="shared" si="29"/>
        <v/>
      </c>
    </row>
    <row r="914" spans="2:7" x14ac:dyDescent="0.2">
      <c r="B914" s="19" t="str">
        <f>IF('DDF Original'!B914="","",'DDF Original'!B914)</f>
        <v/>
      </c>
      <c r="C914" s="20" t="str">
        <f>IF('DDF Original'!C914="","",'DDF Original'!C914)</f>
        <v/>
      </c>
      <c r="D914" s="20" t="str">
        <f>IF('DDF Original'!F914="","",'DDF Original'!F914)</f>
        <v/>
      </c>
      <c r="E914" s="38" t="str">
        <f>'Recálculo Confissão (85-B)'!N914</f>
        <v/>
      </c>
      <c r="F914" s="20" t="str">
        <f t="shared" si="28"/>
        <v/>
      </c>
      <c r="G914" s="20" t="str">
        <f t="shared" si="29"/>
        <v/>
      </c>
    </row>
    <row r="915" spans="2:7" x14ac:dyDescent="0.2">
      <c r="B915" s="19" t="str">
        <f>IF('DDF Original'!B915="","",'DDF Original'!B915)</f>
        <v/>
      </c>
      <c r="C915" s="20" t="str">
        <f>IF('DDF Original'!C915="","",'DDF Original'!C915)</f>
        <v/>
      </c>
      <c r="D915" s="20" t="str">
        <f>IF('DDF Original'!F915="","",'DDF Original'!F915)</f>
        <v/>
      </c>
      <c r="E915" s="38" t="str">
        <f>'Recálculo Confissão (85-B)'!N915</f>
        <v/>
      </c>
      <c r="F915" s="20" t="str">
        <f t="shared" si="28"/>
        <v/>
      </c>
      <c r="G915" s="20" t="str">
        <f t="shared" si="29"/>
        <v/>
      </c>
    </row>
    <row r="916" spans="2:7" x14ac:dyDescent="0.2">
      <c r="B916" s="19" t="str">
        <f>IF('DDF Original'!B916="","",'DDF Original'!B916)</f>
        <v/>
      </c>
      <c r="C916" s="20" t="str">
        <f>IF('DDF Original'!C916="","",'DDF Original'!C916)</f>
        <v/>
      </c>
      <c r="D916" s="20" t="str">
        <f>IF('DDF Original'!F916="","",'DDF Original'!F916)</f>
        <v/>
      </c>
      <c r="E916" s="38" t="str">
        <f>'Recálculo Confissão (85-B)'!N916</f>
        <v/>
      </c>
      <c r="F916" s="20" t="str">
        <f t="shared" si="28"/>
        <v/>
      </c>
      <c r="G916" s="20" t="str">
        <f t="shared" si="29"/>
        <v/>
      </c>
    </row>
    <row r="917" spans="2:7" x14ac:dyDescent="0.2">
      <c r="B917" s="19" t="str">
        <f>IF('DDF Original'!B917="","",'DDF Original'!B917)</f>
        <v/>
      </c>
      <c r="C917" s="20" t="str">
        <f>IF('DDF Original'!C917="","",'DDF Original'!C917)</f>
        <v/>
      </c>
      <c r="D917" s="20" t="str">
        <f>IF('DDF Original'!F917="","",'DDF Original'!F917)</f>
        <v/>
      </c>
      <c r="E917" s="38" t="str">
        <f>'Recálculo Confissão (85-B)'!N917</f>
        <v/>
      </c>
      <c r="F917" s="20" t="str">
        <f t="shared" si="28"/>
        <v/>
      </c>
      <c r="G917" s="20" t="str">
        <f t="shared" si="29"/>
        <v/>
      </c>
    </row>
    <row r="918" spans="2:7" x14ac:dyDescent="0.2">
      <c r="B918" s="19" t="str">
        <f>IF('DDF Original'!B918="","",'DDF Original'!B918)</f>
        <v/>
      </c>
      <c r="C918" s="20" t="str">
        <f>IF('DDF Original'!C918="","",'DDF Original'!C918)</f>
        <v/>
      </c>
      <c r="D918" s="20" t="str">
        <f>IF('DDF Original'!F918="","",'DDF Original'!F918)</f>
        <v/>
      </c>
      <c r="E918" s="38" t="str">
        <f>'Recálculo Confissão (85-B)'!N918</f>
        <v/>
      </c>
      <c r="F918" s="20" t="str">
        <f t="shared" si="28"/>
        <v/>
      </c>
      <c r="G918" s="20" t="str">
        <f t="shared" si="29"/>
        <v/>
      </c>
    </row>
    <row r="919" spans="2:7" x14ac:dyDescent="0.2">
      <c r="B919" s="19" t="str">
        <f>IF('DDF Original'!B919="","",'DDF Original'!B919)</f>
        <v/>
      </c>
      <c r="C919" s="20" t="str">
        <f>IF('DDF Original'!C919="","",'DDF Original'!C919)</f>
        <v/>
      </c>
      <c r="D919" s="20" t="str">
        <f>IF('DDF Original'!F919="","",'DDF Original'!F919)</f>
        <v/>
      </c>
      <c r="E919" s="38" t="str">
        <f>'Recálculo Confissão (85-B)'!N919</f>
        <v/>
      </c>
      <c r="F919" s="20" t="str">
        <f t="shared" si="28"/>
        <v/>
      </c>
      <c r="G919" s="20" t="str">
        <f t="shared" si="29"/>
        <v/>
      </c>
    </row>
    <row r="920" spans="2:7" x14ac:dyDescent="0.2">
      <c r="B920" s="19" t="str">
        <f>IF('DDF Original'!B920="","",'DDF Original'!B920)</f>
        <v/>
      </c>
      <c r="C920" s="20" t="str">
        <f>IF('DDF Original'!C920="","",'DDF Original'!C920)</f>
        <v/>
      </c>
      <c r="D920" s="20" t="str">
        <f>IF('DDF Original'!F920="","",'DDF Original'!F920)</f>
        <v/>
      </c>
      <c r="E920" s="38" t="str">
        <f>'Recálculo Confissão (85-B)'!N920</f>
        <v/>
      </c>
      <c r="F920" s="20" t="str">
        <f t="shared" si="28"/>
        <v/>
      </c>
      <c r="G920" s="20" t="str">
        <f t="shared" si="29"/>
        <v/>
      </c>
    </row>
    <row r="921" spans="2:7" x14ac:dyDescent="0.2">
      <c r="B921" s="19" t="str">
        <f>IF('DDF Original'!B921="","",'DDF Original'!B921)</f>
        <v/>
      </c>
      <c r="C921" s="20" t="str">
        <f>IF('DDF Original'!C921="","",'DDF Original'!C921)</f>
        <v/>
      </c>
      <c r="D921" s="20" t="str">
        <f>IF('DDF Original'!F921="","",'DDF Original'!F921)</f>
        <v/>
      </c>
      <c r="E921" s="38" t="str">
        <f>'Recálculo Confissão (85-B)'!N921</f>
        <v/>
      </c>
      <c r="F921" s="20" t="str">
        <f t="shared" si="28"/>
        <v/>
      </c>
      <c r="G921" s="20" t="str">
        <f t="shared" si="29"/>
        <v/>
      </c>
    </row>
    <row r="922" spans="2:7" x14ac:dyDescent="0.2">
      <c r="B922" s="19" t="str">
        <f>IF('DDF Original'!B922="","",'DDF Original'!B922)</f>
        <v/>
      </c>
      <c r="C922" s="20" t="str">
        <f>IF('DDF Original'!C922="","",'DDF Original'!C922)</f>
        <v/>
      </c>
      <c r="D922" s="20" t="str">
        <f>IF('DDF Original'!F922="","",'DDF Original'!F922)</f>
        <v/>
      </c>
      <c r="E922" s="38" t="str">
        <f>'Recálculo Confissão (85-B)'!N922</f>
        <v/>
      </c>
      <c r="F922" s="20" t="str">
        <f t="shared" si="28"/>
        <v/>
      </c>
      <c r="G922" s="20" t="str">
        <f t="shared" si="29"/>
        <v/>
      </c>
    </row>
    <row r="923" spans="2:7" x14ac:dyDescent="0.2">
      <c r="B923" s="19" t="str">
        <f>IF('DDF Original'!B923="","",'DDF Original'!B923)</f>
        <v/>
      </c>
      <c r="C923" s="20" t="str">
        <f>IF('DDF Original'!C923="","",'DDF Original'!C923)</f>
        <v/>
      </c>
      <c r="D923" s="20" t="str">
        <f>IF('DDF Original'!F923="","",'DDF Original'!F923)</f>
        <v/>
      </c>
      <c r="E923" s="38" t="str">
        <f>'Recálculo Confissão (85-B)'!N923</f>
        <v/>
      </c>
      <c r="F923" s="20" t="str">
        <f t="shared" si="28"/>
        <v/>
      </c>
      <c r="G923" s="20" t="str">
        <f t="shared" si="29"/>
        <v/>
      </c>
    </row>
    <row r="924" spans="2:7" x14ac:dyDescent="0.2">
      <c r="B924" s="19" t="str">
        <f>IF('DDF Original'!B924="","",'DDF Original'!B924)</f>
        <v/>
      </c>
      <c r="C924" s="20" t="str">
        <f>IF('DDF Original'!C924="","",'DDF Original'!C924)</f>
        <v/>
      </c>
      <c r="D924" s="20" t="str">
        <f>IF('DDF Original'!F924="","",'DDF Original'!F924)</f>
        <v/>
      </c>
      <c r="E924" s="38" t="str">
        <f>'Recálculo Confissão (85-B)'!N924</f>
        <v/>
      </c>
      <c r="F924" s="20" t="str">
        <f t="shared" si="28"/>
        <v/>
      </c>
      <c r="G924" s="20" t="str">
        <f t="shared" si="29"/>
        <v/>
      </c>
    </row>
    <row r="925" spans="2:7" x14ac:dyDescent="0.2">
      <c r="B925" s="19" t="str">
        <f>IF('DDF Original'!B925="","",'DDF Original'!B925)</f>
        <v/>
      </c>
      <c r="C925" s="20" t="str">
        <f>IF('DDF Original'!C925="","",'DDF Original'!C925)</f>
        <v/>
      </c>
      <c r="D925" s="20" t="str">
        <f>IF('DDF Original'!F925="","",'DDF Original'!F925)</f>
        <v/>
      </c>
      <c r="E925" s="38" t="str">
        <f>'Recálculo Confissão (85-B)'!N925</f>
        <v/>
      </c>
      <c r="F925" s="20" t="str">
        <f t="shared" si="28"/>
        <v/>
      </c>
      <c r="G925" s="20" t="str">
        <f t="shared" si="29"/>
        <v/>
      </c>
    </row>
    <row r="926" spans="2:7" x14ac:dyDescent="0.2">
      <c r="B926" s="19" t="str">
        <f>IF('DDF Original'!B926="","",'DDF Original'!B926)</f>
        <v/>
      </c>
      <c r="C926" s="20" t="str">
        <f>IF('DDF Original'!C926="","",'DDF Original'!C926)</f>
        <v/>
      </c>
      <c r="D926" s="20" t="str">
        <f>IF('DDF Original'!F926="","",'DDF Original'!F926)</f>
        <v/>
      </c>
      <c r="E926" s="38" t="str">
        <f>'Recálculo Confissão (85-B)'!N926</f>
        <v/>
      </c>
      <c r="F926" s="20" t="str">
        <f t="shared" si="28"/>
        <v/>
      </c>
      <c r="G926" s="20" t="str">
        <f t="shared" si="29"/>
        <v/>
      </c>
    </row>
    <row r="927" spans="2:7" x14ac:dyDescent="0.2">
      <c r="B927" s="19" t="str">
        <f>IF('DDF Original'!B927="","",'DDF Original'!B927)</f>
        <v/>
      </c>
      <c r="C927" s="20" t="str">
        <f>IF('DDF Original'!C927="","",'DDF Original'!C927)</f>
        <v/>
      </c>
      <c r="D927" s="20" t="str">
        <f>IF('DDF Original'!F927="","",'DDF Original'!F927)</f>
        <v/>
      </c>
      <c r="E927" s="38" t="str">
        <f>'Recálculo Confissão (85-B)'!N927</f>
        <v/>
      </c>
      <c r="F927" s="20" t="str">
        <f t="shared" si="28"/>
        <v/>
      </c>
      <c r="G927" s="20" t="str">
        <f t="shared" si="29"/>
        <v/>
      </c>
    </row>
    <row r="928" spans="2:7" x14ac:dyDescent="0.2">
      <c r="B928" s="19" t="str">
        <f>IF('DDF Original'!B928="","",'DDF Original'!B928)</f>
        <v/>
      </c>
      <c r="C928" s="20" t="str">
        <f>IF('DDF Original'!C928="","",'DDF Original'!C928)</f>
        <v/>
      </c>
      <c r="D928" s="20" t="str">
        <f>IF('DDF Original'!F928="","",'DDF Original'!F928)</f>
        <v/>
      </c>
      <c r="E928" s="38" t="str">
        <f>'Recálculo Confissão (85-B)'!N928</f>
        <v/>
      </c>
      <c r="F928" s="20" t="str">
        <f t="shared" si="28"/>
        <v/>
      </c>
      <c r="G928" s="20" t="str">
        <f t="shared" si="29"/>
        <v/>
      </c>
    </row>
    <row r="929" spans="2:7" x14ac:dyDescent="0.2">
      <c r="B929" s="19" t="str">
        <f>IF('DDF Original'!B929="","",'DDF Original'!B929)</f>
        <v/>
      </c>
      <c r="C929" s="20" t="str">
        <f>IF('DDF Original'!C929="","",'DDF Original'!C929)</f>
        <v/>
      </c>
      <c r="D929" s="20" t="str">
        <f>IF('DDF Original'!F929="","",'DDF Original'!F929)</f>
        <v/>
      </c>
      <c r="E929" s="38" t="str">
        <f>'Recálculo Confissão (85-B)'!N929</f>
        <v/>
      </c>
      <c r="F929" s="20" t="str">
        <f t="shared" si="28"/>
        <v/>
      </c>
      <c r="G929" s="20" t="str">
        <f t="shared" si="29"/>
        <v/>
      </c>
    </row>
    <row r="930" spans="2:7" x14ac:dyDescent="0.2">
      <c r="B930" s="19" t="str">
        <f>IF('DDF Original'!B930="","",'DDF Original'!B930)</f>
        <v/>
      </c>
      <c r="C930" s="20" t="str">
        <f>IF('DDF Original'!C930="","",'DDF Original'!C930)</f>
        <v/>
      </c>
      <c r="D930" s="20" t="str">
        <f>IF('DDF Original'!F930="","",'DDF Original'!F930)</f>
        <v/>
      </c>
      <c r="E930" s="38" t="str">
        <f>'Recálculo Confissão (85-B)'!N930</f>
        <v/>
      </c>
      <c r="F930" s="20" t="str">
        <f t="shared" si="28"/>
        <v/>
      </c>
      <c r="G930" s="20" t="str">
        <f t="shared" si="29"/>
        <v/>
      </c>
    </row>
    <row r="931" spans="2:7" x14ac:dyDescent="0.2">
      <c r="B931" s="19" t="str">
        <f>IF('DDF Original'!B931="","",'DDF Original'!B931)</f>
        <v/>
      </c>
      <c r="C931" s="20" t="str">
        <f>IF('DDF Original'!C931="","",'DDF Original'!C931)</f>
        <v/>
      </c>
      <c r="D931" s="20" t="str">
        <f>IF('DDF Original'!F931="","",'DDF Original'!F931)</f>
        <v/>
      </c>
      <c r="E931" s="38" t="str">
        <f>'Recálculo Confissão (85-B)'!N931</f>
        <v/>
      </c>
      <c r="F931" s="20" t="str">
        <f t="shared" si="28"/>
        <v/>
      </c>
      <c r="G931" s="20" t="str">
        <f t="shared" si="29"/>
        <v/>
      </c>
    </row>
    <row r="932" spans="2:7" x14ac:dyDescent="0.2">
      <c r="B932" s="19" t="str">
        <f>IF('DDF Original'!B932="","",'DDF Original'!B932)</f>
        <v/>
      </c>
      <c r="C932" s="20" t="str">
        <f>IF('DDF Original'!C932="","",'DDF Original'!C932)</f>
        <v/>
      </c>
      <c r="D932" s="20" t="str">
        <f>IF('DDF Original'!F932="","",'DDF Original'!F932)</f>
        <v/>
      </c>
      <c r="E932" s="38" t="str">
        <f>'Recálculo Confissão (85-B)'!N932</f>
        <v/>
      </c>
      <c r="F932" s="20" t="str">
        <f t="shared" si="28"/>
        <v/>
      </c>
      <c r="G932" s="20" t="str">
        <f t="shared" si="29"/>
        <v/>
      </c>
    </row>
    <row r="933" spans="2:7" x14ac:dyDescent="0.2">
      <c r="B933" s="19" t="str">
        <f>IF('DDF Original'!B933="","",'DDF Original'!B933)</f>
        <v/>
      </c>
      <c r="C933" s="20" t="str">
        <f>IF('DDF Original'!C933="","",'DDF Original'!C933)</f>
        <v/>
      </c>
      <c r="D933" s="20" t="str">
        <f>IF('DDF Original'!F933="","",'DDF Original'!F933)</f>
        <v/>
      </c>
      <c r="E933" s="38" t="str">
        <f>'Recálculo Confissão (85-B)'!N933</f>
        <v/>
      </c>
      <c r="F933" s="20" t="str">
        <f t="shared" si="28"/>
        <v/>
      </c>
      <c r="G933" s="20" t="str">
        <f t="shared" si="29"/>
        <v/>
      </c>
    </row>
    <row r="934" spans="2:7" x14ac:dyDescent="0.2">
      <c r="B934" s="19" t="str">
        <f>IF('DDF Original'!B934="","",'DDF Original'!B934)</f>
        <v/>
      </c>
      <c r="C934" s="20" t="str">
        <f>IF('DDF Original'!C934="","",'DDF Original'!C934)</f>
        <v/>
      </c>
      <c r="D934" s="20" t="str">
        <f>IF('DDF Original'!F934="","",'DDF Original'!F934)</f>
        <v/>
      </c>
      <c r="E934" s="38" t="str">
        <f>'Recálculo Confissão (85-B)'!N934</f>
        <v/>
      </c>
      <c r="F934" s="20" t="str">
        <f t="shared" si="28"/>
        <v/>
      </c>
      <c r="G934" s="20" t="str">
        <f t="shared" si="29"/>
        <v/>
      </c>
    </row>
    <row r="935" spans="2:7" x14ac:dyDescent="0.2">
      <c r="B935" s="19" t="str">
        <f>IF('DDF Original'!B935="","",'DDF Original'!B935)</f>
        <v/>
      </c>
      <c r="C935" s="20" t="str">
        <f>IF('DDF Original'!C935="","",'DDF Original'!C935)</f>
        <v/>
      </c>
      <c r="D935" s="20" t="str">
        <f>IF('DDF Original'!F935="","",'DDF Original'!F935)</f>
        <v/>
      </c>
      <c r="E935" s="38" t="str">
        <f>'Recálculo Confissão (85-B)'!N935</f>
        <v/>
      </c>
      <c r="F935" s="20" t="str">
        <f t="shared" si="28"/>
        <v/>
      </c>
      <c r="G935" s="20" t="str">
        <f t="shared" si="29"/>
        <v/>
      </c>
    </row>
    <row r="936" spans="2:7" x14ac:dyDescent="0.2">
      <c r="B936" s="19" t="str">
        <f>IF('DDF Original'!B936="","",'DDF Original'!B936)</f>
        <v/>
      </c>
      <c r="C936" s="20" t="str">
        <f>IF('DDF Original'!C936="","",'DDF Original'!C936)</f>
        <v/>
      </c>
      <c r="D936" s="20" t="str">
        <f>IF('DDF Original'!F936="","",'DDF Original'!F936)</f>
        <v/>
      </c>
      <c r="E936" s="38" t="str">
        <f>'Recálculo Confissão (85-B)'!N936</f>
        <v/>
      </c>
      <c r="F936" s="20" t="str">
        <f t="shared" si="28"/>
        <v/>
      </c>
      <c r="G936" s="20" t="str">
        <f t="shared" si="29"/>
        <v/>
      </c>
    </row>
    <row r="937" spans="2:7" x14ac:dyDescent="0.2">
      <c r="B937" s="19" t="str">
        <f>IF('DDF Original'!B937="","",'DDF Original'!B937)</f>
        <v/>
      </c>
      <c r="C937" s="20" t="str">
        <f>IF('DDF Original'!C937="","",'DDF Original'!C937)</f>
        <v/>
      </c>
      <c r="D937" s="20" t="str">
        <f>IF('DDF Original'!F937="","",'DDF Original'!F937)</f>
        <v/>
      </c>
      <c r="E937" s="38" t="str">
        <f>'Recálculo Confissão (85-B)'!N937</f>
        <v/>
      </c>
      <c r="F937" s="20" t="str">
        <f t="shared" si="28"/>
        <v/>
      </c>
      <c r="G937" s="20" t="str">
        <f t="shared" si="29"/>
        <v/>
      </c>
    </row>
    <row r="938" spans="2:7" x14ac:dyDescent="0.2">
      <c r="B938" s="19" t="str">
        <f>IF('DDF Original'!B938="","",'DDF Original'!B938)</f>
        <v/>
      </c>
      <c r="C938" s="20" t="str">
        <f>IF('DDF Original'!C938="","",'DDF Original'!C938)</f>
        <v/>
      </c>
      <c r="D938" s="20" t="str">
        <f>IF('DDF Original'!F938="","",'DDF Original'!F938)</f>
        <v/>
      </c>
      <c r="E938" s="38" t="str">
        <f>'Recálculo Confissão (85-B)'!N938</f>
        <v/>
      </c>
      <c r="F938" s="20" t="str">
        <f t="shared" si="28"/>
        <v/>
      </c>
      <c r="G938" s="20" t="str">
        <f t="shared" si="29"/>
        <v/>
      </c>
    </row>
    <row r="939" spans="2:7" x14ac:dyDescent="0.2">
      <c r="B939" s="19" t="str">
        <f>IF('DDF Original'!B939="","",'DDF Original'!B939)</f>
        <v/>
      </c>
      <c r="C939" s="20" t="str">
        <f>IF('DDF Original'!C939="","",'DDF Original'!C939)</f>
        <v/>
      </c>
      <c r="D939" s="20" t="str">
        <f>IF('DDF Original'!F939="","",'DDF Original'!F939)</f>
        <v/>
      </c>
      <c r="E939" s="38" t="str">
        <f>'Recálculo Confissão (85-B)'!N939</f>
        <v/>
      </c>
      <c r="F939" s="20" t="str">
        <f t="shared" si="28"/>
        <v/>
      </c>
      <c r="G939" s="20" t="str">
        <f t="shared" si="29"/>
        <v/>
      </c>
    </row>
    <row r="940" spans="2:7" x14ac:dyDescent="0.2">
      <c r="B940" s="19" t="str">
        <f>IF('DDF Original'!B940="","",'DDF Original'!B940)</f>
        <v/>
      </c>
      <c r="C940" s="20" t="str">
        <f>IF('DDF Original'!C940="","",'DDF Original'!C940)</f>
        <v/>
      </c>
      <c r="D940" s="20" t="str">
        <f>IF('DDF Original'!F940="","",'DDF Original'!F940)</f>
        <v/>
      </c>
      <c r="E940" s="38" t="str">
        <f>'Recálculo Confissão (85-B)'!N940</f>
        <v/>
      </c>
      <c r="F940" s="20" t="str">
        <f t="shared" si="28"/>
        <v/>
      </c>
      <c r="G940" s="20" t="str">
        <f t="shared" si="29"/>
        <v/>
      </c>
    </row>
    <row r="941" spans="2:7" x14ac:dyDescent="0.2">
      <c r="B941" s="19" t="str">
        <f>IF('DDF Original'!B941="","",'DDF Original'!B941)</f>
        <v/>
      </c>
      <c r="C941" s="20" t="str">
        <f>IF('DDF Original'!C941="","",'DDF Original'!C941)</f>
        <v/>
      </c>
      <c r="D941" s="20" t="str">
        <f>IF('DDF Original'!F941="","",'DDF Original'!F941)</f>
        <v/>
      </c>
      <c r="E941" s="38" t="str">
        <f>'Recálculo Confissão (85-B)'!N941</f>
        <v/>
      </c>
      <c r="F941" s="20" t="str">
        <f t="shared" si="28"/>
        <v/>
      </c>
      <c r="G941" s="20" t="str">
        <f t="shared" si="29"/>
        <v/>
      </c>
    </row>
    <row r="942" spans="2:7" x14ac:dyDescent="0.2">
      <c r="B942" s="19" t="str">
        <f>IF('DDF Original'!B942="","",'DDF Original'!B942)</f>
        <v/>
      </c>
      <c r="C942" s="20" t="str">
        <f>IF('DDF Original'!C942="","",'DDF Original'!C942)</f>
        <v/>
      </c>
      <c r="D942" s="20" t="str">
        <f>IF('DDF Original'!F942="","",'DDF Original'!F942)</f>
        <v/>
      </c>
      <c r="E942" s="38" t="str">
        <f>'Recálculo Confissão (85-B)'!N942</f>
        <v/>
      </c>
      <c r="F942" s="20" t="str">
        <f t="shared" si="28"/>
        <v/>
      </c>
      <c r="G942" s="20" t="str">
        <f t="shared" si="29"/>
        <v/>
      </c>
    </row>
    <row r="943" spans="2:7" x14ac:dyDescent="0.2">
      <c r="B943" s="19" t="str">
        <f>IF('DDF Original'!B943="","",'DDF Original'!B943)</f>
        <v/>
      </c>
      <c r="C943" s="20" t="str">
        <f>IF('DDF Original'!C943="","",'DDF Original'!C943)</f>
        <v/>
      </c>
      <c r="D943" s="20" t="str">
        <f>IF('DDF Original'!F943="","",'DDF Original'!F943)</f>
        <v/>
      </c>
      <c r="E943" s="38" t="str">
        <f>'Recálculo Confissão (85-B)'!N943</f>
        <v/>
      </c>
      <c r="F943" s="20" t="str">
        <f t="shared" si="28"/>
        <v/>
      </c>
      <c r="G943" s="20" t="str">
        <f t="shared" si="29"/>
        <v/>
      </c>
    </row>
    <row r="944" spans="2:7" x14ac:dyDescent="0.2">
      <c r="B944" s="19" t="str">
        <f>IF('DDF Original'!B944="","",'DDF Original'!B944)</f>
        <v/>
      </c>
      <c r="C944" s="20" t="str">
        <f>IF('DDF Original'!C944="","",'DDF Original'!C944)</f>
        <v/>
      </c>
      <c r="D944" s="20" t="str">
        <f>IF('DDF Original'!F944="","",'DDF Original'!F944)</f>
        <v/>
      </c>
      <c r="E944" s="38" t="str">
        <f>'Recálculo Confissão (85-B)'!N944</f>
        <v/>
      </c>
      <c r="F944" s="20" t="str">
        <f t="shared" si="28"/>
        <v/>
      </c>
      <c r="G944" s="20" t="str">
        <f t="shared" si="29"/>
        <v/>
      </c>
    </row>
    <row r="945" spans="2:7" x14ac:dyDescent="0.2">
      <c r="B945" s="19" t="str">
        <f>IF('DDF Original'!B945="","",'DDF Original'!B945)</f>
        <v/>
      </c>
      <c r="C945" s="20" t="str">
        <f>IF('DDF Original'!C945="","",'DDF Original'!C945)</f>
        <v/>
      </c>
      <c r="D945" s="20" t="str">
        <f>IF('DDF Original'!F945="","",'DDF Original'!F945)</f>
        <v/>
      </c>
      <c r="E945" s="38" t="str">
        <f>'Recálculo Confissão (85-B)'!N945</f>
        <v/>
      </c>
      <c r="F945" s="20" t="str">
        <f t="shared" si="28"/>
        <v/>
      </c>
      <c r="G945" s="20" t="str">
        <f t="shared" si="29"/>
        <v/>
      </c>
    </row>
    <row r="946" spans="2:7" x14ac:dyDescent="0.2">
      <c r="B946" s="19" t="str">
        <f>IF('DDF Original'!B946="","",'DDF Original'!B946)</f>
        <v/>
      </c>
      <c r="C946" s="20" t="str">
        <f>IF('DDF Original'!C946="","",'DDF Original'!C946)</f>
        <v/>
      </c>
      <c r="D946" s="20" t="str">
        <f>IF('DDF Original'!F946="","",'DDF Original'!F946)</f>
        <v/>
      </c>
      <c r="E946" s="38" t="str">
        <f>'Recálculo Confissão (85-B)'!N946</f>
        <v/>
      </c>
      <c r="F946" s="20" t="str">
        <f t="shared" si="28"/>
        <v/>
      </c>
      <c r="G946" s="20" t="str">
        <f t="shared" si="29"/>
        <v/>
      </c>
    </row>
    <row r="947" spans="2:7" x14ac:dyDescent="0.2">
      <c r="B947" s="19" t="str">
        <f>IF('DDF Original'!B947="","",'DDF Original'!B947)</f>
        <v/>
      </c>
      <c r="C947" s="20" t="str">
        <f>IF('DDF Original'!C947="","",'DDF Original'!C947)</f>
        <v/>
      </c>
      <c r="D947" s="20" t="str">
        <f>IF('DDF Original'!F947="","",'DDF Original'!F947)</f>
        <v/>
      </c>
      <c r="E947" s="38" t="str">
        <f>'Recálculo Confissão (85-B)'!N947</f>
        <v/>
      </c>
      <c r="F947" s="20" t="str">
        <f t="shared" si="28"/>
        <v/>
      </c>
      <c r="G947" s="20" t="str">
        <f t="shared" si="29"/>
        <v/>
      </c>
    </row>
    <row r="948" spans="2:7" x14ac:dyDescent="0.2">
      <c r="B948" s="19" t="str">
        <f>IF('DDF Original'!B948="","",'DDF Original'!B948)</f>
        <v/>
      </c>
      <c r="C948" s="20" t="str">
        <f>IF('DDF Original'!C948="","",'DDF Original'!C948)</f>
        <v/>
      </c>
      <c r="D948" s="20" t="str">
        <f>IF('DDF Original'!F948="","",'DDF Original'!F948)</f>
        <v/>
      </c>
      <c r="E948" s="38" t="str">
        <f>'Recálculo Confissão (85-B)'!N948</f>
        <v/>
      </c>
      <c r="F948" s="20" t="str">
        <f t="shared" si="28"/>
        <v/>
      </c>
      <c r="G948" s="20" t="str">
        <f t="shared" si="29"/>
        <v/>
      </c>
    </row>
    <row r="949" spans="2:7" x14ac:dyDescent="0.2">
      <c r="B949" s="19" t="str">
        <f>IF('DDF Original'!B949="","",'DDF Original'!B949)</f>
        <v/>
      </c>
      <c r="C949" s="20" t="str">
        <f>IF('DDF Original'!C949="","",'DDF Original'!C949)</f>
        <v/>
      </c>
      <c r="D949" s="20" t="str">
        <f>IF('DDF Original'!F949="","",'DDF Original'!F949)</f>
        <v/>
      </c>
      <c r="E949" s="38" t="str">
        <f>'Recálculo Confissão (85-B)'!N949</f>
        <v/>
      </c>
      <c r="F949" s="20" t="str">
        <f t="shared" si="28"/>
        <v/>
      </c>
      <c r="G949" s="20" t="str">
        <f t="shared" si="29"/>
        <v/>
      </c>
    </row>
    <row r="950" spans="2:7" x14ac:dyDescent="0.2">
      <c r="B950" s="19" t="str">
        <f>IF('DDF Original'!B950="","",'DDF Original'!B950)</f>
        <v/>
      </c>
      <c r="C950" s="20" t="str">
        <f>IF('DDF Original'!C950="","",'DDF Original'!C950)</f>
        <v/>
      </c>
      <c r="D950" s="20" t="str">
        <f>IF('DDF Original'!F950="","",'DDF Original'!F950)</f>
        <v/>
      </c>
      <c r="E950" s="38" t="str">
        <f>'Recálculo Confissão (85-B)'!N950</f>
        <v/>
      </c>
      <c r="F950" s="20" t="str">
        <f t="shared" si="28"/>
        <v/>
      </c>
      <c r="G950" s="20" t="str">
        <f t="shared" si="29"/>
        <v/>
      </c>
    </row>
    <row r="951" spans="2:7" x14ac:dyDescent="0.2">
      <c r="B951" s="19" t="str">
        <f>IF('DDF Original'!B951="","",'DDF Original'!B951)</f>
        <v/>
      </c>
      <c r="C951" s="20" t="str">
        <f>IF('DDF Original'!C951="","",'DDF Original'!C951)</f>
        <v/>
      </c>
      <c r="D951" s="20" t="str">
        <f>IF('DDF Original'!F951="","",'DDF Original'!F951)</f>
        <v/>
      </c>
      <c r="E951" s="38" t="str">
        <f>'Recálculo Confissão (85-B)'!N951</f>
        <v/>
      </c>
      <c r="F951" s="20" t="str">
        <f t="shared" si="28"/>
        <v/>
      </c>
      <c r="G951" s="20" t="str">
        <f t="shared" si="29"/>
        <v/>
      </c>
    </row>
    <row r="952" spans="2:7" x14ac:dyDescent="0.2">
      <c r="B952" s="19" t="str">
        <f>IF('DDF Original'!B952="","",'DDF Original'!B952)</f>
        <v/>
      </c>
      <c r="C952" s="20" t="str">
        <f>IF('DDF Original'!C952="","",'DDF Original'!C952)</f>
        <v/>
      </c>
      <c r="D952" s="20" t="str">
        <f>IF('DDF Original'!F952="","",'DDF Original'!F952)</f>
        <v/>
      </c>
      <c r="E952" s="38" t="str">
        <f>'Recálculo Confissão (85-B)'!N952</f>
        <v/>
      </c>
      <c r="F952" s="20" t="str">
        <f t="shared" si="28"/>
        <v/>
      </c>
      <c r="G952" s="20" t="str">
        <f t="shared" si="29"/>
        <v/>
      </c>
    </row>
    <row r="953" spans="2:7" x14ac:dyDescent="0.2">
      <c r="B953" s="19" t="str">
        <f>IF('DDF Original'!B953="","",'DDF Original'!B953)</f>
        <v/>
      </c>
      <c r="C953" s="20" t="str">
        <f>IF('DDF Original'!C953="","",'DDF Original'!C953)</f>
        <v/>
      </c>
      <c r="D953" s="20" t="str">
        <f>IF('DDF Original'!F953="","",'DDF Original'!F953)</f>
        <v/>
      </c>
      <c r="E953" s="38" t="str">
        <f>'Recálculo Confissão (85-B)'!N953</f>
        <v/>
      </c>
      <c r="F953" s="20" t="str">
        <f t="shared" si="28"/>
        <v/>
      </c>
      <c r="G953" s="20" t="str">
        <f t="shared" si="29"/>
        <v/>
      </c>
    </row>
    <row r="954" spans="2:7" x14ac:dyDescent="0.2">
      <c r="B954" s="19" t="str">
        <f>IF('DDF Original'!B954="","",'DDF Original'!B954)</f>
        <v/>
      </c>
      <c r="C954" s="20" t="str">
        <f>IF('DDF Original'!C954="","",'DDF Original'!C954)</f>
        <v/>
      </c>
      <c r="D954" s="20" t="str">
        <f>IF('DDF Original'!F954="","",'DDF Original'!F954)</f>
        <v/>
      </c>
      <c r="E954" s="38" t="str">
        <f>'Recálculo Confissão (85-B)'!N954</f>
        <v/>
      </c>
      <c r="F954" s="20" t="str">
        <f t="shared" si="28"/>
        <v/>
      </c>
      <c r="G954" s="20" t="str">
        <f t="shared" si="29"/>
        <v/>
      </c>
    </row>
    <row r="955" spans="2:7" x14ac:dyDescent="0.2">
      <c r="B955" s="19" t="str">
        <f>IF('DDF Original'!B955="","",'DDF Original'!B955)</f>
        <v/>
      </c>
      <c r="C955" s="20" t="str">
        <f>IF('DDF Original'!C955="","",'DDF Original'!C955)</f>
        <v/>
      </c>
      <c r="D955" s="20" t="str">
        <f>IF('DDF Original'!F955="","",'DDF Original'!F955)</f>
        <v/>
      </c>
      <c r="E955" s="38" t="str">
        <f>'Recálculo Confissão (85-B)'!N955</f>
        <v/>
      </c>
      <c r="F955" s="20" t="str">
        <f t="shared" si="28"/>
        <v/>
      </c>
      <c r="G955" s="20" t="str">
        <f t="shared" si="29"/>
        <v/>
      </c>
    </row>
    <row r="956" spans="2:7" x14ac:dyDescent="0.2">
      <c r="B956" s="19" t="str">
        <f>IF('DDF Original'!B956="","",'DDF Original'!B956)</f>
        <v/>
      </c>
      <c r="C956" s="20" t="str">
        <f>IF('DDF Original'!C956="","",'DDF Original'!C956)</f>
        <v/>
      </c>
      <c r="D956" s="20" t="str">
        <f>IF('DDF Original'!F956="","",'DDF Original'!F956)</f>
        <v/>
      </c>
      <c r="E956" s="38" t="str">
        <f>'Recálculo Confissão (85-B)'!N956</f>
        <v/>
      </c>
      <c r="F956" s="20" t="str">
        <f t="shared" si="28"/>
        <v/>
      </c>
      <c r="G956" s="20" t="str">
        <f t="shared" si="29"/>
        <v/>
      </c>
    </row>
    <row r="957" spans="2:7" x14ac:dyDescent="0.2">
      <c r="B957" s="19" t="str">
        <f>IF('DDF Original'!B957="","",'DDF Original'!B957)</f>
        <v/>
      </c>
      <c r="C957" s="20" t="str">
        <f>IF('DDF Original'!C957="","",'DDF Original'!C957)</f>
        <v/>
      </c>
      <c r="D957" s="20" t="str">
        <f>IF('DDF Original'!F957="","",'DDF Original'!F957)</f>
        <v/>
      </c>
      <c r="E957" s="38" t="str">
        <f>'Recálculo Confissão (85-B)'!N957</f>
        <v/>
      </c>
      <c r="F957" s="20" t="str">
        <f t="shared" ref="F957:F1020" si="30">IF(E957="","",ROUND(E957*(1-70%),2))</f>
        <v/>
      </c>
      <c r="G957" s="20" t="str">
        <f t="shared" ref="G957:G1020" si="31">IF(E957="","",ROUND(E957*(1-60%),2))</f>
        <v/>
      </c>
    </row>
    <row r="958" spans="2:7" x14ac:dyDescent="0.2">
      <c r="B958" s="19" t="str">
        <f>IF('DDF Original'!B958="","",'DDF Original'!B958)</f>
        <v/>
      </c>
      <c r="C958" s="20" t="str">
        <f>IF('DDF Original'!C958="","",'DDF Original'!C958)</f>
        <v/>
      </c>
      <c r="D958" s="20" t="str">
        <f>IF('DDF Original'!F958="","",'DDF Original'!F958)</f>
        <v/>
      </c>
      <c r="E958" s="38" t="str">
        <f>'Recálculo Confissão (85-B)'!N958</f>
        <v/>
      </c>
      <c r="F958" s="20" t="str">
        <f t="shared" si="30"/>
        <v/>
      </c>
      <c r="G958" s="20" t="str">
        <f t="shared" si="31"/>
        <v/>
      </c>
    </row>
    <row r="959" spans="2:7" x14ac:dyDescent="0.2">
      <c r="B959" s="19" t="str">
        <f>IF('DDF Original'!B959="","",'DDF Original'!B959)</f>
        <v/>
      </c>
      <c r="C959" s="20" t="str">
        <f>IF('DDF Original'!C959="","",'DDF Original'!C959)</f>
        <v/>
      </c>
      <c r="D959" s="20" t="str">
        <f>IF('DDF Original'!F959="","",'DDF Original'!F959)</f>
        <v/>
      </c>
      <c r="E959" s="38" t="str">
        <f>'Recálculo Confissão (85-B)'!N959</f>
        <v/>
      </c>
      <c r="F959" s="20" t="str">
        <f t="shared" si="30"/>
        <v/>
      </c>
      <c r="G959" s="20" t="str">
        <f t="shared" si="31"/>
        <v/>
      </c>
    </row>
    <row r="960" spans="2:7" x14ac:dyDescent="0.2">
      <c r="B960" s="19" t="str">
        <f>IF('DDF Original'!B960="","",'DDF Original'!B960)</f>
        <v/>
      </c>
      <c r="C960" s="20" t="str">
        <f>IF('DDF Original'!C960="","",'DDF Original'!C960)</f>
        <v/>
      </c>
      <c r="D960" s="20" t="str">
        <f>IF('DDF Original'!F960="","",'DDF Original'!F960)</f>
        <v/>
      </c>
      <c r="E960" s="38" t="str">
        <f>'Recálculo Confissão (85-B)'!N960</f>
        <v/>
      </c>
      <c r="F960" s="20" t="str">
        <f t="shared" si="30"/>
        <v/>
      </c>
      <c r="G960" s="20" t="str">
        <f t="shared" si="31"/>
        <v/>
      </c>
    </row>
    <row r="961" spans="2:7" x14ac:dyDescent="0.2">
      <c r="B961" s="19" t="str">
        <f>IF('DDF Original'!B961="","",'DDF Original'!B961)</f>
        <v/>
      </c>
      <c r="C961" s="20" t="str">
        <f>IF('DDF Original'!C961="","",'DDF Original'!C961)</f>
        <v/>
      </c>
      <c r="D961" s="20" t="str">
        <f>IF('DDF Original'!F961="","",'DDF Original'!F961)</f>
        <v/>
      </c>
      <c r="E961" s="38" t="str">
        <f>'Recálculo Confissão (85-B)'!N961</f>
        <v/>
      </c>
      <c r="F961" s="20" t="str">
        <f t="shared" si="30"/>
        <v/>
      </c>
      <c r="G961" s="20" t="str">
        <f t="shared" si="31"/>
        <v/>
      </c>
    </row>
    <row r="962" spans="2:7" x14ac:dyDescent="0.2">
      <c r="B962" s="19" t="str">
        <f>IF('DDF Original'!B962="","",'DDF Original'!B962)</f>
        <v/>
      </c>
      <c r="C962" s="20" t="str">
        <f>IF('DDF Original'!C962="","",'DDF Original'!C962)</f>
        <v/>
      </c>
      <c r="D962" s="20" t="str">
        <f>IF('DDF Original'!F962="","",'DDF Original'!F962)</f>
        <v/>
      </c>
      <c r="E962" s="38" t="str">
        <f>'Recálculo Confissão (85-B)'!N962</f>
        <v/>
      </c>
      <c r="F962" s="20" t="str">
        <f t="shared" si="30"/>
        <v/>
      </c>
      <c r="G962" s="20" t="str">
        <f t="shared" si="31"/>
        <v/>
      </c>
    </row>
    <row r="963" spans="2:7" x14ac:dyDescent="0.2">
      <c r="B963" s="19" t="str">
        <f>IF('DDF Original'!B963="","",'DDF Original'!B963)</f>
        <v/>
      </c>
      <c r="C963" s="20" t="str">
        <f>IF('DDF Original'!C963="","",'DDF Original'!C963)</f>
        <v/>
      </c>
      <c r="D963" s="20" t="str">
        <f>IF('DDF Original'!F963="","",'DDF Original'!F963)</f>
        <v/>
      </c>
      <c r="E963" s="38" t="str">
        <f>'Recálculo Confissão (85-B)'!N963</f>
        <v/>
      </c>
      <c r="F963" s="20" t="str">
        <f t="shared" si="30"/>
        <v/>
      </c>
      <c r="G963" s="20" t="str">
        <f t="shared" si="31"/>
        <v/>
      </c>
    </row>
    <row r="964" spans="2:7" x14ac:dyDescent="0.2">
      <c r="B964" s="19" t="str">
        <f>IF('DDF Original'!B964="","",'DDF Original'!B964)</f>
        <v/>
      </c>
      <c r="C964" s="20" t="str">
        <f>IF('DDF Original'!C964="","",'DDF Original'!C964)</f>
        <v/>
      </c>
      <c r="D964" s="20" t="str">
        <f>IF('DDF Original'!F964="","",'DDF Original'!F964)</f>
        <v/>
      </c>
      <c r="E964" s="38" t="str">
        <f>'Recálculo Confissão (85-B)'!N964</f>
        <v/>
      </c>
      <c r="F964" s="20" t="str">
        <f t="shared" si="30"/>
        <v/>
      </c>
      <c r="G964" s="20" t="str">
        <f t="shared" si="31"/>
        <v/>
      </c>
    </row>
    <row r="965" spans="2:7" x14ac:dyDescent="0.2">
      <c r="B965" s="19" t="str">
        <f>IF('DDF Original'!B965="","",'DDF Original'!B965)</f>
        <v/>
      </c>
      <c r="C965" s="20" t="str">
        <f>IF('DDF Original'!C965="","",'DDF Original'!C965)</f>
        <v/>
      </c>
      <c r="D965" s="20" t="str">
        <f>IF('DDF Original'!F965="","",'DDF Original'!F965)</f>
        <v/>
      </c>
      <c r="E965" s="38" t="str">
        <f>'Recálculo Confissão (85-B)'!N965</f>
        <v/>
      </c>
      <c r="F965" s="20" t="str">
        <f t="shared" si="30"/>
        <v/>
      </c>
      <c r="G965" s="20" t="str">
        <f t="shared" si="31"/>
        <v/>
      </c>
    </row>
    <row r="966" spans="2:7" x14ac:dyDescent="0.2">
      <c r="B966" s="19" t="str">
        <f>IF('DDF Original'!B966="","",'DDF Original'!B966)</f>
        <v/>
      </c>
      <c r="C966" s="20" t="str">
        <f>IF('DDF Original'!C966="","",'DDF Original'!C966)</f>
        <v/>
      </c>
      <c r="D966" s="20" t="str">
        <f>IF('DDF Original'!F966="","",'DDF Original'!F966)</f>
        <v/>
      </c>
      <c r="E966" s="38" t="str">
        <f>'Recálculo Confissão (85-B)'!N966</f>
        <v/>
      </c>
      <c r="F966" s="20" t="str">
        <f t="shared" si="30"/>
        <v/>
      </c>
      <c r="G966" s="20" t="str">
        <f t="shared" si="31"/>
        <v/>
      </c>
    </row>
    <row r="967" spans="2:7" x14ac:dyDescent="0.2">
      <c r="B967" s="19" t="str">
        <f>IF('DDF Original'!B967="","",'DDF Original'!B967)</f>
        <v/>
      </c>
      <c r="C967" s="20" t="str">
        <f>IF('DDF Original'!C967="","",'DDF Original'!C967)</f>
        <v/>
      </c>
      <c r="D967" s="20" t="str">
        <f>IF('DDF Original'!F967="","",'DDF Original'!F967)</f>
        <v/>
      </c>
      <c r="E967" s="38" t="str">
        <f>'Recálculo Confissão (85-B)'!N967</f>
        <v/>
      </c>
      <c r="F967" s="20" t="str">
        <f t="shared" si="30"/>
        <v/>
      </c>
      <c r="G967" s="20" t="str">
        <f t="shared" si="31"/>
        <v/>
      </c>
    </row>
    <row r="968" spans="2:7" x14ac:dyDescent="0.2">
      <c r="B968" s="19" t="str">
        <f>IF('DDF Original'!B968="","",'DDF Original'!B968)</f>
        <v/>
      </c>
      <c r="C968" s="20" t="str">
        <f>IF('DDF Original'!C968="","",'DDF Original'!C968)</f>
        <v/>
      </c>
      <c r="D968" s="20" t="str">
        <f>IF('DDF Original'!F968="","",'DDF Original'!F968)</f>
        <v/>
      </c>
      <c r="E968" s="38" t="str">
        <f>'Recálculo Confissão (85-B)'!N968</f>
        <v/>
      </c>
      <c r="F968" s="20" t="str">
        <f t="shared" si="30"/>
        <v/>
      </c>
      <c r="G968" s="20" t="str">
        <f t="shared" si="31"/>
        <v/>
      </c>
    </row>
    <row r="969" spans="2:7" x14ac:dyDescent="0.2">
      <c r="B969" s="19" t="str">
        <f>IF('DDF Original'!B969="","",'DDF Original'!B969)</f>
        <v/>
      </c>
      <c r="C969" s="20" t="str">
        <f>IF('DDF Original'!C969="","",'DDF Original'!C969)</f>
        <v/>
      </c>
      <c r="D969" s="20" t="str">
        <f>IF('DDF Original'!F969="","",'DDF Original'!F969)</f>
        <v/>
      </c>
      <c r="E969" s="38" t="str">
        <f>'Recálculo Confissão (85-B)'!N969</f>
        <v/>
      </c>
      <c r="F969" s="20" t="str">
        <f t="shared" si="30"/>
        <v/>
      </c>
      <c r="G969" s="20" t="str">
        <f t="shared" si="31"/>
        <v/>
      </c>
    </row>
    <row r="970" spans="2:7" x14ac:dyDescent="0.2">
      <c r="B970" s="19" t="str">
        <f>IF('DDF Original'!B970="","",'DDF Original'!B970)</f>
        <v/>
      </c>
      <c r="C970" s="20" t="str">
        <f>IF('DDF Original'!C970="","",'DDF Original'!C970)</f>
        <v/>
      </c>
      <c r="D970" s="20" t="str">
        <f>IF('DDF Original'!F970="","",'DDF Original'!F970)</f>
        <v/>
      </c>
      <c r="E970" s="38" t="str">
        <f>'Recálculo Confissão (85-B)'!N970</f>
        <v/>
      </c>
      <c r="F970" s="20" t="str">
        <f t="shared" si="30"/>
        <v/>
      </c>
      <c r="G970" s="20" t="str">
        <f t="shared" si="31"/>
        <v/>
      </c>
    </row>
    <row r="971" spans="2:7" x14ac:dyDescent="0.2">
      <c r="B971" s="19" t="str">
        <f>IF('DDF Original'!B971="","",'DDF Original'!B971)</f>
        <v/>
      </c>
      <c r="C971" s="20" t="str">
        <f>IF('DDF Original'!C971="","",'DDF Original'!C971)</f>
        <v/>
      </c>
      <c r="D971" s="20" t="str">
        <f>IF('DDF Original'!F971="","",'DDF Original'!F971)</f>
        <v/>
      </c>
      <c r="E971" s="38" t="str">
        <f>'Recálculo Confissão (85-B)'!N971</f>
        <v/>
      </c>
      <c r="F971" s="20" t="str">
        <f t="shared" si="30"/>
        <v/>
      </c>
      <c r="G971" s="20" t="str">
        <f t="shared" si="31"/>
        <v/>
      </c>
    </row>
    <row r="972" spans="2:7" x14ac:dyDescent="0.2">
      <c r="B972" s="19" t="str">
        <f>IF('DDF Original'!B972="","",'DDF Original'!B972)</f>
        <v/>
      </c>
      <c r="C972" s="20" t="str">
        <f>IF('DDF Original'!C972="","",'DDF Original'!C972)</f>
        <v/>
      </c>
      <c r="D972" s="20" t="str">
        <f>IF('DDF Original'!F972="","",'DDF Original'!F972)</f>
        <v/>
      </c>
      <c r="E972" s="38" t="str">
        <f>'Recálculo Confissão (85-B)'!N972</f>
        <v/>
      </c>
      <c r="F972" s="20" t="str">
        <f t="shared" si="30"/>
        <v/>
      </c>
      <c r="G972" s="20" t="str">
        <f t="shared" si="31"/>
        <v/>
      </c>
    </row>
    <row r="973" spans="2:7" x14ac:dyDescent="0.2">
      <c r="B973" s="19" t="str">
        <f>IF('DDF Original'!B973="","",'DDF Original'!B973)</f>
        <v/>
      </c>
      <c r="C973" s="20" t="str">
        <f>IF('DDF Original'!C973="","",'DDF Original'!C973)</f>
        <v/>
      </c>
      <c r="D973" s="20" t="str">
        <f>IF('DDF Original'!F973="","",'DDF Original'!F973)</f>
        <v/>
      </c>
      <c r="E973" s="38" t="str">
        <f>'Recálculo Confissão (85-B)'!N973</f>
        <v/>
      </c>
      <c r="F973" s="20" t="str">
        <f t="shared" si="30"/>
        <v/>
      </c>
      <c r="G973" s="20" t="str">
        <f t="shared" si="31"/>
        <v/>
      </c>
    </row>
    <row r="974" spans="2:7" x14ac:dyDescent="0.2">
      <c r="B974" s="19" t="str">
        <f>IF('DDF Original'!B974="","",'DDF Original'!B974)</f>
        <v/>
      </c>
      <c r="C974" s="20" t="str">
        <f>IF('DDF Original'!C974="","",'DDF Original'!C974)</f>
        <v/>
      </c>
      <c r="D974" s="20" t="str">
        <f>IF('DDF Original'!F974="","",'DDF Original'!F974)</f>
        <v/>
      </c>
      <c r="E974" s="38" t="str">
        <f>'Recálculo Confissão (85-B)'!N974</f>
        <v/>
      </c>
      <c r="F974" s="20" t="str">
        <f t="shared" si="30"/>
        <v/>
      </c>
      <c r="G974" s="20" t="str">
        <f t="shared" si="31"/>
        <v/>
      </c>
    </row>
    <row r="975" spans="2:7" x14ac:dyDescent="0.2">
      <c r="B975" s="19" t="str">
        <f>IF('DDF Original'!B975="","",'DDF Original'!B975)</f>
        <v/>
      </c>
      <c r="C975" s="20" t="str">
        <f>IF('DDF Original'!C975="","",'DDF Original'!C975)</f>
        <v/>
      </c>
      <c r="D975" s="20" t="str">
        <f>IF('DDF Original'!F975="","",'DDF Original'!F975)</f>
        <v/>
      </c>
      <c r="E975" s="38" t="str">
        <f>'Recálculo Confissão (85-B)'!N975</f>
        <v/>
      </c>
      <c r="F975" s="20" t="str">
        <f t="shared" si="30"/>
        <v/>
      </c>
      <c r="G975" s="20" t="str">
        <f t="shared" si="31"/>
        <v/>
      </c>
    </row>
    <row r="976" spans="2:7" x14ac:dyDescent="0.2">
      <c r="B976" s="19" t="str">
        <f>IF('DDF Original'!B976="","",'DDF Original'!B976)</f>
        <v/>
      </c>
      <c r="C976" s="20" t="str">
        <f>IF('DDF Original'!C976="","",'DDF Original'!C976)</f>
        <v/>
      </c>
      <c r="D976" s="20" t="str">
        <f>IF('DDF Original'!F976="","",'DDF Original'!F976)</f>
        <v/>
      </c>
      <c r="E976" s="38" t="str">
        <f>'Recálculo Confissão (85-B)'!N976</f>
        <v/>
      </c>
      <c r="F976" s="20" t="str">
        <f t="shared" si="30"/>
        <v/>
      </c>
      <c r="G976" s="20" t="str">
        <f t="shared" si="31"/>
        <v/>
      </c>
    </row>
    <row r="977" spans="2:7" x14ac:dyDescent="0.2">
      <c r="B977" s="19" t="str">
        <f>IF('DDF Original'!B977="","",'DDF Original'!B977)</f>
        <v/>
      </c>
      <c r="C977" s="20" t="str">
        <f>IF('DDF Original'!C977="","",'DDF Original'!C977)</f>
        <v/>
      </c>
      <c r="D977" s="20" t="str">
        <f>IF('DDF Original'!F977="","",'DDF Original'!F977)</f>
        <v/>
      </c>
      <c r="E977" s="38" t="str">
        <f>'Recálculo Confissão (85-B)'!N977</f>
        <v/>
      </c>
      <c r="F977" s="20" t="str">
        <f t="shared" si="30"/>
        <v/>
      </c>
      <c r="G977" s="20" t="str">
        <f t="shared" si="31"/>
        <v/>
      </c>
    </row>
    <row r="978" spans="2:7" x14ac:dyDescent="0.2">
      <c r="B978" s="19" t="str">
        <f>IF('DDF Original'!B978="","",'DDF Original'!B978)</f>
        <v/>
      </c>
      <c r="C978" s="20" t="str">
        <f>IF('DDF Original'!C978="","",'DDF Original'!C978)</f>
        <v/>
      </c>
      <c r="D978" s="20" t="str">
        <f>IF('DDF Original'!F978="","",'DDF Original'!F978)</f>
        <v/>
      </c>
      <c r="E978" s="38" t="str">
        <f>'Recálculo Confissão (85-B)'!N978</f>
        <v/>
      </c>
      <c r="F978" s="20" t="str">
        <f t="shared" si="30"/>
        <v/>
      </c>
      <c r="G978" s="20" t="str">
        <f t="shared" si="31"/>
        <v/>
      </c>
    </row>
    <row r="979" spans="2:7" x14ac:dyDescent="0.2">
      <c r="B979" s="19" t="str">
        <f>IF('DDF Original'!B979="","",'DDF Original'!B979)</f>
        <v/>
      </c>
      <c r="C979" s="20" t="str">
        <f>IF('DDF Original'!C979="","",'DDF Original'!C979)</f>
        <v/>
      </c>
      <c r="D979" s="20" t="str">
        <f>IF('DDF Original'!F979="","",'DDF Original'!F979)</f>
        <v/>
      </c>
      <c r="E979" s="38" t="str">
        <f>'Recálculo Confissão (85-B)'!N979</f>
        <v/>
      </c>
      <c r="F979" s="20" t="str">
        <f t="shared" si="30"/>
        <v/>
      </c>
      <c r="G979" s="20" t="str">
        <f t="shared" si="31"/>
        <v/>
      </c>
    </row>
    <row r="980" spans="2:7" x14ac:dyDescent="0.2">
      <c r="B980" s="19" t="str">
        <f>IF('DDF Original'!B980="","",'DDF Original'!B980)</f>
        <v/>
      </c>
      <c r="C980" s="20" t="str">
        <f>IF('DDF Original'!C980="","",'DDF Original'!C980)</f>
        <v/>
      </c>
      <c r="D980" s="20" t="str">
        <f>IF('DDF Original'!F980="","",'DDF Original'!F980)</f>
        <v/>
      </c>
      <c r="E980" s="38" t="str">
        <f>'Recálculo Confissão (85-B)'!N980</f>
        <v/>
      </c>
      <c r="F980" s="20" t="str">
        <f t="shared" si="30"/>
        <v/>
      </c>
      <c r="G980" s="20" t="str">
        <f t="shared" si="31"/>
        <v/>
      </c>
    </row>
    <row r="981" spans="2:7" x14ac:dyDescent="0.2">
      <c r="B981" s="19" t="str">
        <f>IF('DDF Original'!B981="","",'DDF Original'!B981)</f>
        <v/>
      </c>
      <c r="C981" s="20" t="str">
        <f>IF('DDF Original'!C981="","",'DDF Original'!C981)</f>
        <v/>
      </c>
      <c r="D981" s="20" t="str">
        <f>IF('DDF Original'!F981="","",'DDF Original'!F981)</f>
        <v/>
      </c>
      <c r="E981" s="38" t="str">
        <f>'Recálculo Confissão (85-B)'!N981</f>
        <v/>
      </c>
      <c r="F981" s="20" t="str">
        <f t="shared" si="30"/>
        <v/>
      </c>
      <c r="G981" s="20" t="str">
        <f t="shared" si="31"/>
        <v/>
      </c>
    </row>
    <row r="982" spans="2:7" x14ac:dyDescent="0.2">
      <c r="B982" s="19" t="str">
        <f>IF('DDF Original'!B982="","",'DDF Original'!B982)</f>
        <v/>
      </c>
      <c r="C982" s="20" t="str">
        <f>IF('DDF Original'!C982="","",'DDF Original'!C982)</f>
        <v/>
      </c>
      <c r="D982" s="20" t="str">
        <f>IF('DDF Original'!F982="","",'DDF Original'!F982)</f>
        <v/>
      </c>
      <c r="E982" s="38" t="str">
        <f>'Recálculo Confissão (85-B)'!N982</f>
        <v/>
      </c>
      <c r="F982" s="20" t="str">
        <f t="shared" si="30"/>
        <v/>
      </c>
      <c r="G982" s="20" t="str">
        <f t="shared" si="31"/>
        <v/>
      </c>
    </row>
    <row r="983" spans="2:7" x14ac:dyDescent="0.2">
      <c r="B983" s="19" t="str">
        <f>IF('DDF Original'!B983="","",'DDF Original'!B983)</f>
        <v/>
      </c>
      <c r="C983" s="20" t="str">
        <f>IF('DDF Original'!C983="","",'DDF Original'!C983)</f>
        <v/>
      </c>
      <c r="D983" s="20" t="str">
        <f>IF('DDF Original'!F983="","",'DDF Original'!F983)</f>
        <v/>
      </c>
      <c r="E983" s="38" t="str">
        <f>'Recálculo Confissão (85-B)'!N983</f>
        <v/>
      </c>
      <c r="F983" s="20" t="str">
        <f t="shared" si="30"/>
        <v/>
      </c>
      <c r="G983" s="20" t="str">
        <f t="shared" si="31"/>
        <v/>
      </c>
    </row>
    <row r="984" spans="2:7" x14ac:dyDescent="0.2">
      <c r="B984" s="19" t="str">
        <f>IF('DDF Original'!B984="","",'DDF Original'!B984)</f>
        <v/>
      </c>
      <c r="C984" s="20" t="str">
        <f>IF('DDF Original'!C984="","",'DDF Original'!C984)</f>
        <v/>
      </c>
      <c r="D984" s="20" t="str">
        <f>IF('DDF Original'!F984="","",'DDF Original'!F984)</f>
        <v/>
      </c>
      <c r="E984" s="38" t="str">
        <f>'Recálculo Confissão (85-B)'!N984</f>
        <v/>
      </c>
      <c r="F984" s="20" t="str">
        <f t="shared" si="30"/>
        <v/>
      </c>
      <c r="G984" s="20" t="str">
        <f t="shared" si="31"/>
        <v/>
      </c>
    </row>
    <row r="985" spans="2:7" x14ac:dyDescent="0.2">
      <c r="B985" s="19" t="str">
        <f>IF('DDF Original'!B985="","",'DDF Original'!B985)</f>
        <v/>
      </c>
      <c r="C985" s="20" t="str">
        <f>IF('DDF Original'!C985="","",'DDF Original'!C985)</f>
        <v/>
      </c>
      <c r="D985" s="20" t="str">
        <f>IF('DDF Original'!F985="","",'DDF Original'!F985)</f>
        <v/>
      </c>
      <c r="E985" s="38" t="str">
        <f>'Recálculo Confissão (85-B)'!N985</f>
        <v/>
      </c>
      <c r="F985" s="20" t="str">
        <f t="shared" si="30"/>
        <v/>
      </c>
      <c r="G985" s="20" t="str">
        <f t="shared" si="31"/>
        <v/>
      </c>
    </row>
    <row r="986" spans="2:7" x14ac:dyDescent="0.2">
      <c r="B986" s="19" t="str">
        <f>IF('DDF Original'!B986="","",'DDF Original'!B986)</f>
        <v/>
      </c>
      <c r="C986" s="20" t="str">
        <f>IF('DDF Original'!C986="","",'DDF Original'!C986)</f>
        <v/>
      </c>
      <c r="D986" s="20" t="str">
        <f>IF('DDF Original'!F986="","",'DDF Original'!F986)</f>
        <v/>
      </c>
      <c r="E986" s="38" t="str">
        <f>'Recálculo Confissão (85-B)'!N986</f>
        <v/>
      </c>
      <c r="F986" s="20" t="str">
        <f t="shared" si="30"/>
        <v/>
      </c>
      <c r="G986" s="20" t="str">
        <f t="shared" si="31"/>
        <v/>
      </c>
    </row>
    <row r="987" spans="2:7" x14ac:dyDescent="0.2">
      <c r="B987" s="19" t="str">
        <f>IF('DDF Original'!B987="","",'DDF Original'!B987)</f>
        <v/>
      </c>
      <c r="C987" s="20" t="str">
        <f>IF('DDF Original'!C987="","",'DDF Original'!C987)</f>
        <v/>
      </c>
      <c r="D987" s="20" t="str">
        <f>IF('DDF Original'!F987="","",'DDF Original'!F987)</f>
        <v/>
      </c>
      <c r="E987" s="38" t="str">
        <f>'Recálculo Confissão (85-B)'!N987</f>
        <v/>
      </c>
      <c r="F987" s="20" t="str">
        <f t="shared" si="30"/>
        <v/>
      </c>
      <c r="G987" s="20" t="str">
        <f t="shared" si="31"/>
        <v/>
      </c>
    </row>
    <row r="988" spans="2:7" x14ac:dyDescent="0.2">
      <c r="B988" s="19" t="str">
        <f>IF('DDF Original'!B988="","",'DDF Original'!B988)</f>
        <v/>
      </c>
      <c r="C988" s="20" t="str">
        <f>IF('DDF Original'!C988="","",'DDF Original'!C988)</f>
        <v/>
      </c>
      <c r="D988" s="20" t="str">
        <f>IF('DDF Original'!F988="","",'DDF Original'!F988)</f>
        <v/>
      </c>
      <c r="E988" s="38" t="str">
        <f>'Recálculo Confissão (85-B)'!N988</f>
        <v/>
      </c>
      <c r="F988" s="20" t="str">
        <f t="shared" si="30"/>
        <v/>
      </c>
      <c r="G988" s="20" t="str">
        <f t="shared" si="31"/>
        <v/>
      </c>
    </row>
    <row r="989" spans="2:7" x14ac:dyDescent="0.2">
      <c r="B989" s="19" t="str">
        <f>IF('DDF Original'!B989="","",'DDF Original'!B989)</f>
        <v/>
      </c>
      <c r="C989" s="20" t="str">
        <f>IF('DDF Original'!C989="","",'DDF Original'!C989)</f>
        <v/>
      </c>
      <c r="D989" s="20" t="str">
        <f>IF('DDF Original'!F989="","",'DDF Original'!F989)</f>
        <v/>
      </c>
      <c r="E989" s="38" t="str">
        <f>'Recálculo Confissão (85-B)'!N989</f>
        <v/>
      </c>
      <c r="F989" s="20" t="str">
        <f t="shared" si="30"/>
        <v/>
      </c>
      <c r="G989" s="20" t="str">
        <f t="shared" si="31"/>
        <v/>
      </c>
    </row>
    <row r="990" spans="2:7" x14ac:dyDescent="0.2">
      <c r="B990" s="19" t="str">
        <f>IF('DDF Original'!B990="","",'DDF Original'!B990)</f>
        <v/>
      </c>
      <c r="C990" s="20" t="str">
        <f>IF('DDF Original'!C990="","",'DDF Original'!C990)</f>
        <v/>
      </c>
      <c r="D990" s="20" t="str">
        <f>IF('DDF Original'!F990="","",'DDF Original'!F990)</f>
        <v/>
      </c>
      <c r="E990" s="38" t="str">
        <f>'Recálculo Confissão (85-B)'!N990</f>
        <v/>
      </c>
      <c r="F990" s="20" t="str">
        <f t="shared" si="30"/>
        <v/>
      </c>
      <c r="G990" s="20" t="str">
        <f t="shared" si="31"/>
        <v/>
      </c>
    </row>
    <row r="991" spans="2:7" x14ac:dyDescent="0.2">
      <c r="B991" s="19" t="str">
        <f>IF('DDF Original'!B991="","",'DDF Original'!B991)</f>
        <v/>
      </c>
      <c r="C991" s="20" t="str">
        <f>IF('DDF Original'!C991="","",'DDF Original'!C991)</f>
        <v/>
      </c>
      <c r="D991" s="20" t="str">
        <f>IF('DDF Original'!F991="","",'DDF Original'!F991)</f>
        <v/>
      </c>
      <c r="E991" s="38" t="str">
        <f>'Recálculo Confissão (85-B)'!N991</f>
        <v/>
      </c>
      <c r="F991" s="20" t="str">
        <f t="shared" si="30"/>
        <v/>
      </c>
      <c r="G991" s="20" t="str">
        <f t="shared" si="31"/>
        <v/>
      </c>
    </row>
    <row r="992" spans="2:7" x14ac:dyDescent="0.2">
      <c r="B992" s="19" t="str">
        <f>IF('DDF Original'!B992="","",'DDF Original'!B992)</f>
        <v/>
      </c>
      <c r="C992" s="20" t="str">
        <f>IF('DDF Original'!C992="","",'DDF Original'!C992)</f>
        <v/>
      </c>
      <c r="D992" s="20" t="str">
        <f>IF('DDF Original'!F992="","",'DDF Original'!F992)</f>
        <v/>
      </c>
      <c r="E992" s="38" t="str">
        <f>'Recálculo Confissão (85-B)'!N992</f>
        <v/>
      </c>
      <c r="F992" s="20" t="str">
        <f t="shared" si="30"/>
        <v/>
      </c>
      <c r="G992" s="20" t="str">
        <f t="shared" si="31"/>
        <v/>
      </c>
    </row>
    <row r="993" spans="2:7" x14ac:dyDescent="0.2">
      <c r="B993" s="19" t="str">
        <f>IF('DDF Original'!B993="","",'DDF Original'!B993)</f>
        <v/>
      </c>
      <c r="C993" s="20" t="str">
        <f>IF('DDF Original'!C993="","",'DDF Original'!C993)</f>
        <v/>
      </c>
      <c r="D993" s="20" t="str">
        <f>IF('DDF Original'!F993="","",'DDF Original'!F993)</f>
        <v/>
      </c>
      <c r="E993" s="38" t="str">
        <f>'Recálculo Confissão (85-B)'!N993</f>
        <v/>
      </c>
      <c r="F993" s="20" t="str">
        <f t="shared" si="30"/>
        <v/>
      </c>
      <c r="G993" s="20" t="str">
        <f t="shared" si="31"/>
        <v/>
      </c>
    </row>
    <row r="994" spans="2:7" x14ac:dyDescent="0.2">
      <c r="B994" s="19" t="str">
        <f>IF('DDF Original'!B994="","",'DDF Original'!B994)</f>
        <v/>
      </c>
      <c r="C994" s="20" t="str">
        <f>IF('DDF Original'!C994="","",'DDF Original'!C994)</f>
        <v/>
      </c>
      <c r="D994" s="20" t="str">
        <f>IF('DDF Original'!F994="","",'DDF Original'!F994)</f>
        <v/>
      </c>
      <c r="E994" s="38" t="str">
        <f>'Recálculo Confissão (85-B)'!N994</f>
        <v/>
      </c>
      <c r="F994" s="20" t="str">
        <f t="shared" si="30"/>
        <v/>
      </c>
      <c r="G994" s="20" t="str">
        <f t="shared" si="31"/>
        <v/>
      </c>
    </row>
    <row r="995" spans="2:7" x14ac:dyDescent="0.2">
      <c r="B995" s="19" t="str">
        <f>IF('DDF Original'!B995="","",'DDF Original'!B995)</f>
        <v/>
      </c>
      <c r="C995" s="20" t="str">
        <f>IF('DDF Original'!C995="","",'DDF Original'!C995)</f>
        <v/>
      </c>
      <c r="D995" s="20" t="str">
        <f>IF('DDF Original'!F995="","",'DDF Original'!F995)</f>
        <v/>
      </c>
      <c r="E995" s="38" t="str">
        <f>'Recálculo Confissão (85-B)'!N995</f>
        <v/>
      </c>
      <c r="F995" s="20" t="str">
        <f t="shared" si="30"/>
        <v/>
      </c>
      <c r="G995" s="20" t="str">
        <f t="shared" si="31"/>
        <v/>
      </c>
    </row>
    <row r="996" spans="2:7" x14ac:dyDescent="0.2">
      <c r="B996" s="19" t="str">
        <f>IF('DDF Original'!B996="","",'DDF Original'!B996)</f>
        <v/>
      </c>
      <c r="C996" s="20" t="str">
        <f>IF('DDF Original'!C996="","",'DDF Original'!C996)</f>
        <v/>
      </c>
      <c r="D996" s="20" t="str">
        <f>IF('DDF Original'!F996="","",'DDF Original'!F996)</f>
        <v/>
      </c>
      <c r="E996" s="38" t="str">
        <f>'Recálculo Confissão (85-B)'!N996</f>
        <v/>
      </c>
      <c r="F996" s="20" t="str">
        <f t="shared" si="30"/>
        <v/>
      </c>
      <c r="G996" s="20" t="str">
        <f t="shared" si="31"/>
        <v/>
      </c>
    </row>
    <row r="997" spans="2:7" x14ac:dyDescent="0.2">
      <c r="B997" s="19" t="str">
        <f>IF('DDF Original'!B997="","",'DDF Original'!B997)</f>
        <v/>
      </c>
      <c r="C997" s="20" t="str">
        <f>IF('DDF Original'!C997="","",'DDF Original'!C997)</f>
        <v/>
      </c>
      <c r="D997" s="20" t="str">
        <f>IF('DDF Original'!F997="","",'DDF Original'!F997)</f>
        <v/>
      </c>
      <c r="E997" s="38" t="str">
        <f>'Recálculo Confissão (85-B)'!N997</f>
        <v/>
      </c>
      <c r="F997" s="20" t="str">
        <f t="shared" si="30"/>
        <v/>
      </c>
      <c r="G997" s="20" t="str">
        <f t="shared" si="31"/>
        <v/>
      </c>
    </row>
    <row r="998" spans="2:7" x14ac:dyDescent="0.2">
      <c r="B998" s="19" t="str">
        <f>IF('DDF Original'!B998="","",'DDF Original'!B998)</f>
        <v/>
      </c>
      <c r="C998" s="20" t="str">
        <f>IF('DDF Original'!C998="","",'DDF Original'!C998)</f>
        <v/>
      </c>
      <c r="D998" s="20" t="str">
        <f>IF('DDF Original'!F998="","",'DDF Original'!F998)</f>
        <v/>
      </c>
      <c r="E998" s="38" t="str">
        <f>'Recálculo Confissão (85-B)'!N998</f>
        <v/>
      </c>
      <c r="F998" s="20" t="str">
        <f t="shared" si="30"/>
        <v/>
      </c>
      <c r="G998" s="20" t="str">
        <f t="shared" si="31"/>
        <v/>
      </c>
    </row>
    <row r="999" spans="2:7" x14ac:dyDescent="0.2">
      <c r="B999" s="19" t="str">
        <f>IF('DDF Original'!B999="","",'DDF Original'!B999)</f>
        <v/>
      </c>
      <c r="C999" s="20" t="str">
        <f>IF('DDF Original'!C999="","",'DDF Original'!C999)</f>
        <v/>
      </c>
      <c r="D999" s="20" t="str">
        <f>IF('DDF Original'!F999="","",'DDF Original'!F999)</f>
        <v/>
      </c>
      <c r="E999" s="38" t="str">
        <f>'Recálculo Confissão (85-B)'!N999</f>
        <v/>
      </c>
      <c r="F999" s="20" t="str">
        <f t="shared" si="30"/>
        <v/>
      </c>
      <c r="G999" s="20" t="str">
        <f t="shared" si="31"/>
        <v/>
      </c>
    </row>
    <row r="1000" spans="2:7" x14ac:dyDescent="0.2">
      <c r="B1000" s="19" t="str">
        <f>IF('DDF Original'!B1000="","",'DDF Original'!B1000)</f>
        <v/>
      </c>
      <c r="C1000" s="20" t="str">
        <f>IF('DDF Original'!C1000="","",'DDF Original'!C1000)</f>
        <v/>
      </c>
      <c r="D1000" s="20" t="str">
        <f>IF('DDF Original'!F1000="","",'DDF Original'!F1000)</f>
        <v/>
      </c>
      <c r="E1000" s="38" t="str">
        <f>'Recálculo Confissão (85-B)'!N1000</f>
        <v/>
      </c>
      <c r="F1000" s="20" t="str">
        <f t="shared" si="30"/>
        <v/>
      </c>
      <c r="G1000" s="20" t="str">
        <f t="shared" si="31"/>
        <v/>
      </c>
    </row>
    <row r="1001" spans="2:7" x14ac:dyDescent="0.2">
      <c r="B1001" s="19" t="str">
        <f>IF('DDF Original'!B1001="","",'DDF Original'!B1001)</f>
        <v/>
      </c>
      <c r="C1001" s="20" t="str">
        <f>IF('DDF Original'!C1001="","",'DDF Original'!C1001)</f>
        <v/>
      </c>
      <c r="D1001" s="20" t="str">
        <f>IF('DDF Original'!F1001="","",'DDF Original'!F1001)</f>
        <v/>
      </c>
      <c r="E1001" s="38" t="str">
        <f>'Recálculo Confissão (85-B)'!N1001</f>
        <v/>
      </c>
      <c r="F1001" s="20" t="str">
        <f t="shared" si="30"/>
        <v/>
      </c>
      <c r="G1001" s="20" t="str">
        <f t="shared" si="31"/>
        <v/>
      </c>
    </row>
    <row r="1002" spans="2:7" x14ac:dyDescent="0.2">
      <c r="B1002" s="19" t="str">
        <f>IF('DDF Original'!B1002="","",'DDF Original'!B1002)</f>
        <v/>
      </c>
      <c r="C1002" s="20" t="str">
        <f>IF('DDF Original'!C1002="","",'DDF Original'!C1002)</f>
        <v/>
      </c>
      <c r="D1002" s="20" t="str">
        <f>IF('DDF Original'!F1002="","",'DDF Original'!F1002)</f>
        <v/>
      </c>
      <c r="E1002" s="38" t="str">
        <f>'Recálculo Confissão (85-B)'!N1002</f>
        <v/>
      </c>
      <c r="F1002" s="20" t="str">
        <f t="shared" si="30"/>
        <v/>
      </c>
      <c r="G1002" s="20" t="str">
        <f t="shared" si="31"/>
        <v/>
      </c>
    </row>
    <row r="1003" spans="2:7" x14ac:dyDescent="0.2">
      <c r="B1003" s="19" t="str">
        <f>IF('DDF Original'!B1003="","",'DDF Original'!B1003)</f>
        <v/>
      </c>
      <c r="C1003" s="20" t="str">
        <f>IF('DDF Original'!C1003="","",'DDF Original'!C1003)</f>
        <v/>
      </c>
      <c r="D1003" s="20" t="str">
        <f>IF('DDF Original'!F1003="","",'DDF Original'!F1003)</f>
        <v/>
      </c>
      <c r="E1003" s="38" t="str">
        <f>'Recálculo Confissão (85-B)'!N1003</f>
        <v/>
      </c>
      <c r="F1003" s="20" t="str">
        <f t="shared" si="30"/>
        <v/>
      </c>
      <c r="G1003" s="20" t="str">
        <f t="shared" si="31"/>
        <v/>
      </c>
    </row>
    <row r="1004" spans="2:7" x14ac:dyDescent="0.2">
      <c r="B1004" s="19" t="str">
        <f>IF('DDF Original'!B1004="","",'DDF Original'!B1004)</f>
        <v/>
      </c>
      <c r="C1004" s="20" t="str">
        <f>IF('DDF Original'!C1004="","",'DDF Original'!C1004)</f>
        <v/>
      </c>
      <c r="D1004" s="20" t="str">
        <f>IF('DDF Original'!F1004="","",'DDF Original'!F1004)</f>
        <v/>
      </c>
      <c r="E1004" s="38" t="str">
        <f>'Recálculo Confissão (85-B)'!N1004</f>
        <v/>
      </c>
      <c r="F1004" s="20" t="str">
        <f t="shared" si="30"/>
        <v/>
      </c>
      <c r="G1004" s="20" t="str">
        <f t="shared" si="31"/>
        <v/>
      </c>
    </row>
    <row r="1005" spans="2:7" x14ac:dyDescent="0.2">
      <c r="B1005" s="19" t="str">
        <f>IF('DDF Original'!B1005="","",'DDF Original'!B1005)</f>
        <v/>
      </c>
      <c r="C1005" s="20" t="str">
        <f>IF('DDF Original'!C1005="","",'DDF Original'!C1005)</f>
        <v/>
      </c>
      <c r="D1005" s="20" t="str">
        <f>IF('DDF Original'!F1005="","",'DDF Original'!F1005)</f>
        <v/>
      </c>
      <c r="E1005" s="38" t="str">
        <f>'Recálculo Confissão (85-B)'!N1005</f>
        <v/>
      </c>
      <c r="F1005" s="20" t="str">
        <f t="shared" si="30"/>
        <v/>
      </c>
      <c r="G1005" s="20" t="str">
        <f t="shared" si="31"/>
        <v/>
      </c>
    </row>
    <row r="1006" spans="2:7" x14ac:dyDescent="0.2">
      <c r="B1006" s="19" t="str">
        <f>IF('DDF Original'!B1006="","",'DDF Original'!B1006)</f>
        <v/>
      </c>
      <c r="C1006" s="20" t="str">
        <f>IF('DDF Original'!C1006="","",'DDF Original'!C1006)</f>
        <v/>
      </c>
      <c r="D1006" s="20" t="str">
        <f>IF('DDF Original'!F1006="","",'DDF Original'!F1006)</f>
        <v/>
      </c>
      <c r="E1006" s="38" t="str">
        <f>'Recálculo Confissão (85-B)'!N1006</f>
        <v/>
      </c>
      <c r="F1006" s="20" t="str">
        <f t="shared" si="30"/>
        <v/>
      </c>
      <c r="G1006" s="20" t="str">
        <f t="shared" si="31"/>
        <v/>
      </c>
    </row>
    <row r="1007" spans="2:7" x14ac:dyDescent="0.2">
      <c r="B1007" s="19" t="str">
        <f>IF('DDF Original'!B1007="","",'DDF Original'!B1007)</f>
        <v/>
      </c>
      <c r="C1007" s="20" t="str">
        <f>IF('DDF Original'!C1007="","",'DDF Original'!C1007)</f>
        <v/>
      </c>
      <c r="D1007" s="20" t="str">
        <f>IF('DDF Original'!F1007="","",'DDF Original'!F1007)</f>
        <v/>
      </c>
      <c r="E1007" s="38" t="str">
        <f>'Recálculo Confissão (85-B)'!N1007</f>
        <v/>
      </c>
      <c r="F1007" s="20" t="str">
        <f t="shared" si="30"/>
        <v/>
      </c>
      <c r="G1007" s="20" t="str">
        <f t="shared" si="31"/>
        <v/>
      </c>
    </row>
    <row r="1008" spans="2:7" x14ac:dyDescent="0.2">
      <c r="B1008" s="19" t="str">
        <f>IF('DDF Original'!B1008="","",'DDF Original'!B1008)</f>
        <v/>
      </c>
      <c r="C1008" s="20" t="str">
        <f>IF('DDF Original'!C1008="","",'DDF Original'!C1008)</f>
        <v/>
      </c>
      <c r="D1008" s="20" t="str">
        <f>IF('DDF Original'!F1008="","",'DDF Original'!F1008)</f>
        <v/>
      </c>
      <c r="E1008" s="38" t="str">
        <f>'Recálculo Confissão (85-B)'!N1008</f>
        <v/>
      </c>
      <c r="F1008" s="20" t="str">
        <f t="shared" si="30"/>
        <v/>
      </c>
      <c r="G1008" s="20" t="str">
        <f t="shared" si="31"/>
        <v/>
      </c>
    </row>
    <row r="1009" spans="2:7" x14ac:dyDescent="0.2">
      <c r="B1009" s="19" t="str">
        <f>IF('DDF Original'!B1009="","",'DDF Original'!B1009)</f>
        <v/>
      </c>
      <c r="C1009" s="20" t="str">
        <f>IF('DDF Original'!C1009="","",'DDF Original'!C1009)</f>
        <v/>
      </c>
      <c r="D1009" s="20" t="str">
        <f>IF('DDF Original'!F1009="","",'DDF Original'!F1009)</f>
        <v/>
      </c>
      <c r="E1009" s="38" t="str">
        <f>'Recálculo Confissão (85-B)'!N1009</f>
        <v/>
      </c>
      <c r="F1009" s="20" t="str">
        <f t="shared" si="30"/>
        <v/>
      </c>
      <c r="G1009" s="20" t="str">
        <f t="shared" si="31"/>
        <v/>
      </c>
    </row>
    <row r="1010" spans="2:7" x14ac:dyDescent="0.2">
      <c r="B1010" s="19" t="str">
        <f>IF('DDF Original'!B1010="","",'DDF Original'!B1010)</f>
        <v/>
      </c>
      <c r="C1010" s="20" t="str">
        <f>IF('DDF Original'!C1010="","",'DDF Original'!C1010)</f>
        <v/>
      </c>
      <c r="D1010" s="20" t="str">
        <f>IF('DDF Original'!F1010="","",'DDF Original'!F1010)</f>
        <v/>
      </c>
      <c r="E1010" s="38" t="str">
        <f>'Recálculo Confissão (85-B)'!N1010</f>
        <v/>
      </c>
      <c r="F1010" s="20" t="str">
        <f t="shared" si="30"/>
        <v/>
      </c>
      <c r="G1010" s="20" t="str">
        <f t="shared" si="31"/>
        <v/>
      </c>
    </row>
    <row r="1011" spans="2:7" x14ac:dyDescent="0.2">
      <c r="B1011" s="19" t="str">
        <f>IF('DDF Original'!B1011="","",'DDF Original'!B1011)</f>
        <v/>
      </c>
      <c r="C1011" s="20" t="str">
        <f>IF('DDF Original'!C1011="","",'DDF Original'!C1011)</f>
        <v/>
      </c>
      <c r="D1011" s="20" t="str">
        <f>IF('DDF Original'!F1011="","",'DDF Original'!F1011)</f>
        <v/>
      </c>
      <c r="E1011" s="38" t="str">
        <f>'Recálculo Confissão (85-B)'!N1011</f>
        <v/>
      </c>
      <c r="F1011" s="20" t="str">
        <f t="shared" si="30"/>
        <v/>
      </c>
      <c r="G1011" s="20" t="str">
        <f t="shared" si="31"/>
        <v/>
      </c>
    </row>
    <row r="1012" spans="2:7" x14ac:dyDescent="0.2">
      <c r="B1012" s="19" t="str">
        <f>IF('DDF Original'!B1012="","",'DDF Original'!B1012)</f>
        <v/>
      </c>
      <c r="C1012" s="20" t="str">
        <f>IF('DDF Original'!C1012="","",'DDF Original'!C1012)</f>
        <v/>
      </c>
      <c r="D1012" s="20" t="str">
        <f>IF('DDF Original'!F1012="","",'DDF Original'!F1012)</f>
        <v/>
      </c>
      <c r="E1012" s="38" t="str">
        <f>'Recálculo Confissão (85-B)'!N1012</f>
        <v/>
      </c>
      <c r="F1012" s="20" t="str">
        <f t="shared" si="30"/>
        <v/>
      </c>
      <c r="G1012" s="20" t="str">
        <f t="shared" si="31"/>
        <v/>
      </c>
    </row>
    <row r="1013" spans="2:7" x14ac:dyDescent="0.2">
      <c r="B1013" s="19" t="str">
        <f>IF('DDF Original'!B1013="","",'DDF Original'!B1013)</f>
        <v/>
      </c>
      <c r="C1013" s="20" t="str">
        <f>IF('DDF Original'!C1013="","",'DDF Original'!C1013)</f>
        <v/>
      </c>
      <c r="D1013" s="20" t="str">
        <f>IF('DDF Original'!F1013="","",'DDF Original'!F1013)</f>
        <v/>
      </c>
      <c r="E1013" s="38" t="str">
        <f>'Recálculo Confissão (85-B)'!N1013</f>
        <v/>
      </c>
      <c r="F1013" s="20" t="str">
        <f t="shared" si="30"/>
        <v/>
      </c>
      <c r="G1013" s="20" t="str">
        <f t="shared" si="31"/>
        <v/>
      </c>
    </row>
    <row r="1014" spans="2:7" x14ac:dyDescent="0.2">
      <c r="B1014" s="19" t="str">
        <f>IF('DDF Original'!B1014="","",'DDF Original'!B1014)</f>
        <v/>
      </c>
      <c r="C1014" s="20" t="str">
        <f>IF('DDF Original'!C1014="","",'DDF Original'!C1014)</f>
        <v/>
      </c>
      <c r="D1014" s="20" t="str">
        <f>IF('DDF Original'!F1014="","",'DDF Original'!F1014)</f>
        <v/>
      </c>
      <c r="E1014" s="38" t="str">
        <f>'Recálculo Confissão (85-B)'!N1014</f>
        <v/>
      </c>
      <c r="F1014" s="20" t="str">
        <f t="shared" si="30"/>
        <v/>
      </c>
      <c r="G1014" s="20" t="str">
        <f t="shared" si="31"/>
        <v/>
      </c>
    </row>
    <row r="1015" spans="2:7" x14ac:dyDescent="0.2">
      <c r="B1015" s="19" t="str">
        <f>IF('DDF Original'!B1015="","",'DDF Original'!B1015)</f>
        <v/>
      </c>
      <c r="C1015" s="20" t="str">
        <f>IF('DDF Original'!C1015="","",'DDF Original'!C1015)</f>
        <v/>
      </c>
      <c r="D1015" s="20" t="str">
        <f>IF('DDF Original'!F1015="","",'DDF Original'!F1015)</f>
        <v/>
      </c>
      <c r="E1015" s="38" t="str">
        <f>'Recálculo Confissão (85-B)'!N1015</f>
        <v/>
      </c>
      <c r="F1015" s="20" t="str">
        <f t="shared" si="30"/>
        <v/>
      </c>
      <c r="G1015" s="20" t="str">
        <f t="shared" si="31"/>
        <v/>
      </c>
    </row>
    <row r="1016" spans="2:7" x14ac:dyDescent="0.2">
      <c r="B1016" s="19" t="str">
        <f>IF('DDF Original'!B1016="","",'DDF Original'!B1016)</f>
        <v/>
      </c>
      <c r="C1016" s="20" t="str">
        <f>IF('DDF Original'!C1016="","",'DDF Original'!C1016)</f>
        <v/>
      </c>
      <c r="D1016" s="20" t="str">
        <f>IF('DDF Original'!F1016="","",'DDF Original'!F1016)</f>
        <v/>
      </c>
      <c r="E1016" s="38" t="str">
        <f>'Recálculo Confissão (85-B)'!N1016</f>
        <v/>
      </c>
      <c r="F1016" s="20" t="str">
        <f t="shared" si="30"/>
        <v/>
      </c>
      <c r="G1016" s="20" t="str">
        <f t="shared" si="31"/>
        <v/>
      </c>
    </row>
    <row r="1017" spans="2:7" x14ac:dyDescent="0.2">
      <c r="B1017" s="19" t="str">
        <f>IF('DDF Original'!B1017="","",'DDF Original'!B1017)</f>
        <v/>
      </c>
      <c r="C1017" s="20" t="str">
        <f>IF('DDF Original'!C1017="","",'DDF Original'!C1017)</f>
        <v/>
      </c>
      <c r="D1017" s="20" t="str">
        <f>IF('DDF Original'!F1017="","",'DDF Original'!F1017)</f>
        <v/>
      </c>
      <c r="E1017" s="38" t="str">
        <f>'Recálculo Confissão (85-B)'!N1017</f>
        <v/>
      </c>
      <c r="F1017" s="20" t="str">
        <f t="shared" si="30"/>
        <v/>
      </c>
      <c r="G1017" s="20" t="str">
        <f t="shared" si="31"/>
        <v/>
      </c>
    </row>
    <row r="1018" spans="2:7" x14ac:dyDescent="0.2">
      <c r="B1018" s="19" t="str">
        <f>IF('DDF Original'!B1018="","",'DDF Original'!B1018)</f>
        <v/>
      </c>
      <c r="C1018" s="20" t="str">
        <f>IF('DDF Original'!C1018="","",'DDF Original'!C1018)</f>
        <v/>
      </c>
      <c r="D1018" s="20" t="str">
        <f>IF('DDF Original'!F1018="","",'DDF Original'!F1018)</f>
        <v/>
      </c>
      <c r="E1018" s="38" t="str">
        <f>'Recálculo Confissão (85-B)'!N1018</f>
        <v/>
      </c>
      <c r="F1018" s="20" t="str">
        <f t="shared" si="30"/>
        <v/>
      </c>
      <c r="G1018" s="20" t="str">
        <f t="shared" si="31"/>
        <v/>
      </c>
    </row>
    <row r="1019" spans="2:7" x14ac:dyDescent="0.2">
      <c r="B1019" s="19" t="str">
        <f>IF('DDF Original'!B1019="","",'DDF Original'!B1019)</f>
        <v/>
      </c>
      <c r="C1019" s="20" t="str">
        <f>IF('DDF Original'!C1019="","",'DDF Original'!C1019)</f>
        <v/>
      </c>
      <c r="D1019" s="20" t="str">
        <f>IF('DDF Original'!F1019="","",'DDF Original'!F1019)</f>
        <v/>
      </c>
      <c r="E1019" s="38" t="str">
        <f>'Recálculo Confissão (85-B)'!N1019</f>
        <v/>
      </c>
      <c r="F1019" s="20" t="str">
        <f t="shared" si="30"/>
        <v/>
      </c>
      <c r="G1019" s="20" t="str">
        <f t="shared" si="31"/>
        <v/>
      </c>
    </row>
    <row r="1020" spans="2:7" x14ac:dyDescent="0.2">
      <c r="B1020" s="19" t="str">
        <f>IF('DDF Original'!B1020="","",'DDF Original'!B1020)</f>
        <v/>
      </c>
      <c r="C1020" s="20" t="str">
        <f>IF('DDF Original'!C1020="","",'DDF Original'!C1020)</f>
        <v/>
      </c>
      <c r="D1020" s="20" t="str">
        <f>IF('DDF Original'!F1020="","",'DDF Original'!F1020)</f>
        <v/>
      </c>
      <c r="E1020" s="38" t="str">
        <f>'Recálculo Confissão (85-B)'!N1020</f>
        <v/>
      </c>
      <c r="F1020" s="20" t="str">
        <f t="shared" si="30"/>
        <v/>
      </c>
      <c r="G1020" s="20" t="str">
        <f t="shared" si="31"/>
        <v/>
      </c>
    </row>
    <row r="1021" spans="2:7" x14ac:dyDescent="0.2">
      <c r="B1021" s="19" t="str">
        <f>IF('DDF Original'!B1021="","",'DDF Original'!B1021)</f>
        <v/>
      </c>
      <c r="C1021" s="20" t="str">
        <f>IF('DDF Original'!C1021="","",'DDF Original'!C1021)</f>
        <v/>
      </c>
      <c r="D1021" s="20" t="str">
        <f>IF('DDF Original'!F1021="","",'DDF Original'!F1021)</f>
        <v/>
      </c>
      <c r="E1021" s="38" t="str">
        <f>'Recálculo Confissão (85-B)'!N1021</f>
        <v/>
      </c>
      <c r="F1021" s="20" t="str">
        <f t="shared" ref="F1021:F1084" si="32">IF(E1021="","",ROUND(E1021*(1-70%),2))</f>
        <v/>
      </c>
      <c r="G1021" s="20" t="str">
        <f t="shared" ref="G1021:G1084" si="33">IF(E1021="","",ROUND(E1021*(1-60%),2))</f>
        <v/>
      </c>
    </row>
    <row r="1022" spans="2:7" x14ac:dyDescent="0.2">
      <c r="B1022" s="19" t="str">
        <f>IF('DDF Original'!B1022="","",'DDF Original'!B1022)</f>
        <v/>
      </c>
      <c r="C1022" s="20" t="str">
        <f>IF('DDF Original'!C1022="","",'DDF Original'!C1022)</f>
        <v/>
      </c>
      <c r="D1022" s="20" t="str">
        <f>IF('DDF Original'!F1022="","",'DDF Original'!F1022)</f>
        <v/>
      </c>
      <c r="E1022" s="38" t="str">
        <f>'Recálculo Confissão (85-B)'!N1022</f>
        <v/>
      </c>
      <c r="F1022" s="20" t="str">
        <f t="shared" si="32"/>
        <v/>
      </c>
      <c r="G1022" s="20" t="str">
        <f t="shared" si="33"/>
        <v/>
      </c>
    </row>
    <row r="1023" spans="2:7" x14ac:dyDescent="0.2">
      <c r="B1023" s="19" t="str">
        <f>IF('DDF Original'!B1023="","",'DDF Original'!B1023)</f>
        <v/>
      </c>
      <c r="C1023" s="20" t="str">
        <f>IF('DDF Original'!C1023="","",'DDF Original'!C1023)</f>
        <v/>
      </c>
      <c r="D1023" s="20" t="str">
        <f>IF('DDF Original'!F1023="","",'DDF Original'!F1023)</f>
        <v/>
      </c>
      <c r="E1023" s="38" t="str">
        <f>'Recálculo Confissão (85-B)'!N1023</f>
        <v/>
      </c>
      <c r="F1023" s="20" t="str">
        <f t="shared" si="32"/>
        <v/>
      </c>
      <c r="G1023" s="20" t="str">
        <f t="shared" si="33"/>
        <v/>
      </c>
    </row>
    <row r="1024" spans="2:7" x14ac:dyDescent="0.2">
      <c r="B1024" s="19" t="str">
        <f>IF('DDF Original'!B1024="","",'DDF Original'!B1024)</f>
        <v/>
      </c>
      <c r="C1024" s="20" t="str">
        <f>IF('DDF Original'!C1024="","",'DDF Original'!C1024)</f>
        <v/>
      </c>
      <c r="D1024" s="20" t="str">
        <f>IF('DDF Original'!F1024="","",'DDF Original'!F1024)</f>
        <v/>
      </c>
      <c r="E1024" s="38" t="str">
        <f>'Recálculo Confissão (85-B)'!N1024</f>
        <v/>
      </c>
      <c r="F1024" s="20" t="str">
        <f t="shared" si="32"/>
        <v/>
      </c>
      <c r="G1024" s="20" t="str">
        <f t="shared" si="33"/>
        <v/>
      </c>
    </row>
    <row r="1025" spans="2:7" x14ac:dyDescent="0.2">
      <c r="B1025" s="19" t="str">
        <f>IF('DDF Original'!B1025="","",'DDF Original'!B1025)</f>
        <v/>
      </c>
      <c r="C1025" s="20" t="str">
        <f>IF('DDF Original'!C1025="","",'DDF Original'!C1025)</f>
        <v/>
      </c>
      <c r="D1025" s="20" t="str">
        <f>IF('DDF Original'!F1025="","",'DDF Original'!F1025)</f>
        <v/>
      </c>
      <c r="E1025" s="38" t="str">
        <f>'Recálculo Confissão (85-B)'!N1025</f>
        <v/>
      </c>
      <c r="F1025" s="20" t="str">
        <f t="shared" si="32"/>
        <v/>
      </c>
      <c r="G1025" s="20" t="str">
        <f t="shared" si="33"/>
        <v/>
      </c>
    </row>
    <row r="1026" spans="2:7" x14ac:dyDescent="0.2">
      <c r="B1026" s="19" t="str">
        <f>IF('DDF Original'!B1026="","",'DDF Original'!B1026)</f>
        <v/>
      </c>
      <c r="C1026" s="20" t="str">
        <f>IF('DDF Original'!C1026="","",'DDF Original'!C1026)</f>
        <v/>
      </c>
      <c r="D1026" s="20" t="str">
        <f>IF('DDF Original'!F1026="","",'DDF Original'!F1026)</f>
        <v/>
      </c>
      <c r="E1026" s="38" t="str">
        <f>'Recálculo Confissão (85-B)'!N1026</f>
        <v/>
      </c>
      <c r="F1026" s="20" t="str">
        <f t="shared" si="32"/>
        <v/>
      </c>
      <c r="G1026" s="20" t="str">
        <f t="shared" si="33"/>
        <v/>
      </c>
    </row>
    <row r="1027" spans="2:7" x14ac:dyDescent="0.2">
      <c r="B1027" s="19" t="str">
        <f>IF('DDF Original'!B1027="","",'DDF Original'!B1027)</f>
        <v/>
      </c>
      <c r="C1027" s="20" t="str">
        <f>IF('DDF Original'!C1027="","",'DDF Original'!C1027)</f>
        <v/>
      </c>
      <c r="D1027" s="20" t="str">
        <f>IF('DDF Original'!F1027="","",'DDF Original'!F1027)</f>
        <v/>
      </c>
      <c r="E1027" s="38" t="str">
        <f>'Recálculo Confissão (85-B)'!N1027</f>
        <v/>
      </c>
      <c r="F1027" s="20" t="str">
        <f t="shared" si="32"/>
        <v/>
      </c>
      <c r="G1027" s="20" t="str">
        <f t="shared" si="33"/>
        <v/>
      </c>
    </row>
    <row r="1028" spans="2:7" x14ac:dyDescent="0.2">
      <c r="B1028" s="19" t="str">
        <f>IF('DDF Original'!B1028="","",'DDF Original'!B1028)</f>
        <v/>
      </c>
      <c r="C1028" s="20" t="str">
        <f>IF('DDF Original'!C1028="","",'DDF Original'!C1028)</f>
        <v/>
      </c>
      <c r="D1028" s="20" t="str">
        <f>IF('DDF Original'!F1028="","",'DDF Original'!F1028)</f>
        <v/>
      </c>
      <c r="E1028" s="38" t="str">
        <f>'Recálculo Confissão (85-B)'!N1028</f>
        <v/>
      </c>
      <c r="F1028" s="20" t="str">
        <f t="shared" si="32"/>
        <v/>
      </c>
      <c r="G1028" s="20" t="str">
        <f t="shared" si="33"/>
        <v/>
      </c>
    </row>
    <row r="1029" spans="2:7" x14ac:dyDescent="0.2">
      <c r="B1029" s="19" t="str">
        <f>IF('DDF Original'!B1029="","",'DDF Original'!B1029)</f>
        <v/>
      </c>
      <c r="C1029" s="20" t="str">
        <f>IF('DDF Original'!C1029="","",'DDF Original'!C1029)</f>
        <v/>
      </c>
      <c r="D1029" s="20" t="str">
        <f>IF('DDF Original'!F1029="","",'DDF Original'!F1029)</f>
        <v/>
      </c>
      <c r="E1029" s="38" t="str">
        <f>'Recálculo Confissão (85-B)'!N1029</f>
        <v/>
      </c>
      <c r="F1029" s="20" t="str">
        <f t="shared" si="32"/>
        <v/>
      </c>
      <c r="G1029" s="20" t="str">
        <f t="shared" si="33"/>
        <v/>
      </c>
    </row>
    <row r="1030" spans="2:7" x14ac:dyDescent="0.2">
      <c r="B1030" s="19" t="str">
        <f>IF('DDF Original'!B1030="","",'DDF Original'!B1030)</f>
        <v/>
      </c>
      <c r="C1030" s="20" t="str">
        <f>IF('DDF Original'!C1030="","",'DDF Original'!C1030)</f>
        <v/>
      </c>
      <c r="D1030" s="20" t="str">
        <f>IF('DDF Original'!F1030="","",'DDF Original'!F1030)</f>
        <v/>
      </c>
      <c r="E1030" s="38" t="str">
        <f>'Recálculo Confissão (85-B)'!N1030</f>
        <v/>
      </c>
      <c r="F1030" s="20" t="str">
        <f t="shared" si="32"/>
        <v/>
      </c>
      <c r="G1030" s="20" t="str">
        <f t="shared" si="33"/>
        <v/>
      </c>
    </row>
    <row r="1031" spans="2:7" x14ac:dyDescent="0.2">
      <c r="B1031" s="19" t="str">
        <f>IF('DDF Original'!B1031="","",'DDF Original'!B1031)</f>
        <v/>
      </c>
      <c r="C1031" s="20" t="str">
        <f>IF('DDF Original'!C1031="","",'DDF Original'!C1031)</f>
        <v/>
      </c>
      <c r="D1031" s="20" t="str">
        <f>IF('DDF Original'!F1031="","",'DDF Original'!F1031)</f>
        <v/>
      </c>
      <c r="E1031" s="38" t="str">
        <f>'Recálculo Confissão (85-B)'!N1031</f>
        <v/>
      </c>
      <c r="F1031" s="20" t="str">
        <f t="shared" si="32"/>
        <v/>
      </c>
      <c r="G1031" s="20" t="str">
        <f t="shared" si="33"/>
        <v/>
      </c>
    </row>
    <row r="1032" spans="2:7" x14ac:dyDescent="0.2">
      <c r="B1032" s="19" t="str">
        <f>IF('DDF Original'!B1032="","",'DDF Original'!B1032)</f>
        <v/>
      </c>
      <c r="C1032" s="20" t="str">
        <f>IF('DDF Original'!C1032="","",'DDF Original'!C1032)</f>
        <v/>
      </c>
      <c r="D1032" s="20" t="str">
        <f>IF('DDF Original'!F1032="","",'DDF Original'!F1032)</f>
        <v/>
      </c>
      <c r="E1032" s="38" t="str">
        <f>'Recálculo Confissão (85-B)'!N1032</f>
        <v/>
      </c>
      <c r="F1032" s="20" t="str">
        <f t="shared" si="32"/>
        <v/>
      </c>
      <c r="G1032" s="20" t="str">
        <f t="shared" si="33"/>
        <v/>
      </c>
    </row>
    <row r="1033" spans="2:7" x14ac:dyDescent="0.2">
      <c r="B1033" s="19" t="str">
        <f>IF('DDF Original'!B1033="","",'DDF Original'!B1033)</f>
        <v/>
      </c>
      <c r="C1033" s="20" t="str">
        <f>IF('DDF Original'!C1033="","",'DDF Original'!C1033)</f>
        <v/>
      </c>
      <c r="D1033" s="20" t="str">
        <f>IF('DDF Original'!F1033="","",'DDF Original'!F1033)</f>
        <v/>
      </c>
      <c r="E1033" s="38" t="str">
        <f>'Recálculo Confissão (85-B)'!N1033</f>
        <v/>
      </c>
      <c r="F1033" s="20" t="str">
        <f t="shared" si="32"/>
        <v/>
      </c>
      <c r="G1033" s="20" t="str">
        <f t="shared" si="33"/>
        <v/>
      </c>
    </row>
    <row r="1034" spans="2:7" x14ac:dyDescent="0.2">
      <c r="B1034" s="19" t="str">
        <f>IF('DDF Original'!B1034="","",'DDF Original'!B1034)</f>
        <v/>
      </c>
      <c r="C1034" s="20" t="str">
        <f>IF('DDF Original'!C1034="","",'DDF Original'!C1034)</f>
        <v/>
      </c>
      <c r="D1034" s="20" t="str">
        <f>IF('DDF Original'!F1034="","",'DDF Original'!F1034)</f>
        <v/>
      </c>
      <c r="E1034" s="38" t="str">
        <f>'Recálculo Confissão (85-B)'!N1034</f>
        <v/>
      </c>
      <c r="F1034" s="20" t="str">
        <f t="shared" si="32"/>
        <v/>
      </c>
      <c r="G1034" s="20" t="str">
        <f t="shared" si="33"/>
        <v/>
      </c>
    </row>
    <row r="1035" spans="2:7" x14ac:dyDescent="0.2">
      <c r="B1035" s="19" t="str">
        <f>IF('DDF Original'!B1035="","",'DDF Original'!B1035)</f>
        <v/>
      </c>
      <c r="C1035" s="20" t="str">
        <f>IF('DDF Original'!C1035="","",'DDF Original'!C1035)</f>
        <v/>
      </c>
      <c r="D1035" s="20" t="str">
        <f>IF('DDF Original'!F1035="","",'DDF Original'!F1035)</f>
        <v/>
      </c>
      <c r="E1035" s="38" t="str">
        <f>'Recálculo Confissão (85-B)'!N1035</f>
        <v/>
      </c>
      <c r="F1035" s="20" t="str">
        <f t="shared" si="32"/>
        <v/>
      </c>
      <c r="G1035" s="20" t="str">
        <f t="shared" si="33"/>
        <v/>
      </c>
    </row>
    <row r="1036" spans="2:7" x14ac:dyDescent="0.2">
      <c r="B1036" s="19" t="str">
        <f>IF('DDF Original'!B1036="","",'DDF Original'!B1036)</f>
        <v/>
      </c>
      <c r="C1036" s="20" t="str">
        <f>IF('DDF Original'!C1036="","",'DDF Original'!C1036)</f>
        <v/>
      </c>
      <c r="D1036" s="20" t="str">
        <f>IF('DDF Original'!F1036="","",'DDF Original'!F1036)</f>
        <v/>
      </c>
      <c r="E1036" s="38" t="str">
        <f>'Recálculo Confissão (85-B)'!N1036</f>
        <v/>
      </c>
      <c r="F1036" s="20" t="str">
        <f t="shared" si="32"/>
        <v/>
      </c>
      <c r="G1036" s="20" t="str">
        <f t="shared" si="33"/>
        <v/>
      </c>
    </row>
    <row r="1037" spans="2:7" x14ac:dyDescent="0.2">
      <c r="B1037" s="19" t="str">
        <f>IF('DDF Original'!B1037="","",'DDF Original'!B1037)</f>
        <v/>
      </c>
      <c r="C1037" s="20" t="str">
        <f>IF('DDF Original'!C1037="","",'DDF Original'!C1037)</f>
        <v/>
      </c>
      <c r="D1037" s="20" t="str">
        <f>IF('DDF Original'!F1037="","",'DDF Original'!F1037)</f>
        <v/>
      </c>
      <c r="E1037" s="38" t="str">
        <f>'Recálculo Confissão (85-B)'!N1037</f>
        <v/>
      </c>
      <c r="F1037" s="20" t="str">
        <f t="shared" si="32"/>
        <v/>
      </c>
      <c r="G1037" s="20" t="str">
        <f t="shared" si="33"/>
        <v/>
      </c>
    </row>
    <row r="1038" spans="2:7" x14ac:dyDescent="0.2">
      <c r="B1038" s="19" t="str">
        <f>IF('DDF Original'!B1038="","",'DDF Original'!B1038)</f>
        <v/>
      </c>
      <c r="C1038" s="20" t="str">
        <f>IF('DDF Original'!C1038="","",'DDF Original'!C1038)</f>
        <v/>
      </c>
      <c r="D1038" s="20" t="str">
        <f>IF('DDF Original'!F1038="","",'DDF Original'!F1038)</f>
        <v/>
      </c>
      <c r="E1038" s="38" t="str">
        <f>'Recálculo Confissão (85-B)'!N1038</f>
        <v/>
      </c>
      <c r="F1038" s="20" t="str">
        <f t="shared" si="32"/>
        <v/>
      </c>
      <c r="G1038" s="20" t="str">
        <f t="shared" si="33"/>
        <v/>
      </c>
    </row>
    <row r="1039" spans="2:7" x14ac:dyDescent="0.2">
      <c r="B1039" s="19" t="str">
        <f>IF('DDF Original'!B1039="","",'DDF Original'!B1039)</f>
        <v/>
      </c>
      <c r="C1039" s="20" t="str">
        <f>IF('DDF Original'!C1039="","",'DDF Original'!C1039)</f>
        <v/>
      </c>
      <c r="D1039" s="20" t="str">
        <f>IF('DDF Original'!F1039="","",'DDF Original'!F1039)</f>
        <v/>
      </c>
      <c r="E1039" s="38" t="str">
        <f>'Recálculo Confissão (85-B)'!N1039</f>
        <v/>
      </c>
      <c r="F1039" s="20" t="str">
        <f t="shared" si="32"/>
        <v/>
      </c>
      <c r="G1039" s="20" t="str">
        <f t="shared" si="33"/>
        <v/>
      </c>
    </row>
    <row r="1040" spans="2:7" x14ac:dyDescent="0.2">
      <c r="B1040" s="19" t="str">
        <f>IF('DDF Original'!B1040="","",'DDF Original'!B1040)</f>
        <v/>
      </c>
      <c r="C1040" s="20" t="str">
        <f>IF('DDF Original'!C1040="","",'DDF Original'!C1040)</f>
        <v/>
      </c>
      <c r="D1040" s="20" t="str">
        <f>IF('DDF Original'!F1040="","",'DDF Original'!F1040)</f>
        <v/>
      </c>
      <c r="E1040" s="38" t="str">
        <f>'Recálculo Confissão (85-B)'!N1040</f>
        <v/>
      </c>
      <c r="F1040" s="20" t="str">
        <f t="shared" si="32"/>
        <v/>
      </c>
      <c r="G1040" s="20" t="str">
        <f t="shared" si="33"/>
        <v/>
      </c>
    </row>
    <row r="1041" spans="2:7" x14ac:dyDescent="0.2">
      <c r="B1041" s="19" t="str">
        <f>IF('DDF Original'!B1041="","",'DDF Original'!B1041)</f>
        <v/>
      </c>
      <c r="C1041" s="20" t="str">
        <f>IF('DDF Original'!C1041="","",'DDF Original'!C1041)</f>
        <v/>
      </c>
      <c r="D1041" s="20" t="str">
        <f>IF('DDF Original'!F1041="","",'DDF Original'!F1041)</f>
        <v/>
      </c>
      <c r="E1041" s="38" t="str">
        <f>'Recálculo Confissão (85-B)'!N1041</f>
        <v/>
      </c>
      <c r="F1041" s="20" t="str">
        <f t="shared" si="32"/>
        <v/>
      </c>
      <c r="G1041" s="20" t="str">
        <f t="shared" si="33"/>
        <v/>
      </c>
    </row>
    <row r="1042" spans="2:7" x14ac:dyDescent="0.2">
      <c r="B1042" s="19" t="str">
        <f>IF('DDF Original'!B1042="","",'DDF Original'!B1042)</f>
        <v/>
      </c>
      <c r="C1042" s="20" t="str">
        <f>IF('DDF Original'!C1042="","",'DDF Original'!C1042)</f>
        <v/>
      </c>
      <c r="D1042" s="20" t="str">
        <f>IF('DDF Original'!F1042="","",'DDF Original'!F1042)</f>
        <v/>
      </c>
      <c r="E1042" s="38" t="str">
        <f>'Recálculo Confissão (85-B)'!N1042</f>
        <v/>
      </c>
      <c r="F1042" s="20" t="str">
        <f t="shared" si="32"/>
        <v/>
      </c>
      <c r="G1042" s="20" t="str">
        <f t="shared" si="33"/>
        <v/>
      </c>
    </row>
    <row r="1043" spans="2:7" x14ac:dyDescent="0.2">
      <c r="B1043" s="19" t="str">
        <f>IF('DDF Original'!B1043="","",'DDF Original'!B1043)</f>
        <v/>
      </c>
      <c r="C1043" s="20" t="str">
        <f>IF('DDF Original'!C1043="","",'DDF Original'!C1043)</f>
        <v/>
      </c>
      <c r="D1043" s="20" t="str">
        <f>IF('DDF Original'!F1043="","",'DDF Original'!F1043)</f>
        <v/>
      </c>
      <c r="E1043" s="38" t="str">
        <f>'Recálculo Confissão (85-B)'!N1043</f>
        <v/>
      </c>
      <c r="F1043" s="20" t="str">
        <f t="shared" si="32"/>
        <v/>
      </c>
      <c r="G1043" s="20" t="str">
        <f t="shared" si="33"/>
        <v/>
      </c>
    </row>
    <row r="1044" spans="2:7" x14ac:dyDescent="0.2">
      <c r="B1044" s="19" t="str">
        <f>IF('DDF Original'!B1044="","",'DDF Original'!B1044)</f>
        <v/>
      </c>
      <c r="C1044" s="20" t="str">
        <f>IF('DDF Original'!C1044="","",'DDF Original'!C1044)</f>
        <v/>
      </c>
      <c r="D1044" s="20" t="str">
        <f>IF('DDF Original'!F1044="","",'DDF Original'!F1044)</f>
        <v/>
      </c>
      <c r="E1044" s="38" t="str">
        <f>'Recálculo Confissão (85-B)'!N1044</f>
        <v/>
      </c>
      <c r="F1044" s="20" t="str">
        <f t="shared" si="32"/>
        <v/>
      </c>
      <c r="G1044" s="20" t="str">
        <f t="shared" si="33"/>
        <v/>
      </c>
    </row>
    <row r="1045" spans="2:7" x14ac:dyDescent="0.2">
      <c r="B1045" s="19" t="str">
        <f>IF('DDF Original'!B1045="","",'DDF Original'!B1045)</f>
        <v/>
      </c>
      <c r="C1045" s="20" t="str">
        <f>IF('DDF Original'!C1045="","",'DDF Original'!C1045)</f>
        <v/>
      </c>
      <c r="D1045" s="20" t="str">
        <f>IF('DDF Original'!F1045="","",'DDF Original'!F1045)</f>
        <v/>
      </c>
      <c r="E1045" s="38" t="str">
        <f>'Recálculo Confissão (85-B)'!N1045</f>
        <v/>
      </c>
      <c r="F1045" s="20" t="str">
        <f t="shared" si="32"/>
        <v/>
      </c>
      <c r="G1045" s="20" t="str">
        <f t="shared" si="33"/>
        <v/>
      </c>
    </row>
    <row r="1046" spans="2:7" x14ac:dyDescent="0.2">
      <c r="B1046" s="19" t="str">
        <f>IF('DDF Original'!B1046="","",'DDF Original'!B1046)</f>
        <v/>
      </c>
      <c r="C1046" s="20" t="str">
        <f>IF('DDF Original'!C1046="","",'DDF Original'!C1046)</f>
        <v/>
      </c>
      <c r="D1046" s="20" t="str">
        <f>IF('DDF Original'!F1046="","",'DDF Original'!F1046)</f>
        <v/>
      </c>
      <c r="E1046" s="38" t="str">
        <f>'Recálculo Confissão (85-B)'!N1046</f>
        <v/>
      </c>
      <c r="F1046" s="20" t="str">
        <f t="shared" si="32"/>
        <v/>
      </c>
      <c r="G1046" s="20" t="str">
        <f t="shared" si="33"/>
        <v/>
      </c>
    </row>
    <row r="1047" spans="2:7" x14ac:dyDescent="0.2">
      <c r="B1047" s="19" t="str">
        <f>IF('DDF Original'!B1047="","",'DDF Original'!B1047)</f>
        <v/>
      </c>
      <c r="C1047" s="20" t="str">
        <f>IF('DDF Original'!C1047="","",'DDF Original'!C1047)</f>
        <v/>
      </c>
      <c r="D1047" s="20" t="str">
        <f>IF('DDF Original'!F1047="","",'DDF Original'!F1047)</f>
        <v/>
      </c>
      <c r="E1047" s="38" t="str">
        <f>'Recálculo Confissão (85-B)'!N1047</f>
        <v/>
      </c>
      <c r="F1047" s="20" t="str">
        <f t="shared" si="32"/>
        <v/>
      </c>
      <c r="G1047" s="20" t="str">
        <f t="shared" si="33"/>
        <v/>
      </c>
    </row>
    <row r="1048" spans="2:7" x14ac:dyDescent="0.2">
      <c r="B1048" s="19" t="str">
        <f>IF('DDF Original'!B1048="","",'DDF Original'!B1048)</f>
        <v/>
      </c>
      <c r="C1048" s="20" t="str">
        <f>IF('DDF Original'!C1048="","",'DDF Original'!C1048)</f>
        <v/>
      </c>
      <c r="D1048" s="20" t="str">
        <f>IF('DDF Original'!F1048="","",'DDF Original'!F1048)</f>
        <v/>
      </c>
      <c r="E1048" s="38" t="str">
        <f>'Recálculo Confissão (85-B)'!N1048</f>
        <v/>
      </c>
      <c r="F1048" s="20" t="str">
        <f t="shared" si="32"/>
        <v/>
      </c>
      <c r="G1048" s="20" t="str">
        <f t="shared" si="33"/>
        <v/>
      </c>
    </row>
    <row r="1049" spans="2:7" x14ac:dyDescent="0.2">
      <c r="B1049" s="19" t="str">
        <f>IF('DDF Original'!B1049="","",'DDF Original'!B1049)</f>
        <v/>
      </c>
      <c r="C1049" s="20" t="str">
        <f>IF('DDF Original'!C1049="","",'DDF Original'!C1049)</f>
        <v/>
      </c>
      <c r="D1049" s="20" t="str">
        <f>IF('DDF Original'!F1049="","",'DDF Original'!F1049)</f>
        <v/>
      </c>
      <c r="E1049" s="38" t="str">
        <f>'Recálculo Confissão (85-B)'!N1049</f>
        <v/>
      </c>
      <c r="F1049" s="20" t="str">
        <f t="shared" si="32"/>
        <v/>
      </c>
      <c r="G1049" s="20" t="str">
        <f t="shared" si="33"/>
        <v/>
      </c>
    </row>
    <row r="1050" spans="2:7" x14ac:dyDescent="0.2">
      <c r="B1050" s="19" t="str">
        <f>IF('DDF Original'!B1050="","",'DDF Original'!B1050)</f>
        <v/>
      </c>
      <c r="C1050" s="20" t="str">
        <f>IF('DDF Original'!C1050="","",'DDF Original'!C1050)</f>
        <v/>
      </c>
      <c r="D1050" s="20" t="str">
        <f>IF('DDF Original'!F1050="","",'DDF Original'!F1050)</f>
        <v/>
      </c>
      <c r="E1050" s="38" t="str">
        <f>'Recálculo Confissão (85-B)'!N1050</f>
        <v/>
      </c>
      <c r="F1050" s="20" t="str">
        <f t="shared" si="32"/>
        <v/>
      </c>
      <c r="G1050" s="20" t="str">
        <f t="shared" si="33"/>
        <v/>
      </c>
    </row>
    <row r="1051" spans="2:7" x14ac:dyDescent="0.2">
      <c r="B1051" s="19" t="str">
        <f>IF('DDF Original'!B1051="","",'DDF Original'!B1051)</f>
        <v/>
      </c>
      <c r="C1051" s="20" t="str">
        <f>IF('DDF Original'!C1051="","",'DDF Original'!C1051)</f>
        <v/>
      </c>
      <c r="D1051" s="20" t="str">
        <f>IF('DDF Original'!F1051="","",'DDF Original'!F1051)</f>
        <v/>
      </c>
      <c r="E1051" s="38" t="str">
        <f>'Recálculo Confissão (85-B)'!N1051</f>
        <v/>
      </c>
      <c r="F1051" s="20" t="str">
        <f t="shared" si="32"/>
        <v/>
      </c>
      <c r="G1051" s="20" t="str">
        <f t="shared" si="33"/>
        <v/>
      </c>
    </row>
    <row r="1052" spans="2:7" x14ac:dyDescent="0.2">
      <c r="B1052" s="19" t="str">
        <f>IF('DDF Original'!B1052="","",'DDF Original'!B1052)</f>
        <v/>
      </c>
      <c r="C1052" s="20" t="str">
        <f>IF('DDF Original'!C1052="","",'DDF Original'!C1052)</f>
        <v/>
      </c>
      <c r="D1052" s="20" t="str">
        <f>IF('DDF Original'!F1052="","",'DDF Original'!F1052)</f>
        <v/>
      </c>
      <c r="E1052" s="38" t="str">
        <f>'Recálculo Confissão (85-B)'!N1052</f>
        <v/>
      </c>
      <c r="F1052" s="20" t="str">
        <f t="shared" si="32"/>
        <v/>
      </c>
      <c r="G1052" s="20" t="str">
        <f t="shared" si="33"/>
        <v/>
      </c>
    </row>
    <row r="1053" spans="2:7" x14ac:dyDescent="0.2">
      <c r="B1053" s="19" t="str">
        <f>IF('DDF Original'!B1053="","",'DDF Original'!B1053)</f>
        <v/>
      </c>
      <c r="C1053" s="20" t="str">
        <f>IF('DDF Original'!C1053="","",'DDF Original'!C1053)</f>
        <v/>
      </c>
      <c r="D1053" s="20" t="str">
        <f>IF('DDF Original'!F1053="","",'DDF Original'!F1053)</f>
        <v/>
      </c>
      <c r="E1053" s="38" t="str">
        <f>'Recálculo Confissão (85-B)'!N1053</f>
        <v/>
      </c>
      <c r="F1053" s="20" t="str">
        <f t="shared" si="32"/>
        <v/>
      </c>
      <c r="G1053" s="20" t="str">
        <f t="shared" si="33"/>
        <v/>
      </c>
    </row>
    <row r="1054" spans="2:7" x14ac:dyDescent="0.2">
      <c r="B1054" s="19" t="str">
        <f>IF('DDF Original'!B1054="","",'DDF Original'!B1054)</f>
        <v/>
      </c>
      <c r="C1054" s="20" t="str">
        <f>IF('DDF Original'!C1054="","",'DDF Original'!C1054)</f>
        <v/>
      </c>
      <c r="D1054" s="20" t="str">
        <f>IF('DDF Original'!F1054="","",'DDF Original'!F1054)</f>
        <v/>
      </c>
      <c r="E1054" s="38" t="str">
        <f>'Recálculo Confissão (85-B)'!N1054</f>
        <v/>
      </c>
      <c r="F1054" s="20" t="str">
        <f t="shared" si="32"/>
        <v/>
      </c>
      <c r="G1054" s="20" t="str">
        <f t="shared" si="33"/>
        <v/>
      </c>
    </row>
    <row r="1055" spans="2:7" x14ac:dyDescent="0.2">
      <c r="B1055" s="19" t="str">
        <f>IF('DDF Original'!B1055="","",'DDF Original'!B1055)</f>
        <v/>
      </c>
      <c r="C1055" s="20" t="str">
        <f>IF('DDF Original'!C1055="","",'DDF Original'!C1055)</f>
        <v/>
      </c>
      <c r="D1055" s="20" t="str">
        <f>IF('DDF Original'!F1055="","",'DDF Original'!F1055)</f>
        <v/>
      </c>
      <c r="E1055" s="38" t="str">
        <f>'Recálculo Confissão (85-B)'!N1055</f>
        <v/>
      </c>
      <c r="F1055" s="20" t="str">
        <f t="shared" si="32"/>
        <v/>
      </c>
      <c r="G1055" s="20" t="str">
        <f t="shared" si="33"/>
        <v/>
      </c>
    </row>
    <row r="1056" spans="2:7" x14ac:dyDescent="0.2">
      <c r="B1056" s="19" t="str">
        <f>IF('DDF Original'!B1056="","",'DDF Original'!B1056)</f>
        <v/>
      </c>
      <c r="C1056" s="20" t="str">
        <f>IF('DDF Original'!C1056="","",'DDF Original'!C1056)</f>
        <v/>
      </c>
      <c r="D1056" s="20" t="str">
        <f>IF('DDF Original'!F1056="","",'DDF Original'!F1056)</f>
        <v/>
      </c>
      <c r="E1056" s="38" t="str">
        <f>'Recálculo Confissão (85-B)'!N1056</f>
        <v/>
      </c>
      <c r="F1056" s="20" t="str">
        <f t="shared" si="32"/>
        <v/>
      </c>
      <c r="G1056" s="20" t="str">
        <f t="shared" si="33"/>
        <v/>
      </c>
    </row>
    <row r="1057" spans="2:7" x14ac:dyDescent="0.2">
      <c r="B1057" s="19" t="str">
        <f>IF('DDF Original'!B1057="","",'DDF Original'!B1057)</f>
        <v/>
      </c>
      <c r="C1057" s="20" t="str">
        <f>IF('DDF Original'!C1057="","",'DDF Original'!C1057)</f>
        <v/>
      </c>
      <c r="D1057" s="20" t="str">
        <f>IF('DDF Original'!F1057="","",'DDF Original'!F1057)</f>
        <v/>
      </c>
      <c r="E1057" s="38" t="str">
        <f>'Recálculo Confissão (85-B)'!N1057</f>
        <v/>
      </c>
      <c r="F1057" s="20" t="str">
        <f t="shared" si="32"/>
        <v/>
      </c>
      <c r="G1057" s="20" t="str">
        <f t="shared" si="33"/>
        <v/>
      </c>
    </row>
    <row r="1058" spans="2:7" x14ac:dyDescent="0.2">
      <c r="B1058" s="19" t="str">
        <f>IF('DDF Original'!B1058="","",'DDF Original'!B1058)</f>
        <v/>
      </c>
      <c r="C1058" s="20" t="str">
        <f>IF('DDF Original'!C1058="","",'DDF Original'!C1058)</f>
        <v/>
      </c>
      <c r="D1058" s="20" t="str">
        <f>IF('DDF Original'!F1058="","",'DDF Original'!F1058)</f>
        <v/>
      </c>
      <c r="E1058" s="38" t="str">
        <f>'Recálculo Confissão (85-B)'!N1058</f>
        <v/>
      </c>
      <c r="F1058" s="20" t="str">
        <f t="shared" si="32"/>
        <v/>
      </c>
      <c r="G1058" s="20" t="str">
        <f t="shared" si="33"/>
        <v/>
      </c>
    </row>
    <row r="1059" spans="2:7" x14ac:dyDescent="0.2">
      <c r="B1059" s="19" t="str">
        <f>IF('DDF Original'!B1059="","",'DDF Original'!B1059)</f>
        <v/>
      </c>
      <c r="C1059" s="20" t="str">
        <f>IF('DDF Original'!C1059="","",'DDF Original'!C1059)</f>
        <v/>
      </c>
      <c r="D1059" s="20" t="str">
        <f>IF('DDF Original'!F1059="","",'DDF Original'!F1059)</f>
        <v/>
      </c>
      <c r="E1059" s="38" t="str">
        <f>'Recálculo Confissão (85-B)'!N1059</f>
        <v/>
      </c>
      <c r="F1059" s="20" t="str">
        <f t="shared" si="32"/>
        <v/>
      </c>
      <c r="G1059" s="20" t="str">
        <f t="shared" si="33"/>
        <v/>
      </c>
    </row>
    <row r="1060" spans="2:7" x14ac:dyDescent="0.2">
      <c r="B1060" s="19" t="str">
        <f>IF('DDF Original'!B1060="","",'DDF Original'!B1060)</f>
        <v/>
      </c>
      <c r="C1060" s="20" t="str">
        <f>IF('DDF Original'!C1060="","",'DDF Original'!C1060)</f>
        <v/>
      </c>
      <c r="D1060" s="20" t="str">
        <f>IF('DDF Original'!F1060="","",'DDF Original'!F1060)</f>
        <v/>
      </c>
      <c r="E1060" s="38" t="str">
        <f>'Recálculo Confissão (85-B)'!N1060</f>
        <v/>
      </c>
      <c r="F1060" s="20" t="str">
        <f t="shared" si="32"/>
        <v/>
      </c>
      <c r="G1060" s="20" t="str">
        <f t="shared" si="33"/>
        <v/>
      </c>
    </row>
    <row r="1061" spans="2:7" x14ac:dyDescent="0.2">
      <c r="B1061" s="19" t="str">
        <f>IF('DDF Original'!B1061="","",'DDF Original'!B1061)</f>
        <v/>
      </c>
      <c r="C1061" s="20" t="str">
        <f>IF('DDF Original'!C1061="","",'DDF Original'!C1061)</f>
        <v/>
      </c>
      <c r="D1061" s="20" t="str">
        <f>IF('DDF Original'!F1061="","",'DDF Original'!F1061)</f>
        <v/>
      </c>
      <c r="E1061" s="38" t="str">
        <f>'Recálculo Confissão (85-B)'!N1061</f>
        <v/>
      </c>
      <c r="F1061" s="20" t="str">
        <f t="shared" si="32"/>
        <v/>
      </c>
      <c r="G1061" s="20" t="str">
        <f t="shared" si="33"/>
        <v/>
      </c>
    </row>
    <row r="1062" spans="2:7" x14ac:dyDescent="0.2">
      <c r="B1062" s="19" t="str">
        <f>IF('DDF Original'!B1062="","",'DDF Original'!B1062)</f>
        <v/>
      </c>
      <c r="C1062" s="20" t="str">
        <f>IF('DDF Original'!C1062="","",'DDF Original'!C1062)</f>
        <v/>
      </c>
      <c r="D1062" s="20" t="str">
        <f>IF('DDF Original'!F1062="","",'DDF Original'!F1062)</f>
        <v/>
      </c>
      <c r="E1062" s="38" t="str">
        <f>'Recálculo Confissão (85-B)'!N1062</f>
        <v/>
      </c>
      <c r="F1062" s="20" t="str">
        <f t="shared" si="32"/>
        <v/>
      </c>
      <c r="G1062" s="20" t="str">
        <f t="shared" si="33"/>
        <v/>
      </c>
    </row>
    <row r="1063" spans="2:7" x14ac:dyDescent="0.2">
      <c r="B1063" s="19" t="str">
        <f>IF('DDF Original'!B1063="","",'DDF Original'!B1063)</f>
        <v/>
      </c>
      <c r="C1063" s="20" t="str">
        <f>IF('DDF Original'!C1063="","",'DDF Original'!C1063)</f>
        <v/>
      </c>
      <c r="D1063" s="20" t="str">
        <f>IF('DDF Original'!F1063="","",'DDF Original'!F1063)</f>
        <v/>
      </c>
      <c r="E1063" s="38" t="str">
        <f>'Recálculo Confissão (85-B)'!N1063</f>
        <v/>
      </c>
      <c r="F1063" s="20" t="str">
        <f t="shared" si="32"/>
        <v/>
      </c>
      <c r="G1063" s="20" t="str">
        <f t="shared" si="33"/>
        <v/>
      </c>
    </row>
    <row r="1064" spans="2:7" x14ac:dyDescent="0.2">
      <c r="B1064" s="19" t="str">
        <f>IF('DDF Original'!B1064="","",'DDF Original'!B1064)</f>
        <v/>
      </c>
      <c r="C1064" s="20" t="str">
        <f>IF('DDF Original'!C1064="","",'DDF Original'!C1064)</f>
        <v/>
      </c>
      <c r="D1064" s="20" t="str">
        <f>IF('DDF Original'!F1064="","",'DDF Original'!F1064)</f>
        <v/>
      </c>
      <c r="E1064" s="38" t="str">
        <f>'Recálculo Confissão (85-B)'!N1064</f>
        <v/>
      </c>
      <c r="F1064" s="20" t="str">
        <f t="shared" si="32"/>
        <v/>
      </c>
      <c r="G1064" s="20" t="str">
        <f t="shared" si="33"/>
        <v/>
      </c>
    </row>
    <row r="1065" spans="2:7" x14ac:dyDescent="0.2">
      <c r="B1065" s="19" t="str">
        <f>IF('DDF Original'!B1065="","",'DDF Original'!B1065)</f>
        <v/>
      </c>
      <c r="C1065" s="20" t="str">
        <f>IF('DDF Original'!C1065="","",'DDF Original'!C1065)</f>
        <v/>
      </c>
      <c r="D1065" s="20" t="str">
        <f>IF('DDF Original'!F1065="","",'DDF Original'!F1065)</f>
        <v/>
      </c>
      <c r="E1065" s="38" t="str">
        <f>'Recálculo Confissão (85-B)'!N1065</f>
        <v/>
      </c>
      <c r="F1065" s="20" t="str">
        <f t="shared" si="32"/>
        <v/>
      </c>
      <c r="G1065" s="20" t="str">
        <f t="shared" si="33"/>
        <v/>
      </c>
    </row>
    <row r="1066" spans="2:7" x14ac:dyDescent="0.2">
      <c r="B1066" s="19" t="str">
        <f>IF('DDF Original'!B1066="","",'DDF Original'!B1066)</f>
        <v/>
      </c>
      <c r="C1066" s="20" t="str">
        <f>IF('DDF Original'!C1066="","",'DDF Original'!C1066)</f>
        <v/>
      </c>
      <c r="D1066" s="20" t="str">
        <f>IF('DDF Original'!F1066="","",'DDF Original'!F1066)</f>
        <v/>
      </c>
      <c r="E1066" s="38" t="str">
        <f>'Recálculo Confissão (85-B)'!N1066</f>
        <v/>
      </c>
      <c r="F1066" s="20" t="str">
        <f t="shared" si="32"/>
        <v/>
      </c>
      <c r="G1066" s="20" t="str">
        <f t="shared" si="33"/>
        <v/>
      </c>
    </row>
    <row r="1067" spans="2:7" x14ac:dyDescent="0.2">
      <c r="B1067" s="19" t="str">
        <f>IF('DDF Original'!B1067="","",'DDF Original'!B1067)</f>
        <v/>
      </c>
      <c r="C1067" s="20" t="str">
        <f>IF('DDF Original'!C1067="","",'DDF Original'!C1067)</f>
        <v/>
      </c>
      <c r="D1067" s="20" t="str">
        <f>IF('DDF Original'!F1067="","",'DDF Original'!F1067)</f>
        <v/>
      </c>
      <c r="E1067" s="38" t="str">
        <f>'Recálculo Confissão (85-B)'!N1067</f>
        <v/>
      </c>
      <c r="F1067" s="20" t="str">
        <f t="shared" si="32"/>
        <v/>
      </c>
      <c r="G1067" s="20" t="str">
        <f t="shared" si="33"/>
        <v/>
      </c>
    </row>
    <row r="1068" spans="2:7" x14ac:dyDescent="0.2">
      <c r="B1068" s="19" t="str">
        <f>IF('DDF Original'!B1068="","",'DDF Original'!B1068)</f>
        <v/>
      </c>
      <c r="C1068" s="20" t="str">
        <f>IF('DDF Original'!C1068="","",'DDF Original'!C1068)</f>
        <v/>
      </c>
      <c r="D1068" s="20" t="str">
        <f>IF('DDF Original'!F1068="","",'DDF Original'!F1068)</f>
        <v/>
      </c>
      <c r="E1068" s="38" t="str">
        <f>'Recálculo Confissão (85-B)'!N1068</f>
        <v/>
      </c>
      <c r="F1068" s="20" t="str">
        <f t="shared" si="32"/>
        <v/>
      </c>
      <c r="G1068" s="20" t="str">
        <f t="shared" si="33"/>
        <v/>
      </c>
    </row>
    <row r="1069" spans="2:7" x14ac:dyDescent="0.2">
      <c r="B1069" s="19" t="str">
        <f>IF('DDF Original'!B1069="","",'DDF Original'!B1069)</f>
        <v/>
      </c>
      <c r="C1069" s="20" t="str">
        <f>IF('DDF Original'!C1069="","",'DDF Original'!C1069)</f>
        <v/>
      </c>
      <c r="D1069" s="20" t="str">
        <f>IF('DDF Original'!F1069="","",'DDF Original'!F1069)</f>
        <v/>
      </c>
      <c r="E1069" s="38" t="str">
        <f>'Recálculo Confissão (85-B)'!N1069</f>
        <v/>
      </c>
      <c r="F1069" s="20" t="str">
        <f t="shared" si="32"/>
        <v/>
      </c>
      <c r="G1069" s="20" t="str">
        <f t="shared" si="33"/>
        <v/>
      </c>
    </row>
    <row r="1070" spans="2:7" x14ac:dyDescent="0.2">
      <c r="B1070" s="19" t="str">
        <f>IF('DDF Original'!B1070="","",'DDF Original'!B1070)</f>
        <v/>
      </c>
      <c r="C1070" s="20" t="str">
        <f>IF('DDF Original'!C1070="","",'DDF Original'!C1070)</f>
        <v/>
      </c>
      <c r="D1070" s="20" t="str">
        <f>IF('DDF Original'!F1070="","",'DDF Original'!F1070)</f>
        <v/>
      </c>
      <c r="E1070" s="38" t="str">
        <f>'Recálculo Confissão (85-B)'!N1070</f>
        <v/>
      </c>
      <c r="F1070" s="20" t="str">
        <f t="shared" si="32"/>
        <v/>
      </c>
      <c r="G1070" s="20" t="str">
        <f t="shared" si="33"/>
        <v/>
      </c>
    </row>
    <row r="1071" spans="2:7" x14ac:dyDescent="0.2">
      <c r="B1071" s="19" t="str">
        <f>IF('DDF Original'!B1071="","",'DDF Original'!B1071)</f>
        <v/>
      </c>
      <c r="C1071" s="20" t="str">
        <f>IF('DDF Original'!C1071="","",'DDF Original'!C1071)</f>
        <v/>
      </c>
      <c r="D1071" s="20" t="str">
        <f>IF('DDF Original'!F1071="","",'DDF Original'!F1071)</f>
        <v/>
      </c>
      <c r="E1071" s="38" t="str">
        <f>'Recálculo Confissão (85-B)'!N1071</f>
        <v/>
      </c>
      <c r="F1071" s="20" t="str">
        <f t="shared" si="32"/>
        <v/>
      </c>
      <c r="G1071" s="20" t="str">
        <f t="shared" si="33"/>
        <v/>
      </c>
    </row>
    <row r="1072" spans="2:7" x14ac:dyDescent="0.2">
      <c r="B1072" s="19" t="str">
        <f>IF('DDF Original'!B1072="","",'DDF Original'!B1072)</f>
        <v/>
      </c>
      <c r="C1072" s="20" t="str">
        <f>IF('DDF Original'!C1072="","",'DDF Original'!C1072)</f>
        <v/>
      </c>
      <c r="D1072" s="20" t="str">
        <f>IF('DDF Original'!F1072="","",'DDF Original'!F1072)</f>
        <v/>
      </c>
      <c r="E1072" s="38" t="str">
        <f>'Recálculo Confissão (85-B)'!N1072</f>
        <v/>
      </c>
      <c r="F1072" s="20" t="str">
        <f t="shared" si="32"/>
        <v/>
      </c>
      <c r="G1072" s="20" t="str">
        <f t="shared" si="33"/>
        <v/>
      </c>
    </row>
    <row r="1073" spans="2:7" x14ac:dyDescent="0.2">
      <c r="B1073" s="19" t="str">
        <f>IF('DDF Original'!B1073="","",'DDF Original'!B1073)</f>
        <v/>
      </c>
      <c r="C1073" s="20" t="str">
        <f>IF('DDF Original'!C1073="","",'DDF Original'!C1073)</f>
        <v/>
      </c>
      <c r="D1073" s="20" t="str">
        <f>IF('DDF Original'!F1073="","",'DDF Original'!F1073)</f>
        <v/>
      </c>
      <c r="E1073" s="38" t="str">
        <f>'Recálculo Confissão (85-B)'!N1073</f>
        <v/>
      </c>
      <c r="F1073" s="20" t="str">
        <f t="shared" si="32"/>
        <v/>
      </c>
      <c r="G1073" s="20" t="str">
        <f t="shared" si="33"/>
        <v/>
      </c>
    </row>
    <row r="1074" spans="2:7" x14ac:dyDescent="0.2">
      <c r="B1074" s="19" t="str">
        <f>IF('DDF Original'!B1074="","",'DDF Original'!B1074)</f>
        <v/>
      </c>
      <c r="C1074" s="20" t="str">
        <f>IF('DDF Original'!C1074="","",'DDF Original'!C1074)</f>
        <v/>
      </c>
      <c r="D1074" s="20" t="str">
        <f>IF('DDF Original'!F1074="","",'DDF Original'!F1074)</f>
        <v/>
      </c>
      <c r="E1074" s="38" t="str">
        <f>'Recálculo Confissão (85-B)'!N1074</f>
        <v/>
      </c>
      <c r="F1074" s="20" t="str">
        <f t="shared" si="32"/>
        <v/>
      </c>
      <c r="G1074" s="20" t="str">
        <f t="shared" si="33"/>
        <v/>
      </c>
    </row>
    <row r="1075" spans="2:7" x14ac:dyDescent="0.2">
      <c r="B1075" s="19" t="str">
        <f>IF('DDF Original'!B1075="","",'DDF Original'!B1075)</f>
        <v/>
      </c>
      <c r="C1075" s="20" t="str">
        <f>IF('DDF Original'!C1075="","",'DDF Original'!C1075)</f>
        <v/>
      </c>
      <c r="D1075" s="20" t="str">
        <f>IF('DDF Original'!F1075="","",'DDF Original'!F1075)</f>
        <v/>
      </c>
      <c r="E1075" s="38" t="str">
        <f>'Recálculo Confissão (85-B)'!N1075</f>
        <v/>
      </c>
      <c r="F1075" s="20" t="str">
        <f t="shared" si="32"/>
        <v/>
      </c>
      <c r="G1075" s="20" t="str">
        <f t="shared" si="33"/>
        <v/>
      </c>
    </row>
    <row r="1076" spans="2:7" x14ac:dyDescent="0.2">
      <c r="B1076" s="19" t="str">
        <f>IF('DDF Original'!B1076="","",'DDF Original'!B1076)</f>
        <v/>
      </c>
      <c r="C1076" s="20" t="str">
        <f>IF('DDF Original'!C1076="","",'DDF Original'!C1076)</f>
        <v/>
      </c>
      <c r="D1076" s="20" t="str">
        <f>IF('DDF Original'!F1076="","",'DDF Original'!F1076)</f>
        <v/>
      </c>
      <c r="E1076" s="38" t="str">
        <f>'Recálculo Confissão (85-B)'!N1076</f>
        <v/>
      </c>
      <c r="F1076" s="20" t="str">
        <f t="shared" si="32"/>
        <v/>
      </c>
      <c r="G1076" s="20" t="str">
        <f t="shared" si="33"/>
        <v/>
      </c>
    </row>
    <row r="1077" spans="2:7" x14ac:dyDescent="0.2">
      <c r="B1077" s="19" t="str">
        <f>IF('DDF Original'!B1077="","",'DDF Original'!B1077)</f>
        <v/>
      </c>
      <c r="C1077" s="20" t="str">
        <f>IF('DDF Original'!C1077="","",'DDF Original'!C1077)</f>
        <v/>
      </c>
      <c r="D1077" s="20" t="str">
        <f>IF('DDF Original'!F1077="","",'DDF Original'!F1077)</f>
        <v/>
      </c>
      <c r="E1077" s="38" t="str">
        <f>'Recálculo Confissão (85-B)'!N1077</f>
        <v/>
      </c>
      <c r="F1077" s="20" t="str">
        <f t="shared" si="32"/>
        <v/>
      </c>
      <c r="G1077" s="20" t="str">
        <f t="shared" si="33"/>
        <v/>
      </c>
    </row>
    <row r="1078" spans="2:7" x14ac:dyDescent="0.2">
      <c r="B1078" s="19" t="str">
        <f>IF('DDF Original'!B1078="","",'DDF Original'!B1078)</f>
        <v/>
      </c>
      <c r="C1078" s="20" t="str">
        <f>IF('DDF Original'!C1078="","",'DDF Original'!C1078)</f>
        <v/>
      </c>
      <c r="D1078" s="20" t="str">
        <f>IF('DDF Original'!F1078="","",'DDF Original'!F1078)</f>
        <v/>
      </c>
      <c r="E1078" s="38" t="str">
        <f>'Recálculo Confissão (85-B)'!N1078</f>
        <v/>
      </c>
      <c r="F1078" s="20" t="str">
        <f t="shared" si="32"/>
        <v/>
      </c>
      <c r="G1078" s="20" t="str">
        <f t="shared" si="33"/>
        <v/>
      </c>
    </row>
    <row r="1079" spans="2:7" x14ac:dyDescent="0.2">
      <c r="B1079" s="19" t="str">
        <f>IF('DDF Original'!B1079="","",'DDF Original'!B1079)</f>
        <v/>
      </c>
      <c r="C1079" s="20" t="str">
        <f>IF('DDF Original'!C1079="","",'DDF Original'!C1079)</f>
        <v/>
      </c>
      <c r="D1079" s="20" t="str">
        <f>IF('DDF Original'!F1079="","",'DDF Original'!F1079)</f>
        <v/>
      </c>
      <c r="E1079" s="38" t="str">
        <f>'Recálculo Confissão (85-B)'!N1079</f>
        <v/>
      </c>
      <c r="F1079" s="20" t="str">
        <f t="shared" si="32"/>
        <v/>
      </c>
      <c r="G1079" s="20" t="str">
        <f t="shared" si="33"/>
        <v/>
      </c>
    </row>
    <row r="1080" spans="2:7" x14ac:dyDescent="0.2">
      <c r="B1080" s="19" t="str">
        <f>IF('DDF Original'!B1080="","",'DDF Original'!B1080)</f>
        <v/>
      </c>
      <c r="C1080" s="20" t="str">
        <f>IF('DDF Original'!C1080="","",'DDF Original'!C1080)</f>
        <v/>
      </c>
      <c r="D1080" s="20" t="str">
        <f>IF('DDF Original'!F1080="","",'DDF Original'!F1080)</f>
        <v/>
      </c>
      <c r="E1080" s="38" t="str">
        <f>'Recálculo Confissão (85-B)'!N1080</f>
        <v/>
      </c>
      <c r="F1080" s="20" t="str">
        <f t="shared" si="32"/>
        <v/>
      </c>
      <c r="G1080" s="20" t="str">
        <f t="shared" si="33"/>
        <v/>
      </c>
    </row>
    <row r="1081" spans="2:7" x14ac:dyDescent="0.2">
      <c r="B1081" s="19" t="str">
        <f>IF('DDF Original'!B1081="","",'DDF Original'!B1081)</f>
        <v/>
      </c>
      <c r="C1081" s="20" t="str">
        <f>IF('DDF Original'!C1081="","",'DDF Original'!C1081)</f>
        <v/>
      </c>
      <c r="D1081" s="20" t="str">
        <f>IF('DDF Original'!F1081="","",'DDF Original'!F1081)</f>
        <v/>
      </c>
      <c r="E1081" s="38" t="str">
        <f>'Recálculo Confissão (85-B)'!N1081</f>
        <v/>
      </c>
      <c r="F1081" s="20" t="str">
        <f t="shared" si="32"/>
        <v/>
      </c>
      <c r="G1081" s="20" t="str">
        <f t="shared" si="33"/>
        <v/>
      </c>
    </row>
    <row r="1082" spans="2:7" x14ac:dyDescent="0.2">
      <c r="B1082" s="19" t="str">
        <f>IF('DDF Original'!B1082="","",'DDF Original'!B1082)</f>
        <v/>
      </c>
      <c r="C1082" s="20" t="str">
        <f>IF('DDF Original'!C1082="","",'DDF Original'!C1082)</f>
        <v/>
      </c>
      <c r="D1082" s="20" t="str">
        <f>IF('DDF Original'!F1082="","",'DDF Original'!F1082)</f>
        <v/>
      </c>
      <c r="E1082" s="38" t="str">
        <f>'Recálculo Confissão (85-B)'!N1082</f>
        <v/>
      </c>
      <c r="F1082" s="20" t="str">
        <f t="shared" si="32"/>
        <v/>
      </c>
      <c r="G1082" s="20" t="str">
        <f t="shared" si="33"/>
        <v/>
      </c>
    </row>
    <row r="1083" spans="2:7" x14ac:dyDescent="0.2">
      <c r="B1083" s="19" t="str">
        <f>IF('DDF Original'!B1083="","",'DDF Original'!B1083)</f>
        <v/>
      </c>
      <c r="C1083" s="20" t="str">
        <f>IF('DDF Original'!C1083="","",'DDF Original'!C1083)</f>
        <v/>
      </c>
      <c r="D1083" s="20" t="str">
        <f>IF('DDF Original'!F1083="","",'DDF Original'!F1083)</f>
        <v/>
      </c>
      <c r="E1083" s="38" t="str">
        <f>'Recálculo Confissão (85-B)'!N1083</f>
        <v/>
      </c>
      <c r="F1083" s="20" t="str">
        <f t="shared" si="32"/>
        <v/>
      </c>
      <c r="G1083" s="20" t="str">
        <f t="shared" si="33"/>
        <v/>
      </c>
    </row>
    <row r="1084" spans="2:7" x14ac:dyDescent="0.2">
      <c r="B1084" s="19" t="str">
        <f>IF('DDF Original'!B1084="","",'DDF Original'!B1084)</f>
        <v/>
      </c>
      <c r="C1084" s="20" t="str">
        <f>IF('DDF Original'!C1084="","",'DDF Original'!C1084)</f>
        <v/>
      </c>
      <c r="D1084" s="20" t="str">
        <f>IF('DDF Original'!F1084="","",'DDF Original'!F1084)</f>
        <v/>
      </c>
      <c r="E1084" s="38" t="str">
        <f>'Recálculo Confissão (85-B)'!N1084</f>
        <v/>
      </c>
      <c r="F1084" s="20" t="str">
        <f t="shared" si="32"/>
        <v/>
      </c>
      <c r="G1084" s="20" t="str">
        <f t="shared" si="33"/>
        <v/>
      </c>
    </row>
    <row r="1085" spans="2:7" x14ac:dyDescent="0.2">
      <c r="B1085" s="19" t="str">
        <f>IF('DDF Original'!B1085="","",'DDF Original'!B1085)</f>
        <v/>
      </c>
      <c r="C1085" s="20" t="str">
        <f>IF('DDF Original'!C1085="","",'DDF Original'!C1085)</f>
        <v/>
      </c>
      <c r="D1085" s="20" t="str">
        <f>IF('DDF Original'!F1085="","",'DDF Original'!F1085)</f>
        <v/>
      </c>
      <c r="E1085" s="38" t="str">
        <f>'Recálculo Confissão (85-B)'!N1085</f>
        <v/>
      </c>
      <c r="F1085" s="20" t="str">
        <f t="shared" ref="F1085:F1148" si="34">IF(E1085="","",ROUND(E1085*(1-70%),2))</f>
        <v/>
      </c>
      <c r="G1085" s="20" t="str">
        <f t="shared" ref="G1085:G1148" si="35">IF(E1085="","",ROUND(E1085*(1-60%),2))</f>
        <v/>
      </c>
    </row>
    <row r="1086" spans="2:7" x14ac:dyDescent="0.2">
      <c r="B1086" s="19" t="str">
        <f>IF('DDF Original'!B1086="","",'DDF Original'!B1086)</f>
        <v/>
      </c>
      <c r="C1086" s="20" t="str">
        <f>IF('DDF Original'!C1086="","",'DDF Original'!C1086)</f>
        <v/>
      </c>
      <c r="D1086" s="20" t="str">
        <f>IF('DDF Original'!F1086="","",'DDF Original'!F1086)</f>
        <v/>
      </c>
      <c r="E1086" s="38" t="str">
        <f>'Recálculo Confissão (85-B)'!N1086</f>
        <v/>
      </c>
      <c r="F1086" s="20" t="str">
        <f t="shared" si="34"/>
        <v/>
      </c>
      <c r="G1086" s="20" t="str">
        <f t="shared" si="35"/>
        <v/>
      </c>
    </row>
    <row r="1087" spans="2:7" x14ac:dyDescent="0.2">
      <c r="B1087" s="19" t="str">
        <f>IF('DDF Original'!B1087="","",'DDF Original'!B1087)</f>
        <v/>
      </c>
      <c r="C1087" s="20" t="str">
        <f>IF('DDF Original'!C1087="","",'DDF Original'!C1087)</f>
        <v/>
      </c>
      <c r="D1087" s="20" t="str">
        <f>IF('DDF Original'!F1087="","",'DDF Original'!F1087)</f>
        <v/>
      </c>
      <c r="E1087" s="38" t="str">
        <f>'Recálculo Confissão (85-B)'!N1087</f>
        <v/>
      </c>
      <c r="F1087" s="20" t="str">
        <f t="shared" si="34"/>
        <v/>
      </c>
      <c r="G1087" s="20" t="str">
        <f t="shared" si="35"/>
        <v/>
      </c>
    </row>
    <row r="1088" spans="2:7" x14ac:dyDescent="0.2">
      <c r="B1088" s="19" t="str">
        <f>IF('DDF Original'!B1088="","",'DDF Original'!B1088)</f>
        <v/>
      </c>
      <c r="C1088" s="20" t="str">
        <f>IF('DDF Original'!C1088="","",'DDF Original'!C1088)</f>
        <v/>
      </c>
      <c r="D1088" s="20" t="str">
        <f>IF('DDF Original'!F1088="","",'DDF Original'!F1088)</f>
        <v/>
      </c>
      <c r="E1088" s="38" t="str">
        <f>'Recálculo Confissão (85-B)'!N1088</f>
        <v/>
      </c>
      <c r="F1088" s="20" t="str">
        <f t="shared" si="34"/>
        <v/>
      </c>
      <c r="G1088" s="20" t="str">
        <f t="shared" si="35"/>
        <v/>
      </c>
    </row>
    <row r="1089" spans="2:7" x14ac:dyDescent="0.2">
      <c r="B1089" s="19" t="str">
        <f>IF('DDF Original'!B1089="","",'DDF Original'!B1089)</f>
        <v/>
      </c>
      <c r="C1089" s="20" t="str">
        <f>IF('DDF Original'!C1089="","",'DDF Original'!C1089)</f>
        <v/>
      </c>
      <c r="D1089" s="20" t="str">
        <f>IF('DDF Original'!F1089="","",'DDF Original'!F1089)</f>
        <v/>
      </c>
      <c r="E1089" s="38" t="str">
        <f>'Recálculo Confissão (85-B)'!N1089</f>
        <v/>
      </c>
      <c r="F1089" s="20" t="str">
        <f t="shared" si="34"/>
        <v/>
      </c>
      <c r="G1089" s="20" t="str">
        <f t="shared" si="35"/>
        <v/>
      </c>
    </row>
    <row r="1090" spans="2:7" x14ac:dyDescent="0.2">
      <c r="B1090" s="19" t="str">
        <f>IF('DDF Original'!B1090="","",'DDF Original'!B1090)</f>
        <v/>
      </c>
      <c r="C1090" s="20" t="str">
        <f>IF('DDF Original'!C1090="","",'DDF Original'!C1090)</f>
        <v/>
      </c>
      <c r="D1090" s="20" t="str">
        <f>IF('DDF Original'!F1090="","",'DDF Original'!F1090)</f>
        <v/>
      </c>
      <c r="E1090" s="38" t="str">
        <f>'Recálculo Confissão (85-B)'!N1090</f>
        <v/>
      </c>
      <c r="F1090" s="20" t="str">
        <f t="shared" si="34"/>
        <v/>
      </c>
      <c r="G1090" s="20" t="str">
        <f t="shared" si="35"/>
        <v/>
      </c>
    </row>
    <row r="1091" spans="2:7" x14ac:dyDescent="0.2">
      <c r="B1091" s="19" t="str">
        <f>IF('DDF Original'!B1091="","",'DDF Original'!B1091)</f>
        <v/>
      </c>
      <c r="C1091" s="20" t="str">
        <f>IF('DDF Original'!C1091="","",'DDF Original'!C1091)</f>
        <v/>
      </c>
      <c r="D1091" s="20" t="str">
        <f>IF('DDF Original'!F1091="","",'DDF Original'!F1091)</f>
        <v/>
      </c>
      <c r="E1091" s="38" t="str">
        <f>'Recálculo Confissão (85-B)'!N1091</f>
        <v/>
      </c>
      <c r="F1091" s="20" t="str">
        <f t="shared" si="34"/>
        <v/>
      </c>
      <c r="G1091" s="20" t="str">
        <f t="shared" si="35"/>
        <v/>
      </c>
    </row>
    <row r="1092" spans="2:7" x14ac:dyDescent="0.2">
      <c r="B1092" s="19" t="str">
        <f>IF('DDF Original'!B1092="","",'DDF Original'!B1092)</f>
        <v/>
      </c>
      <c r="C1092" s="20" t="str">
        <f>IF('DDF Original'!C1092="","",'DDF Original'!C1092)</f>
        <v/>
      </c>
      <c r="D1092" s="20" t="str">
        <f>IF('DDF Original'!F1092="","",'DDF Original'!F1092)</f>
        <v/>
      </c>
      <c r="E1092" s="38" t="str">
        <f>'Recálculo Confissão (85-B)'!N1092</f>
        <v/>
      </c>
      <c r="F1092" s="20" t="str">
        <f t="shared" si="34"/>
        <v/>
      </c>
      <c r="G1092" s="20" t="str">
        <f t="shared" si="35"/>
        <v/>
      </c>
    </row>
    <row r="1093" spans="2:7" x14ac:dyDescent="0.2">
      <c r="B1093" s="19" t="str">
        <f>IF('DDF Original'!B1093="","",'DDF Original'!B1093)</f>
        <v/>
      </c>
      <c r="C1093" s="20" t="str">
        <f>IF('DDF Original'!C1093="","",'DDF Original'!C1093)</f>
        <v/>
      </c>
      <c r="D1093" s="20" t="str">
        <f>IF('DDF Original'!F1093="","",'DDF Original'!F1093)</f>
        <v/>
      </c>
      <c r="E1093" s="38" t="str">
        <f>'Recálculo Confissão (85-B)'!N1093</f>
        <v/>
      </c>
      <c r="F1093" s="20" t="str">
        <f t="shared" si="34"/>
        <v/>
      </c>
      <c r="G1093" s="20" t="str">
        <f t="shared" si="35"/>
        <v/>
      </c>
    </row>
    <row r="1094" spans="2:7" x14ac:dyDescent="0.2">
      <c r="B1094" s="19" t="str">
        <f>IF('DDF Original'!B1094="","",'DDF Original'!B1094)</f>
        <v/>
      </c>
      <c r="C1094" s="20" t="str">
        <f>IF('DDF Original'!C1094="","",'DDF Original'!C1094)</f>
        <v/>
      </c>
      <c r="D1094" s="20" t="str">
        <f>IF('DDF Original'!F1094="","",'DDF Original'!F1094)</f>
        <v/>
      </c>
      <c r="E1094" s="38" t="str">
        <f>'Recálculo Confissão (85-B)'!N1094</f>
        <v/>
      </c>
      <c r="F1094" s="20" t="str">
        <f t="shared" si="34"/>
        <v/>
      </c>
      <c r="G1094" s="20" t="str">
        <f t="shared" si="35"/>
        <v/>
      </c>
    </row>
    <row r="1095" spans="2:7" x14ac:dyDescent="0.2">
      <c r="B1095" s="19" t="str">
        <f>IF('DDF Original'!B1095="","",'DDF Original'!B1095)</f>
        <v/>
      </c>
      <c r="C1095" s="20" t="str">
        <f>IF('DDF Original'!C1095="","",'DDF Original'!C1095)</f>
        <v/>
      </c>
      <c r="D1095" s="20" t="str">
        <f>IF('DDF Original'!F1095="","",'DDF Original'!F1095)</f>
        <v/>
      </c>
      <c r="E1095" s="38" t="str">
        <f>'Recálculo Confissão (85-B)'!N1095</f>
        <v/>
      </c>
      <c r="F1095" s="20" t="str">
        <f t="shared" si="34"/>
        <v/>
      </c>
      <c r="G1095" s="20" t="str">
        <f t="shared" si="35"/>
        <v/>
      </c>
    </row>
    <row r="1096" spans="2:7" x14ac:dyDescent="0.2">
      <c r="B1096" s="19" t="str">
        <f>IF('DDF Original'!B1096="","",'DDF Original'!B1096)</f>
        <v/>
      </c>
      <c r="C1096" s="20" t="str">
        <f>IF('DDF Original'!C1096="","",'DDF Original'!C1096)</f>
        <v/>
      </c>
      <c r="D1096" s="20" t="str">
        <f>IF('DDF Original'!F1096="","",'DDF Original'!F1096)</f>
        <v/>
      </c>
      <c r="E1096" s="38" t="str">
        <f>'Recálculo Confissão (85-B)'!N1096</f>
        <v/>
      </c>
      <c r="F1096" s="20" t="str">
        <f t="shared" si="34"/>
        <v/>
      </c>
      <c r="G1096" s="20" t="str">
        <f t="shared" si="35"/>
        <v/>
      </c>
    </row>
    <row r="1097" spans="2:7" x14ac:dyDescent="0.2">
      <c r="B1097" s="19" t="str">
        <f>IF('DDF Original'!B1097="","",'DDF Original'!B1097)</f>
        <v/>
      </c>
      <c r="C1097" s="20" t="str">
        <f>IF('DDF Original'!C1097="","",'DDF Original'!C1097)</f>
        <v/>
      </c>
      <c r="D1097" s="20" t="str">
        <f>IF('DDF Original'!F1097="","",'DDF Original'!F1097)</f>
        <v/>
      </c>
      <c r="E1097" s="38" t="str">
        <f>'Recálculo Confissão (85-B)'!N1097</f>
        <v/>
      </c>
      <c r="F1097" s="20" t="str">
        <f t="shared" si="34"/>
        <v/>
      </c>
      <c r="G1097" s="20" t="str">
        <f t="shared" si="35"/>
        <v/>
      </c>
    </row>
    <row r="1098" spans="2:7" x14ac:dyDescent="0.2">
      <c r="B1098" s="19" t="str">
        <f>IF('DDF Original'!B1098="","",'DDF Original'!B1098)</f>
        <v/>
      </c>
      <c r="C1098" s="20" t="str">
        <f>IF('DDF Original'!C1098="","",'DDF Original'!C1098)</f>
        <v/>
      </c>
      <c r="D1098" s="20" t="str">
        <f>IF('DDF Original'!F1098="","",'DDF Original'!F1098)</f>
        <v/>
      </c>
      <c r="E1098" s="38" t="str">
        <f>'Recálculo Confissão (85-B)'!N1098</f>
        <v/>
      </c>
      <c r="F1098" s="20" t="str">
        <f t="shared" si="34"/>
        <v/>
      </c>
      <c r="G1098" s="20" t="str">
        <f t="shared" si="35"/>
        <v/>
      </c>
    </row>
    <row r="1099" spans="2:7" x14ac:dyDescent="0.2">
      <c r="B1099" s="19" t="str">
        <f>IF('DDF Original'!B1099="","",'DDF Original'!B1099)</f>
        <v/>
      </c>
      <c r="C1099" s="20" t="str">
        <f>IF('DDF Original'!C1099="","",'DDF Original'!C1099)</f>
        <v/>
      </c>
      <c r="D1099" s="20" t="str">
        <f>IF('DDF Original'!F1099="","",'DDF Original'!F1099)</f>
        <v/>
      </c>
      <c r="E1099" s="38" t="str">
        <f>'Recálculo Confissão (85-B)'!N1099</f>
        <v/>
      </c>
      <c r="F1099" s="20" t="str">
        <f t="shared" si="34"/>
        <v/>
      </c>
      <c r="G1099" s="20" t="str">
        <f t="shared" si="35"/>
        <v/>
      </c>
    </row>
    <row r="1100" spans="2:7" x14ac:dyDescent="0.2">
      <c r="B1100" s="19" t="str">
        <f>IF('DDF Original'!B1100="","",'DDF Original'!B1100)</f>
        <v/>
      </c>
      <c r="C1100" s="20" t="str">
        <f>IF('DDF Original'!C1100="","",'DDF Original'!C1100)</f>
        <v/>
      </c>
      <c r="D1100" s="20" t="str">
        <f>IF('DDF Original'!F1100="","",'DDF Original'!F1100)</f>
        <v/>
      </c>
      <c r="E1100" s="38" t="str">
        <f>'Recálculo Confissão (85-B)'!N1100</f>
        <v/>
      </c>
      <c r="F1100" s="20" t="str">
        <f t="shared" si="34"/>
        <v/>
      </c>
      <c r="G1100" s="20" t="str">
        <f t="shared" si="35"/>
        <v/>
      </c>
    </row>
    <row r="1101" spans="2:7" x14ac:dyDescent="0.2">
      <c r="B1101" s="19" t="str">
        <f>IF('DDF Original'!B1101="","",'DDF Original'!B1101)</f>
        <v/>
      </c>
      <c r="C1101" s="20" t="str">
        <f>IF('DDF Original'!C1101="","",'DDF Original'!C1101)</f>
        <v/>
      </c>
      <c r="D1101" s="20" t="str">
        <f>IF('DDF Original'!F1101="","",'DDF Original'!F1101)</f>
        <v/>
      </c>
      <c r="E1101" s="38" t="str">
        <f>'Recálculo Confissão (85-B)'!N1101</f>
        <v/>
      </c>
      <c r="F1101" s="20" t="str">
        <f t="shared" si="34"/>
        <v/>
      </c>
      <c r="G1101" s="20" t="str">
        <f t="shared" si="35"/>
        <v/>
      </c>
    </row>
    <row r="1102" spans="2:7" x14ac:dyDescent="0.2">
      <c r="B1102" s="19" t="str">
        <f>IF('DDF Original'!B1102="","",'DDF Original'!B1102)</f>
        <v/>
      </c>
      <c r="C1102" s="20" t="str">
        <f>IF('DDF Original'!C1102="","",'DDF Original'!C1102)</f>
        <v/>
      </c>
      <c r="D1102" s="20" t="str">
        <f>IF('DDF Original'!F1102="","",'DDF Original'!F1102)</f>
        <v/>
      </c>
      <c r="E1102" s="38" t="str">
        <f>'Recálculo Confissão (85-B)'!N1102</f>
        <v/>
      </c>
      <c r="F1102" s="20" t="str">
        <f t="shared" si="34"/>
        <v/>
      </c>
      <c r="G1102" s="20" t="str">
        <f t="shared" si="35"/>
        <v/>
      </c>
    </row>
    <row r="1103" spans="2:7" x14ac:dyDescent="0.2">
      <c r="B1103" s="19" t="str">
        <f>IF('DDF Original'!B1103="","",'DDF Original'!B1103)</f>
        <v/>
      </c>
      <c r="C1103" s="20" t="str">
        <f>IF('DDF Original'!C1103="","",'DDF Original'!C1103)</f>
        <v/>
      </c>
      <c r="D1103" s="20" t="str">
        <f>IF('DDF Original'!F1103="","",'DDF Original'!F1103)</f>
        <v/>
      </c>
      <c r="E1103" s="38" t="str">
        <f>'Recálculo Confissão (85-B)'!N1103</f>
        <v/>
      </c>
      <c r="F1103" s="20" t="str">
        <f t="shared" si="34"/>
        <v/>
      </c>
      <c r="G1103" s="20" t="str">
        <f t="shared" si="35"/>
        <v/>
      </c>
    </row>
    <row r="1104" spans="2:7" x14ac:dyDescent="0.2">
      <c r="B1104" s="19" t="str">
        <f>IF('DDF Original'!B1104="","",'DDF Original'!B1104)</f>
        <v/>
      </c>
      <c r="C1104" s="20" t="str">
        <f>IF('DDF Original'!C1104="","",'DDF Original'!C1104)</f>
        <v/>
      </c>
      <c r="D1104" s="20" t="str">
        <f>IF('DDF Original'!F1104="","",'DDF Original'!F1104)</f>
        <v/>
      </c>
      <c r="E1104" s="38" t="str">
        <f>'Recálculo Confissão (85-B)'!N1104</f>
        <v/>
      </c>
      <c r="F1104" s="20" t="str">
        <f t="shared" si="34"/>
        <v/>
      </c>
      <c r="G1104" s="20" t="str">
        <f t="shared" si="35"/>
        <v/>
      </c>
    </row>
    <row r="1105" spans="2:7" x14ac:dyDescent="0.2">
      <c r="B1105" s="19" t="str">
        <f>IF('DDF Original'!B1105="","",'DDF Original'!B1105)</f>
        <v/>
      </c>
      <c r="C1105" s="20" t="str">
        <f>IF('DDF Original'!C1105="","",'DDF Original'!C1105)</f>
        <v/>
      </c>
      <c r="D1105" s="20" t="str">
        <f>IF('DDF Original'!F1105="","",'DDF Original'!F1105)</f>
        <v/>
      </c>
      <c r="E1105" s="38" t="str">
        <f>'Recálculo Confissão (85-B)'!N1105</f>
        <v/>
      </c>
      <c r="F1105" s="20" t="str">
        <f t="shared" si="34"/>
        <v/>
      </c>
      <c r="G1105" s="20" t="str">
        <f t="shared" si="35"/>
        <v/>
      </c>
    </row>
    <row r="1106" spans="2:7" x14ac:dyDescent="0.2">
      <c r="B1106" s="19" t="str">
        <f>IF('DDF Original'!B1106="","",'DDF Original'!B1106)</f>
        <v/>
      </c>
      <c r="C1106" s="20" t="str">
        <f>IF('DDF Original'!C1106="","",'DDF Original'!C1106)</f>
        <v/>
      </c>
      <c r="D1106" s="20" t="str">
        <f>IF('DDF Original'!F1106="","",'DDF Original'!F1106)</f>
        <v/>
      </c>
      <c r="E1106" s="38" t="str">
        <f>'Recálculo Confissão (85-B)'!N1106</f>
        <v/>
      </c>
      <c r="F1106" s="20" t="str">
        <f t="shared" si="34"/>
        <v/>
      </c>
      <c r="G1106" s="20" t="str">
        <f t="shared" si="35"/>
        <v/>
      </c>
    </row>
    <row r="1107" spans="2:7" x14ac:dyDescent="0.2">
      <c r="B1107" s="19" t="str">
        <f>IF('DDF Original'!B1107="","",'DDF Original'!B1107)</f>
        <v/>
      </c>
      <c r="C1107" s="20" t="str">
        <f>IF('DDF Original'!C1107="","",'DDF Original'!C1107)</f>
        <v/>
      </c>
      <c r="D1107" s="20" t="str">
        <f>IF('DDF Original'!F1107="","",'DDF Original'!F1107)</f>
        <v/>
      </c>
      <c r="E1107" s="38" t="str">
        <f>'Recálculo Confissão (85-B)'!N1107</f>
        <v/>
      </c>
      <c r="F1107" s="20" t="str">
        <f t="shared" si="34"/>
        <v/>
      </c>
      <c r="G1107" s="20" t="str">
        <f t="shared" si="35"/>
        <v/>
      </c>
    </row>
    <row r="1108" spans="2:7" x14ac:dyDescent="0.2">
      <c r="B1108" s="19" t="str">
        <f>IF('DDF Original'!B1108="","",'DDF Original'!B1108)</f>
        <v/>
      </c>
      <c r="C1108" s="20" t="str">
        <f>IF('DDF Original'!C1108="","",'DDF Original'!C1108)</f>
        <v/>
      </c>
      <c r="D1108" s="20" t="str">
        <f>IF('DDF Original'!F1108="","",'DDF Original'!F1108)</f>
        <v/>
      </c>
      <c r="E1108" s="38" t="str">
        <f>'Recálculo Confissão (85-B)'!N1108</f>
        <v/>
      </c>
      <c r="F1108" s="20" t="str">
        <f t="shared" si="34"/>
        <v/>
      </c>
      <c r="G1108" s="20" t="str">
        <f t="shared" si="35"/>
        <v/>
      </c>
    </row>
    <row r="1109" spans="2:7" x14ac:dyDescent="0.2">
      <c r="B1109" s="19" t="str">
        <f>IF('DDF Original'!B1109="","",'DDF Original'!B1109)</f>
        <v/>
      </c>
      <c r="C1109" s="20" t="str">
        <f>IF('DDF Original'!C1109="","",'DDF Original'!C1109)</f>
        <v/>
      </c>
      <c r="D1109" s="20" t="str">
        <f>IF('DDF Original'!F1109="","",'DDF Original'!F1109)</f>
        <v/>
      </c>
      <c r="E1109" s="38" t="str">
        <f>'Recálculo Confissão (85-B)'!N1109</f>
        <v/>
      </c>
      <c r="F1109" s="20" t="str">
        <f t="shared" si="34"/>
        <v/>
      </c>
      <c r="G1109" s="20" t="str">
        <f t="shared" si="35"/>
        <v/>
      </c>
    </row>
    <row r="1110" spans="2:7" x14ac:dyDescent="0.2">
      <c r="B1110" s="19" t="str">
        <f>IF('DDF Original'!B1110="","",'DDF Original'!B1110)</f>
        <v/>
      </c>
      <c r="C1110" s="20" t="str">
        <f>IF('DDF Original'!C1110="","",'DDF Original'!C1110)</f>
        <v/>
      </c>
      <c r="D1110" s="20" t="str">
        <f>IF('DDF Original'!F1110="","",'DDF Original'!F1110)</f>
        <v/>
      </c>
      <c r="E1110" s="38" t="str">
        <f>'Recálculo Confissão (85-B)'!N1110</f>
        <v/>
      </c>
      <c r="F1110" s="20" t="str">
        <f t="shared" si="34"/>
        <v/>
      </c>
      <c r="G1110" s="20" t="str">
        <f t="shared" si="35"/>
        <v/>
      </c>
    </row>
    <row r="1111" spans="2:7" x14ac:dyDescent="0.2">
      <c r="B1111" s="19" t="str">
        <f>IF('DDF Original'!B1111="","",'DDF Original'!B1111)</f>
        <v/>
      </c>
      <c r="C1111" s="20" t="str">
        <f>IF('DDF Original'!C1111="","",'DDF Original'!C1111)</f>
        <v/>
      </c>
      <c r="D1111" s="20" t="str">
        <f>IF('DDF Original'!F1111="","",'DDF Original'!F1111)</f>
        <v/>
      </c>
      <c r="E1111" s="38" t="str">
        <f>'Recálculo Confissão (85-B)'!N1111</f>
        <v/>
      </c>
      <c r="F1111" s="20" t="str">
        <f t="shared" si="34"/>
        <v/>
      </c>
      <c r="G1111" s="20" t="str">
        <f t="shared" si="35"/>
        <v/>
      </c>
    </row>
    <row r="1112" spans="2:7" x14ac:dyDescent="0.2">
      <c r="B1112" s="19" t="str">
        <f>IF('DDF Original'!B1112="","",'DDF Original'!B1112)</f>
        <v/>
      </c>
      <c r="C1112" s="20" t="str">
        <f>IF('DDF Original'!C1112="","",'DDF Original'!C1112)</f>
        <v/>
      </c>
      <c r="D1112" s="20" t="str">
        <f>IF('DDF Original'!F1112="","",'DDF Original'!F1112)</f>
        <v/>
      </c>
      <c r="E1112" s="38" t="str">
        <f>'Recálculo Confissão (85-B)'!N1112</f>
        <v/>
      </c>
      <c r="F1112" s="20" t="str">
        <f t="shared" si="34"/>
        <v/>
      </c>
      <c r="G1112" s="20" t="str">
        <f t="shared" si="35"/>
        <v/>
      </c>
    </row>
    <row r="1113" spans="2:7" x14ac:dyDescent="0.2">
      <c r="B1113" s="19" t="str">
        <f>IF('DDF Original'!B1113="","",'DDF Original'!B1113)</f>
        <v/>
      </c>
      <c r="C1113" s="20" t="str">
        <f>IF('DDF Original'!C1113="","",'DDF Original'!C1113)</f>
        <v/>
      </c>
      <c r="D1113" s="20" t="str">
        <f>IF('DDF Original'!F1113="","",'DDF Original'!F1113)</f>
        <v/>
      </c>
      <c r="E1113" s="38" t="str">
        <f>'Recálculo Confissão (85-B)'!N1113</f>
        <v/>
      </c>
      <c r="F1113" s="20" t="str">
        <f t="shared" si="34"/>
        <v/>
      </c>
      <c r="G1113" s="20" t="str">
        <f t="shared" si="35"/>
        <v/>
      </c>
    </row>
    <row r="1114" spans="2:7" x14ac:dyDescent="0.2">
      <c r="B1114" s="19" t="str">
        <f>IF('DDF Original'!B1114="","",'DDF Original'!B1114)</f>
        <v/>
      </c>
      <c r="C1114" s="20" t="str">
        <f>IF('DDF Original'!C1114="","",'DDF Original'!C1114)</f>
        <v/>
      </c>
      <c r="D1114" s="20" t="str">
        <f>IF('DDF Original'!F1114="","",'DDF Original'!F1114)</f>
        <v/>
      </c>
      <c r="E1114" s="38" t="str">
        <f>'Recálculo Confissão (85-B)'!N1114</f>
        <v/>
      </c>
      <c r="F1114" s="20" t="str">
        <f t="shared" si="34"/>
        <v/>
      </c>
      <c r="G1114" s="20" t="str">
        <f t="shared" si="35"/>
        <v/>
      </c>
    </row>
    <row r="1115" spans="2:7" x14ac:dyDescent="0.2">
      <c r="B1115" s="19" t="str">
        <f>IF('DDF Original'!B1115="","",'DDF Original'!B1115)</f>
        <v/>
      </c>
      <c r="C1115" s="20" t="str">
        <f>IF('DDF Original'!C1115="","",'DDF Original'!C1115)</f>
        <v/>
      </c>
      <c r="D1115" s="20" t="str">
        <f>IF('DDF Original'!F1115="","",'DDF Original'!F1115)</f>
        <v/>
      </c>
      <c r="E1115" s="38" t="str">
        <f>'Recálculo Confissão (85-B)'!N1115</f>
        <v/>
      </c>
      <c r="F1115" s="20" t="str">
        <f t="shared" si="34"/>
        <v/>
      </c>
      <c r="G1115" s="20" t="str">
        <f t="shared" si="35"/>
        <v/>
      </c>
    </row>
    <row r="1116" spans="2:7" x14ac:dyDescent="0.2">
      <c r="B1116" s="19" t="str">
        <f>IF('DDF Original'!B1116="","",'DDF Original'!B1116)</f>
        <v/>
      </c>
      <c r="C1116" s="20" t="str">
        <f>IF('DDF Original'!C1116="","",'DDF Original'!C1116)</f>
        <v/>
      </c>
      <c r="D1116" s="20" t="str">
        <f>IF('DDF Original'!F1116="","",'DDF Original'!F1116)</f>
        <v/>
      </c>
      <c r="E1116" s="38" t="str">
        <f>'Recálculo Confissão (85-B)'!N1116</f>
        <v/>
      </c>
      <c r="F1116" s="20" t="str">
        <f t="shared" si="34"/>
        <v/>
      </c>
      <c r="G1116" s="20" t="str">
        <f t="shared" si="35"/>
        <v/>
      </c>
    </row>
    <row r="1117" spans="2:7" x14ac:dyDescent="0.2">
      <c r="B1117" s="19" t="str">
        <f>IF('DDF Original'!B1117="","",'DDF Original'!B1117)</f>
        <v/>
      </c>
      <c r="C1117" s="20" t="str">
        <f>IF('DDF Original'!C1117="","",'DDF Original'!C1117)</f>
        <v/>
      </c>
      <c r="D1117" s="20" t="str">
        <f>IF('DDF Original'!F1117="","",'DDF Original'!F1117)</f>
        <v/>
      </c>
      <c r="E1117" s="38" t="str">
        <f>'Recálculo Confissão (85-B)'!N1117</f>
        <v/>
      </c>
      <c r="F1117" s="20" t="str">
        <f t="shared" si="34"/>
        <v/>
      </c>
      <c r="G1117" s="20" t="str">
        <f t="shared" si="35"/>
        <v/>
      </c>
    </row>
    <row r="1118" spans="2:7" x14ac:dyDescent="0.2">
      <c r="B1118" s="19" t="str">
        <f>IF('DDF Original'!B1118="","",'DDF Original'!B1118)</f>
        <v/>
      </c>
      <c r="C1118" s="20" t="str">
        <f>IF('DDF Original'!C1118="","",'DDF Original'!C1118)</f>
        <v/>
      </c>
      <c r="D1118" s="20" t="str">
        <f>IF('DDF Original'!F1118="","",'DDF Original'!F1118)</f>
        <v/>
      </c>
      <c r="E1118" s="38" t="str">
        <f>'Recálculo Confissão (85-B)'!N1118</f>
        <v/>
      </c>
      <c r="F1118" s="20" t="str">
        <f t="shared" si="34"/>
        <v/>
      </c>
      <c r="G1118" s="20" t="str">
        <f t="shared" si="35"/>
        <v/>
      </c>
    </row>
    <row r="1119" spans="2:7" x14ac:dyDescent="0.2">
      <c r="B1119" s="19" t="str">
        <f>IF('DDF Original'!B1119="","",'DDF Original'!B1119)</f>
        <v/>
      </c>
      <c r="C1119" s="20" t="str">
        <f>IF('DDF Original'!C1119="","",'DDF Original'!C1119)</f>
        <v/>
      </c>
      <c r="D1119" s="20" t="str">
        <f>IF('DDF Original'!F1119="","",'DDF Original'!F1119)</f>
        <v/>
      </c>
      <c r="E1119" s="38" t="str">
        <f>'Recálculo Confissão (85-B)'!N1119</f>
        <v/>
      </c>
      <c r="F1119" s="20" t="str">
        <f t="shared" si="34"/>
        <v/>
      </c>
      <c r="G1119" s="20" t="str">
        <f t="shared" si="35"/>
        <v/>
      </c>
    </row>
    <row r="1120" spans="2:7" x14ac:dyDescent="0.2">
      <c r="B1120" s="19" t="str">
        <f>IF('DDF Original'!B1120="","",'DDF Original'!B1120)</f>
        <v/>
      </c>
      <c r="C1120" s="20" t="str">
        <f>IF('DDF Original'!C1120="","",'DDF Original'!C1120)</f>
        <v/>
      </c>
      <c r="D1120" s="20" t="str">
        <f>IF('DDF Original'!F1120="","",'DDF Original'!F1120)</f>
        <v/>
      </c>
      <c r="E1120" s="38" t="str">
        <f>'Recálculo Confissão (85-B)'!N1120</f>
        <v/>
      </c>
      <c r="F1120" s="20" t="str">
        <f t="shared" si="34"/>
        <v/>
      </c>
      <c r="G1120" s="20" t="str">
        <f t="shared" si="35"/>
        <v/>
      </c>
    </row>
    <row r="1121" spans="2:7" x14ac:dyDescent="0.2">
      <c r="B1121" s="19" t="str">
        <f>IF('DDF Original'!B1121="","",'DDF Original'!B1121)</f>
        <v/>
      </c>
      <c r="C1121" s="20" t="str">
        <f>IF('DDF Original'!C1121="","",'DDF Original'!C1121)</f>
        <v/>
      </c>
      <c r="D1121" s="20" t="str">
        <f>IF('DDF Original'!F1121="","",'DDF Original'!F1121)</f>
        <v/>
      </c>
      <c r="E1121" s="38" t="str">
        <f>'Recálculo Confissão (85-B)'!N1121</f>
        <v/>
      </c>
      <c r="F1121" s="20" t="str">
        <f t="shared" si="34"/>
        <v/>
      </c>
      <c r="G1121" s="20" t="str">
        <f t="shared" si="35"/>
        <v/>
      </c>
    </row>
    <row r="1122" spans="2:7" x14ac:dyDescent="0.2">
      <c r="B1122" s="19" t="str">
        <f>IF('DDF Original'!B1122="","",'DDF Original'!B1122)</f>
        <v/>
      </c>
      <c r="C1122" s="20" t="str">
        <f>IF('DDF Original'!C1122="","",'DDF Original'!C1122)</f>
        <v/>
      </c>
      <c r="D1122" s="20" t="str">
        <f>IF('DDF Original'!F1122="","",'DDF Original'!F1122)</f>
        <v/>
      </c>
      <c r="E1122" s="38" t="str">
        <f>'Recálculo Confissão (85-B)'!N1122</f>
        <v/>
      </c>
      <c r="F1122" s="20" t="str">
        <f t="shared" si="34"/>
        <v/>
      </c>
      <c r="G1122" s="20" t="str">
        <f t="shared" si="35"/>
        <v/>
      </c>
    </row>
    <row r="1123" spans="2:7" x14ac:dyDescent="0.2">
      <c r="B1123" s="19" t="str">
        <f>IF('DDF Original'!B1123="","",'DDF Original'!B1123)</f>
        <v/>
      </c>
      <c r="C1123" s="20" t="str">
        <f>IF('DDF Original'!C1123="","",'DDF Original'!C1123)</f>
        <v/>
      </c>
      <c r="D1123" s="20" t="str">
        <f>IF('DDF Original'!F1123="","",'DDF Original'!F1123)</f>
        <v/>
      </c>
      <c r="E1123" s="38" t="str">
        <f>'Recálculo Confissão (85-B)'!N1123</f>
        <v/>
      </c>
      <c r="F1123" s="20" t="str">
        <f t="shared" si="34"/>
        <v/>
      </c>
      <c r="G1123" s="20" t="str">
        <f t="shared" si="35"/>
        <v/>
      </c>
    </row>
    <row r="1124" spans="2:7" x14ac:dyDescent="0.2">
      <c r="B1124" s="19" t="str">
        <f>IF('DDF Original'!B1124="","",'DDF Original'!B1124)</f>
        <v/>
      </c>
      <c r="C1124" s="20" t="str">
        <f>IF('DDF Original'!C1124="","",'DDF Original'!C1124)</f>
        <v/>
      </c>
      <c r="D1124" s="20" t="str">
        <f>IF('DDF Original'!F1124="","",'DDF Original'!F1124)</f>
        <v/>
      </c>
      <c r="E1124" s="38" t="str">
        <f>'Recálculo Confissão (85-B)'!N1124</f>
        <v/>
      </c>
      <c r="F1124" s="20" t="str">
        <f t="shared" si="34"/>
        <v/>
      </c>
      <c r="G1124" s="20" t="str">
        <f t="shared" si="35"/>
        <v/>
      </c>
    </row>
    <row r="1125" spans="2:7" x14ac:dyDescent="0.2">
      <c r="B1125" s="19" t="str">
        <f>IF('DDF Original'!B1125="","",'DDF Original'!B1125)</f>
        <v/>
      </c>
      <c r="C1125" s="20" t="str">
        <f>IF('DDF Original'!C1125="","",'DDF Original'!C1125)</f>
        <v/>
      </c>
      <c r="D1125" s="20" t="str">
        <f>IF('DDF Original'!F1125="","",'DDF Original'!F1125)</f>
        <v/>
      </c>
      <c r="E1125" s="38" t="str">
        <f>'Recálculo Confissão (85-B)'!N1125</f>
        <v/>
      </c>
      <c r="F1125" s="20" t="str">
        <f t="shared" si="34"/>
        <v/>
      </c>
      <c r="G1125" s="20" t="str">
        <f t="shared" si="35"/>
        <v/>
      </c>
    </row>
    <row r="1126" spans="2:7" x14ac:dyDescent="0.2">
      <c r="B1126" s="19" t="str">
        <f>IF('DDF Original'!B1126="","",'DDF Original'!B1126)</f>
        <v/>
      </c>
      <c r="C1126" s="20" t="str">
        <f>IF('DDF Original'!C1126="","",'DDF Original'!C1126)</f>
        <v/>
      </c>
      <c r="D1126" s="20" t="str">
        <f>IF('DDF Original'!F1126="","",'DDF Original'!F1126)</f>
        <v/>
      </c>
      <c r="E1126" s="38" t="str">
        <f>'Recálculo Confissão (85-B)'!N1126</f>
        <v/>
      </c>
      <c r="F1126" s="20" t="str">
        <f t="shared" si="34"/>
        <v/>
      </c>
      <c r="G1126" s="20" t="str">
        <f t="shared" si="35"/>
        <v/>
      </c>
    </row>
    <row r="1127" spans="2:7" x14ac:dyDescent="0.2">
      <c r="B1127" s="19" t="str">
        <f>IF('DDF Original'!B1127="","",'DDF Original'!B1127)</f>
        <v/>
      </c>
      <c r="C1127" s="20" t="str">
        <f>IF('DDF Original'!C1127="","",'DDF Original'!C1127)</f>
        <v/>
      </c>
      <c r="D1127" s="20" t="str">
        <f>IF('DDF Original'!F1127="","",'DDF Original'!F1127)</f>
        <v/>
      </c>
      <c r="E1127" s="38" t="str">
        <f>'Recálculo Confissão (85-B)'!N1127</f>
        <v/>
      </c>
      <c r="F1127" s="20" t="str">
        <f t="shared" si="34"/>
        <v/>
      </c>
      <c r="G1127" s="20" t="str">
        <f t="shared" si="35"/>
        <v/>
      </c>
    </row>
    <row r="1128" spans="2:7" x14ac:dyDescent="0.2">
      <c r="B1128" s="19" t="str">
        <f>IF('DDF Original'!B1128="","",'DDF Original'!B1128)</f>
        <v/>
      </c>
      <c r="C1128" s="20" t="str">
        <f>IF('DDF Original'!C1128="","",'DDF Original'!C1128)</f>
        <v/>
      </c>
      <c r="D1128" s="20" t="str">
        <f>IF('DDF Original'!F1128="","",'DDF Original'!F1128)</f>
        <v/>
      </c>
      <c r="E1128" s="38" t="str">
        <f>'Recálculo Confissão (85-B)'!N1128</f>
        <v/>
      </c>
      <c r="F1128" s="20" t="str">
        <f t="shared" si="34"/>
        <v/>
      </c>
      <c r="G1128" s="20" t="str">
        <f t="shared" si="35"/>
        <v/>
      </c>
    </row>
    <row r="1129" spans="2:7" x14ac:dyDescent="0.2">
      <c r="B1129" s="19" t="str">
        <f>IF('DDF Original'!B1129="","",'DDF Original'!B1129)</f>
        <v/>
      </c>
      <c r="C1129" s="20" t="str">
        <f>IF('DDF Original'!C1129="","",'DDF Original'!C1129)</f>
        <v/>
      </c>
      <c r="D1129" s="20" t="str">
        <f>IF('DDF Original'!F1129="","",'DDF Original'!F1129)</f>
        <v/>
      </c>
      <c r="E1129" s="38" t="str">
        <f>'Recálculo Confissão (85-B)'!N1129</f>
        <v/>
      </c>
      <c r="F1129" s="20" t="str">
        <f t="shared" si="34"/>
        <v/>
      </c>
      <c r="G1129" s="20" t="str">
        <f t="shared" si="35"/>
        <v/>
      </c>
    </row>
    <row r="1130" spans="2:7" x14ac:dyDescent="0.2">
      <c r="B1130" s="19" t="str">
        <f>IF('DDF Original'!B1130="","",'DDF Original'!B1130)</f>
        <v/>
      </c>
      <c r="C1130" s="20" t="str">
        <f>IF('DDF Original'!C1130="","",'DDF Original'!C1130)</f>
        <v/>
      </c>
      <c r="D1130" s="20" t="str">
        <f>IF('DDF Original'!F1130="","",'DDF Original'!F1130)</f>
        <v/>
      </c>
      <c r="E1130" s="38" t="str">
        <f>'Recálculo Confissão (85-B)'!N1130</f>
        <v/>
      </c>
      <c r="F1130" s="20" t="str">
        <f t="shared" si="34"/>
        <v/>
      </c>
      <c r="G1130" s="20" t="str">
        <f t="shared" si="35"/>
        <v/>
      </c>
    </row>
    <row r="1131" spans="2:7" x14ac:dyDescent="0.2">
      <c r="B1131" s="19" t="str">
        <f>IF('DDF Original'!B1131="","",'DDF Original'!B1131)</f>
        <v/>
      </c>
      <c r="C1131" s="20" t="str">
        <f>IF('DDF Original'!C1131="","",'DDF Original'!C1131)</f>
        <v/>
      </c>
      <c r="D1131" s="20" t="str">
        <f>IF('DDF Original'!F1131="","",'DDF Original'!F1131)</f>
        <v/>
      </c>
      <c r="E1131" s="38" t="str">
        <f>'Recálculo Confissão (85-B)'!N1131</f>
        <v/>
      </c>
      <c r="F1131" s="20" t="str">
        <f t="shared" si="34"/>
        <v/>
      </c>
      <c r="G1131" s="20" t="str">
        <f t="shared" si="35"/>
        <v/>
      </c>
    </row>
    <row r="1132" spans="2:7" x14ac:dyDescent="0.2">
      <c r="B1132" s="19" t="str">
        <f>IF('DDF Original'!B1132="","",'DDF Original'!B1132)</f>
        <v/>
      </c>
      <c r="C1132" s="20" t="str">
        <f>IF('DDF Original'!C1132="","",'DDF Original'!C1132)</f>
        <v/>
      </c>
      <c r="D1132" s="20" t="str">
        <f>IF('DDF Original'!F1132="","",'DDF Original'!F1132)</f>
        <v/>
      </c>
      <c r="E1132" s="38" t="str">
        <f>'Recálculo Confissão (85-B)'!N1132</f>
        <v/>
      </c>
      <c r="F1132" s="20" t="str">
        <f t="shared" si="34"/>
        <v/>
      </c>
      <c r="G1132" s="20" t="str">
        <f t="shared" si="35"/>
        <v/>
      </c>
    </row>
    <row r="1133" spans="2:7" x14ac:dyDescent="0.2">
      <c r="B1133" s="19" t="str">
        <f>IF('DDF Original'!B1133="","",'DDF Original'!B1133)</f>
        <v/>
      </c>
      <c r="C1133" s="20" t="str">
        <f>IF('DDF Original'!C1133="","",'DDF Original'!C1133)</f>
        <v/>
      </c>
      <c r="D1133" s="20" t="str">
        <f>IF('DDF Original'!F1133="","",'DDF Original'!F1133)</f>
        <v/>
      </c>
      <c r="E1133" s="38" t="str">
        <f>'Recálculo Confissão (85-B)'!N1133</f>
        <v/>
      </c>
      <c r="F1133" s="20" t="str">
        <f t="shared" si="34"/>
        <v/>
      </c>
      <c r="G1133" s="20" t="str">
        <f t="shared" si="35"/>
        <v/>
      </c>
    </row>
    <row r="1134" spans="2:7" x14ac:dyDescent="0.2">
      <c r="B1134" s="19" t="str">
        <f>IF('DDF Original'!B1134="","",'DDF Original'!B1134)</f>
        <v/>
      </c>
      <c r="C1134" s="20" t="str">
        <f>IF('DDF Original'!C1134="","",'DDF Original'!C1134)</f>
        <v/>
      </c>
      <c r="D1134" s="20" t="str">
        <f>IF('DDF Original'!F1134="","",'DDF Original'!F1134)</f>
        <v/>
      </c>
      <c r="E1134" s="38" t="str">
        <f>'Recálculo Confissão (85-B)'!N1134</f>
        <v/>
      </c>
      <c r="F1134" s="20" t="str">
        <f t="shared" si="34"/>
        <v/>
      </c>
      <c r="G1134" s="20" t="str">
        <f t="shared" si="35"/>
        <v/>
      </c>
    </row>
    <row r="1135" spans="2:7" x14ac:dyDescent="0.2">
      <c r="B1135" s="19" t="str">
        <f>IF('DDF Original'!B1135="","",'DDF Original'!B1135)</f>
        <v/>
      </c>
      <c r="C1135" s="20" t="str">
        <f>IF('DDF Original'!C1135="","",'DDF Original'!C1135)</f>
        <v/>
      </c>
      <c r="D1135" s="20" t="str">
        <f>IF('DDF Original'!F1135="","",'DDF Original'!F1135)</f>
        <v/>
      </c>
      <c r="E1135" s="38" t="str">
        <f>'Recálculo Confissão (85-B)'!N1135</f>
        <v/>
      </c>
      <c r="F1135" s="20" t="str">
        <f t="shared" si="34"/>
        <v/>
      </c>
      <c r="G1135" s="20" t="str">
        <f t="shared" si="35"/>
        <v/>
      </c>
    </row>
    <row r="1136" spans="2:7" x14ac:dyDescent="0.2">
      <c r="B1136" s="19" t="str">
        <f>IF('DDF Original'!B1136="","",'DDF Original'!B1136)</f>
        <v/>
      </c>
      <c r="C1136" s="20" t="str">
        <f>IF('DDF Original'!C1136="","",'DDF Original'!C1136)</f>
        <v/>
      </c>
      <c r="D1136" s="20" t="str">
        <f>IF('DDF Original'!F1136="","",'DDF Original'!F1136)</f>
        <v/>
      </c>
      <c r="E1136" s="38" t="str">
        <f>'Recálculo Confissão (85-B)'!N1136</f>
        <v/>
      </c>
      <c r="F1136" s="20" t="str">
        <f t="shared" si="34"/>
        <v/>
      </c>
      <c r="G1136" s="20" t="str">
        <f t="shared" si="35"/>
        <v/>
      </c>
    </row>
    <row r="1137" spans="2:7" x14ac:dyDescent="0.2">
      <c r="B1137" s="19" t="str">
        <f>IF('DDF Original'!B1137="","",'DDF Original'!B1137)</f>
        <v/>
      </c>
      <c r="C1137" s="20" t="str">
        <f>IF('DDF Original'!C1137="","",'DDF Original'!C1137)</f>
        <v/>
      </c>
      <c r="D1137" s="20" t="str">
        <f>IF('DDF Original'!F1137="","",'DDF Original'!F1137)</f>
        <v/>
      </c>
      <c r="E1137" s="38" t="str">
        <f>'Recálculo Confissão (85-B)'!N1137</f>
        <v/>
      </c>
      <c r="F1137" s="20" t="str">
        <f t="shared" si="34"/>
        <v/>
      </c>
      <c r="G1137" s="20" t="str">
        <f t="shared" si="35"/>
        <v/>
      </c>
    </row>
    <row r="1138" spans="2:7" x14ac:dyDescent="0.2">
      <c r="B1138" s="19" t="str">
        <f>IF('DDF Original'!B1138="","",'DDF Original'!B1138)</f>
        <v/>
      </c>
      <c r="C1138" s="20" t="str">
        <f>IF('DDF Original'!C1138="","",'DDF Original'!C1138)</f>
        <v/>
      </c>
      <c r="D1138" s="20" t="str">
        <f>IF('DDF Original'!F1138="","",'DDF Original'!F1138)</f>
        <v/>
      </c>
      <c r="E1138" s="38" t="str">
        <f>'Recálculo Confissão (85-B)'!N1138</f>
        <v/>
      </c>
      <c r="F1138" s="20" t="str">
        <f t="shared" si="34"/>
        <v/>
      </c>
      <c r="G1138" s="20" t="str">
        <f t="shared" si="35"/>
        <v/>
      </c>
    </row>
    <row r="1139" spans="2:7" x14ac:dyDescent="0.2">
      <c r="B1139" s="19" t="str">
        <f>IF('DDF Original'!B1139="","",'DDF Original'!B1139)</f>
        <v/>
      </c>
      <c r="C1139" s="20" t="str">
        <f>IF('DDF Original'!C1139="","",'DDF Original'!C1139)</f>
        <v/>
      </c>
      <c r="D1139" s="20" t="str">
        <f>IF('DDF Original'!F1139="","",'DDF Original'!F1139)</f>
        <v/>
      </c>
      <c r="E1139" s="38" t="str">
        <f>'Recálculo Confissão (85-B)'!N1139</f>
        <v/>
      </c>
      <c r="F1139" s="20" t="str">
        <f t="shared" si="34"/>
        <v/>
      </c>
      <c r="G1139" s="20" t="str">
        <f t="shared" si="35"/>
        <v/>
      </c>
    </row>
    <row r="1140" spans="2:7" x14ac:dyDescent="0.2">
      <c r="B1140" s="19" t="str">
        <f>IF('DDF Original'!B1140="","",'DDF Original'!B1140)</f>
        <v/>
      </c>
      <c r="C1140" s="20" t="str">
        <f>IF('DDF Original'!C1140="","",'DDF Original'!C1140)</f>
        <v/>
      </c>
      <c r="D1140" s="20" t="str">
        <f>IF('DDF Original'!F1140="","",'DDF Original'!F1140)</f>
        <v/>
      </c>
      <c r="E1140" s="38" t="str">
        <f>'Recálculo Confissão (85-B)'!N1140</f>
        <v/>
      </c>
      <c r="F1140" s="20" t="str">
        <f t="shared" si="34"/>
        <v/>
      </c>
      <c r="G1140" s="20" t="str">
        <f t="shared" si="35"/>
        <v/>
      </c>
    </row>
    <row r="1141" spans="2:7" x14ac:dyDescent="0.2">
      <c r="B1141" s="19" t="str">
        <f>IF('DDF Original'!B1141="","",'DDF Original'!B1141)</f>
        <v/>
      </c>
      <c r="C1141" s="20" t="str">
        <f>IF('DDF Original'!C1141="","",'DDF Original'!C1141)</f>
        <v/>
      </c>
      <c r="D1141" s="20" t="str">
        <f>IF('DDF Original'!F1141="","",'DDF Original'!F1141)</f>
        <v/>
      </c>
      <c r="E1141" s="38" t="str">
        <f>'Recálculo Confissão (85-B)'!N1141</f>
        <v/>
      </c>
      <c r="F1141" s="20" t="str">
        <f t="shared" si="34"/>
        <v/>
      </c>
      <c r="G1141" s="20" t="str">
        <f t="shared" si="35"/>
        <v/>
      </c>
    </row>
    <row r="1142" spans="2:7" x14ac:dyDescent="0.2">
      <c r="B1142" s="19" t="str">
        <f>IF('DDF Original'!B1142="","",'DDF Original'!B1142)</f>
        <v/>
      </c>
      <c r="C1142" s="20" t="str">
        <f>IF('DDF Original'!C1142="","",'DDF Original'!C1142)</f>
        <v/>
      </c>
      <c r="D1142" s="20" t="str">
        <f>IF('DDF Original'!F1142="","",'DDF Original'!F1142)</f>
        <v/>
      </c>
      <c r="E1142" s="38" t="str">
        <f>'Recálculo Confissão (85-B)'!N1142</f>
        <v/>
      </c>
      <c r="F1142" s="20" t="str">
        <f t="shared" si="34"/>
        <v/>
      </c>
      <c r="G1142" s="20" t="str">
        <f t="shared" si="35"/>
        <v/>
      </c>
    </row>
    <row r="1143" spans="2:7" x14ac:dyDescent="0.2">
      <c r="B1143" s="19" t="str">
        <f>IF('DDF Original'!B1143="","",'DDF Original'!B1143)</f>
        <v/>
      </c>
      <c r="C1143" s="20" t="str">
        <f>IF('DDF Original'!C1143="","",'DDF Original'!C1143)</f>
        <v/>
      </c>
      <c r="D1143" s="20" t="str">
        <f>IF('DDF Original'!F1143="","",'DDF Original'!F1143)</f>
        <v/>
      </c>
      <c r="E1143" s="38" t="str">
        <f>'Recálculo Confissão (85-B)'!N1143</f>
        <v/>
      </c>
      <c r="F1143" s="20" t="str">
        <f t="shared" si="34"/>
        <v/>
      </c>
      <c r="G1143" s="20" t="str">
        <f t="shared" si="35"/>
        <v/>
      </c>
    </row>
    <row r="1144" spans="2:7" x14ac:dyDescent="0.2">
      <c r="B1144" s="19" t="str">
        <f>IF('DDF Original'!B1144="","",'DDF Original'!B1144)</f>
        <v/>
      </c>
      <c r="C1144" s="20" t="str">
        <f>IF('DDF Original'!C1144="","",'DDF Original'!C1144)</f>
        <v/>
      </c>
      <c r="D1144" s="20" t="str">
        <f>IF('DDF Original'!F1144="","",'DDF Original'!F1144)</f>
        <v/>
      </c>
      <c r="E1144" s="38" t="str">
        <f>'Recálculo Confissão (85-B)'!N1144</f>
        <v/>
      </c>
      <c r="F1144" s="20" t="str">
        <f t="shared" si="34"/>
        <v/>
      </c>
      <c r="G1144" s="20" t="str">
        <f t="shared" si="35"/>
        <v/>
      </c>
    </row>
    <row r="1145" spans="2:7" x14ac:dyDescent="0.2">
      <c r="B1145" s="19" t="str">
        <f>IF('DDF Original'!B1145="","",'DDF Original'!B1145)</f>
        <v/>
      </c>
      <c r="C1145" s="20" t="str">
        <f>IF('DDF Original'!C1145="","",'DDF Original'!C1145)</f>
        <v/>
      </c>
      <c r="D1145" s="20" t="str">
        <f>IF('DDF Original'!F1145="","",'DDF Original'!F1145)</f>
        <v/>
      </c>
      <c r="E1145" s="38" t="str">
        <f>'Recálculo Confissão (85-B)'!N1145</f>
        <v/>
      </c>
      <c r="F1145" s="20" t="str">
        <f t="shared" si="34"/>
        <v/>
      </c>
      <c r="G1145" s="20" t="str">
        <f t="shared" si="35"/>
        <v/>
      </c>
    </row>
    <row r="1146" spans="2:7" x14ac:dyDescent="0.2">
      <c r="B1146" s="19" t="str">
        <f>IF('DDF Original'!B1146="","",'DDF Original'!B1146)</f>
        <v/>
      </c>
      <c r="C1146" s="20" t="str">
        <f>IF('DDF Original'!C1146="","",'DDF Original'!C1146)</f>
        <v/>
      </c>
      <c r="D1146" s="20" t="str">
        <f>IF('DDF Original'!F1146="","",'DDF Original'!F1146)</f>
        <v/>
      </c>
      <c r="E1146" s="38" t="str">
        <f>'Recálculo Confissão (85-B)'!N1146</f>
        <v/>
      </c>
      <c r="F1146" s="20" t="str">
        <f t="shared" si="34"/>
        <v/>
      </c>
      <c r="G1146" s="20" t="str">
        <f t="shared" si="35"/>
        <v/>
      </c>
    </row>
    <row r="1147" spans="2:7" x14ac:dyDescent="0.2">
      <c r="B1147" s="19" t="str">
        <f>IF('DDF Original'!B1147="","",'DDF Original'!B1147)</f>
        <v/>
      </c>
      <c r="C1147" s="20" t="str">
        <f>IF('DDF Original'!C1147="","",'DDF Original'!C1147)</f>
        <v/>
      </c>
      <c r="D1147" s="20" t="str">
        <f>IF('DDF Original'!F1147="","",'DDF Original'!F1147)</f>
        <v/>
      </c>
      <c r="E1147" s="38" t="str">
        <f>'Recálculo Confissão (85-B)'!N1147</f>
        <v/>
      </c>
      <c r="F1147" s="20" t="str">
        <f t="shared" si="34"/>
        <v/>
      </c>
      <c r="G1147" s="20" t="str">
        <f t="shared" si="35"/>
        <v/>
      </c>
    </row>
    <row r="1148" spans="2:7" x14ac:dyDescent="0.2">
      <c r="B1148" s="19" t="str">
        <f>IF('DDF Original'!B1148="","",'DDF Original'!B1148)</f>
        <v/>
      </c>
      <c r="C1148" s="20" t="str">
        <f>IF('DDF Original'!C1148="","",'DDF Original'!C1148)</f>
        <v/>
      </c>
      <c r="D1148" s="20" t="str">
        <f>IF('DDF Original'!F1148="","",'DDF Original'!F1148)</f>
        <v/>
      </c>
      <c r="E1148" s="38" t="str">
        <f>'Recálculo Confissão (85-B)'!N1148</f>
        <v/>
      </c>
      <c r="F1148" s="20" t="str">
        <f t="shared" si="34"/>
        <v/>
      </c>
      <c r="G1148" s="20" t="str">
        <f t="shared" si="35"/>
        <v/>
      </c>
    </row>
    <row r="1149" spans="2:7" x14ac:dyDescent="0.2">
      <c r="B1149" s="19" t="str">
        <f>IF('DDF Original'!B1149="","",'DDF Original'!B1149)</f>
        <v/>
      </c>
      <c r="C1149" s="20" t="str">
        <f>IF('DDF Original'!C1149="","",'DDF Original'!C1149)</f>
        <v/>
      </c>
      <c r="D1149" s="20" t="str">
        <f>IF('DDF Original'!F1149="","",'DDF Original'!F1149)</f>
        <v/>
      </c>
      <c r="E1149" s="38" t="str">
        <f>'Recálculo Confissão (85-B)'!N1149</f>
        <v/>
      </c>
      <c r="F1149" s="20" t="str">
        <f t="shared" ref="F1149:F1212" si="36">IF(E1149="","",ROUND(E1149*(1-70%),2))</f>
        <v/>
      </c>
      <c r="G1149" s="20" t="str">
        <f t="shared" ref="G1149:G1212" si="37">IF(E1149="","",ROUND(E1149*(1-60%),2))</f>
        <v/>
      </c>
    </row>
    <row r="1150" spans="2:7" x14ac:dyDescent="0.2">
      <c r="B1150" s="19" t="str">
        <f>IF('DDF Original'!B1150="","",'DDF Original'!B1150)</f>
        <v/>
      </c>
      <c r="C1150" s="20" t="str">
        <f>IF('DDF Original'!C1150="","",'DDF Original'!C1150)</f>
        <v/>
      </c>
      <c r="D1150" s="20" t="str">
        <f>IF('DDF Original'!F1150="","",'DDF Original'!F1150)</f>
        <v/>
      </c>
      <c r="E1150" s="38" t="str">
        <f>'Recálculo Confissão (85-B)'!N1150</f>
        <v/>
      </c>
      <c r="F1150" s="20" t="str">
        <f t="shared" si="36"/>
        <v/>
      </c>
      <c r="G1150" s="20" t="str">
        <f t="shared" si="37"/>
        <v/>
      </c>
    </row>
    <row r="1151" spans="2:7" x14ac:dyDescent="0.2">
      <c r="B1151" s="19" t="str">
        <f>IF('DDF Original'!B1151="","",'DDF Original'!B1151)</f>
        <v/>
      </c>
      <c r="C1151" s="20" t="str">
        <f>IF('DDF Original'!C1151="","",'DDF Original'!C1151)</f>
        <v/>
      </c>
      <c r="D1151" s="20" t="str">
        <f>IF('DDF Original'!F1151="","",'DDF Original'!F1151)</f>
        <v/>
      </c>
      <c r="E1151" s="38" t="str">
        <f>'Recálculo Confissão (85-B)'!N1151</f>
        <v/>
      </c>
      <c r="F1151" s="20" t="str">
        <f t="shared" si="36"/>
        <v/>
      </c>
      <c r="G1151" s="20" t="str">
        <f t="shared" si="37"/>
        <v/>
      </c>
    </row>
    <row r="1152" spans="2:7" x14ac:dyDescent="0.2">
      <c r="B1152" s="19" t="str">
        <f>IF('DDF Original'!B1152="","",'DDF Original'!B1152)</f>
        <v/>
      </c>
      <c r="C1152" s="20" t="str">
        <f>IF('DDF Original'!C1152="","",'DDF Original'!C1152)</f>
        <v/>
      </c>
      <c r="D1152" s="20" t="str">
        <f>IF('DDF Original'!F1152="","",'DDF Original'!F1152)</f>
        <v/>
      </c>
      <c r="E1152" s="38" t="str">
        <f>'Recálculo Confissão (85-B)'!N1152</f>
        <v/>
      </c>
      <c r="F1152" s="20" t="str">
        <f t="shared" si="36"/>
        <v/>
      </c>
      <c r="G1152" s="20" t="str">
        <f t="shared" si="37"/>
        <v/>
      </c>
    </row>
    <row r="1153" spans="2:7" x14ac:dyDescent="0.2">
      <c r="B1153" s="19" t="str">
        <f>IF('DDF Original'!B1153="","",'DDF Original'!B1153)</f>
        <v/>
      </c>
      <c r="C1153" s="20" t="str">
        <f>IF('DDF Original'!C1153="","",'DDF Original'!C1153)</f>
        <v/>
      </c>
      <c r="D1153" s="20" t="str">
        <f>IF('DDF Original'!F1153="","",'DDF Original'!F1153)</f>
        <v/>
      </c>
      <c r="E1153" s="38" t="str">
        <f>'Recálculo Confissão (85-B)'!N1153</f>
        <v/>
      </c>
      <c r="F1153" s="20" t="str">
        <f t="shared" si="36"/>
        <v/>
      </c>
      <c r="G1153" s="20" t="str">
        <f t="shared" si="37"/>
        <v/>
      </c>
    </row>
    <row r="1154" spans="2:7" x14ac:dyDescent="0.2">
      <c r="B1154" s="19" t="str">
        <f>IF('DDF Original'!B1154="","",'DDF Original'!B1154)</f>
        <v/>
      </c>
      <c r="C1154" s="20" t="str">
        <f>IF('DDF Original'!C1154="","",'DDF Original'!C1154)</f>
        <v/>
      </c>
      <c r="D1154" s="20" t="str">
        <f>IF('DDF Original'!F1154="","",'DDF Original'!F1154)</f>
        <v/>
      </c>
      <c r="E1154" s="38" t="str">
        <f>'Recálculo Confissão (85-B)'!N1154</f>
        <v/>
      </c>
      <c r="F1154" s="20" t="str">
        <f t="shared" si="36"/>
        <v/>
      </c>
      <c r="G1154" s="20" t="str">
        <f t="shared" si="37"/>
        <v/>
      </c>
    </row>
    <row r="1155" spans="2:7" x14ac:dyDescent="0.2">
      <c r="B1155" s="19" t="str">
        <f>IF('DDF Original'!B1155="","",'DDF Original'!B1155)</f>
        <v/>
      </c>
      <c r="C1155" s="20" t="str">
        <f>IF('DDF Original'!C1155="","",'DDF Original'!C1155)</f>
        <v/>
      </c>
      <c r="D1155" s="20" t="str">
        <f>IF('DDF Original'!F1155="","",'DDF Original'!F1155)</f>
        <v/>
      </c>
      <c r="E1155" s="38" t="str">
        <f>'Recálculo Confissão (85-B)'!N1155</f>
        <v/>
      </c>
      <c r="F1155" s="20" t="str">
        <f t="shared" si="36"/>
        <v/>
      </c>
      <c r="G1155" s="20" t="str">
        <f t="shared" si="37"/>
        <v/>
      </c>
    </row>
    <row r="1156" spans="2:7" x14ac:dyDescent="0.2">
      <c r="B1156" s="19" t="str">
        <f>IF('DDF Original'!B1156="","",'DDF Original'!B1156)</f>
        <v/>
      </c>
      <c r="C1156" s="20" t="str">
        <f>IF('DDF Original'!C1156="","",'DDF Original'!C1156)</f>
        <v/>
      </c>
      <c r="D1156" s="20" t="str">
        <f>IF('DDF Original'!F1156="","",'DDF Original'!F1156)</f>
        <v/>
      </c>
      <c r="E1156" s="38" t="str">
        <f>'Recálculo Confissão (85-B)'!N1156</f>
        <v/>
      </c>
      <c r="F1156" s="20" t="str">
        <f t="shared" si="36"/>
        <v/>
      </c>
      <c r="G1156" s="20" t="str">
        <f t="shared" si="37"/>
        <v/>
      </c>
    </row>
    <row r="1157" spans="2:7" x14ac:dyDescent="0.2">
      <c r="B1157" s="19" t="str">
        <f>IF('DDF Original'!B1157="","",'DDF Original'!B1157)</f>
        <v/>
      </c>
      <c r="C1157" s="20" t="str">
        <f>IF('DDF Original'!C1157="","",'DDF Original'!C1157)</f>
        <v/>
      </c>
      <c r="D1157" s="20" t="str">
        <f>IF('DDF Original'!F1157="","",'DDF Original'!F1157)</f>
        <v/>
      </c>
      <c r="E1157" s="38" t="str">
        <f>'Recálculo Confissão (85-B)'!N1157</f>
        <v/>
      </c>
      <c r="F1157" s="20" t="str">
        <f t="shared" si="36"/>
        <v/>
      </c>
      <c r="G1157" s="20" t="str">
        <f t="shared" si="37"/>
        <v/>
      </c>
    </row>
    <row r="1158" spans="2:7" x14ac:dyDescent="0.2">
      <c r="B1158" s="19" t="str">
        <f>IF('DDF Original'!B1158="","",'DDF Original'!B1158)</f>
        <v/>
      </c>
      <c r="C1158" s="20" t="str">
        <f>IF('DDF Original'!C1158="","",'DDF Original'!C1158)</f>
        <v/>
      </c>
      <c r="D1158" s="20" t="str">
        <f>IF('DDF Original'!F1158="","",'DDF Original'!F1158)</f>
        <v/>
      </c>
      <c r="E1158" s="38" t="str">
        <f>'Recálculo Confissão (85-B)'!N1158</f>
        <v/>
      </c>
      <c r="F1158" s="20" t="str">
        <f t="shared" si="36"/>
        <v/>
      </c>
      <c r="G1158" s="20" t="str">
        <f t="shared" si="37"/>
        <v/>
      </c>
    </row>
    <row r="1159" spans="2:7" x14ac:dyDescent="0.2">
      <c r="B1159" s="19" t="str">
        <f>IF('DDF Original'!B1159="","",'DDF Original'!B1159)</f>
        <v/>
      </c>
      <c r="C1159" s="20" t="str">
        <f>IF('DDF Original'!C1159="","",'DDF Original'!C1159)</f>
        <v/>
      </c>
      <c r="D1159" s="20" t="str">
        <f>IF('DDF Original'!F1159="","",'DDF Original'!F1159)</f>
        <v/>
      </c>
      <c r="E1159" s="38" t="str">
        <f>'Recálculo Confissão (85-B)'!N1159</f>
        <v/>
      </c>
      <c r="F1159" s="20" t="str">
        <f t="shared" si="36"/>
        <v/>
      </c>
      <c r="G1159" s="20" t="str">
        <f t="shared" si="37"/>
        <v/>
      </c>
    </row>
    <row r="1160" spans="2:7" x14ac:dyDescent="0.2">
      <c r="B1160" s="19" t="str">
        <f>IF('DDF Original'!B1160="","",'DDF Original'!B1160)</f>
        <v/>
      </c>
      <c r="C1160" s="20" t="str">
        <f>IF('DDF Original'!C1160="","",'DDF Original'!C1160)</f>
        <v/>
      </c>
      <c r="D1160" s="20" t="str">
        <f>IF('DDF Original'!F1160="","",'DDF Original'!F1160)</f>
        <v/>
      </c>
      <c r="E1160" s="38" t="str">
        <f>'Recálculo Confissão (85-B)'!N1160</f>
        <v/>
      </c>
      <c r="F1160" s="20" t="str">
        <f t="shared" si="36"/>
        <v/>
      </c>
      <c r="G1160" s="20" t="str">
        <f t="shared" si="37"/>
        <v/>
      </c>
    </row>
    <row r="1161" spans="2:7" x14ac:dyDescent="0.2">
      <c r="B1161" s="19" t="str">
        <f>IF('DDF Original'!B1161="","",'DDF Original'!B1161)</f>
        <v/>
      </c>
      <c r="C1161" s="20" t="str">
        <f>IF('DDF Original'!C1161="","",'DDF Original'!C1161)</f>
        <v/>
      </c>
      <c r="D1161" s="20" t="str">
        <f>IF('DDF Original'!F1161="","",'DDF Original'!F1161)</f>
        <v/>
      </c>
      <c r="E1161" s="38" t="str">
        <f>'Recálculo Confissão (85-B)'!N1161</f>
        <v/>
      </c>
      <c r="F1161" s="20" t="str">
        <f t="shared" si="36"/>
        <v/>
      </c>
      <c r="G1161" s="20" t="str">
        <f t="shared" si="37"/>
        <v/>
      </c>
    </row>
    <row r="1162" spans="2:7" x14ac:dyDescent="0.2">
      <c r="B1162" s="19" t="str">
        <f>IF('DDF Original'!B1162="","",'DDF Original'!B1162)</f>
        <v/>
      </c>
      <c r="C1162" s="20" t="str">
        <f>IF('DDF Original'!C1162="","",'DDF Original'!C1162)</f>
        <v/>
      </c>
      <c r="D1162" s="20" t="str">
        <f>IF('DDF Original'!F1162="","",'DDF Original'!F1162)</f>
        <v/>
      </c>
      <c r="E1162" s="38" t="str">
        <f>'Recálculo Confissão (85-B)'!N1162</f>
        <v/>
      </c>
      <c r="F1162" s="20" t="str">
        <f t="shared" si="36"/>
        <v/>
      </c>
      <c r="G1162" s="20" t="str">
        <f t="shared" si="37"/>
        <v/>
      </c>
    </row>
    <row r="1163" spans="2:7" x14ac:dyDescent="0.2">
      <c r="B1163" s="19" t="str">
        <f>IF('DDF Original'!B1163="","",'DDF Original'!B1163)</f>
        <v/>
      </c>
      <c r="C1163" s="20" t="str">
        <f>IF('DDF Original'!C1163="","",'DDF Original'!C1163)</f>
        <v/>
      </c>
      <c r="D1163" s="20" t="str">
        <f>IF('DDF Original'!F1163="","",'DDF Original'!F1163)</f>
        <v/>
      </c>
      <c r="E1163" s="38" t="str">
        <f>'Recálculo Confissão (85-B)'!N1163</f>
        <v/>
      </c>
      <c r="F1163" s="20" t="str">
        <f t="shared" si="36"/>
        <v/>
      </c>
      <c r="G1163" s="20" t="str">
        <f t="shared" si="37"/>
        <v/>
      </c>
    </row>
    <row r="1164" spans="2:7" x14ac:dyDescent="0.2">
      <c r="B1164" s="19" t="str">
        <f>IF('DDF Original'!B1164="","",'DDF Original'!B1164)</f>
        <v/>
      </c>
      <c r="C1164" s="20" t="str">
        <f>IF('DDF Original'!C1164="","",'DDF Original'!C1164)</f>
        <v/>
      </c>
      <c r="D1164" s="20" t="str">
        <f>IF('DDF Original'!F1164="","",'DDF Original'!F1164)</f>
        <v/>
      </c>
      <c r="E1164" s="38" t="str">
        <f>'Recálculo Confissão (85-B)'!N1164</f>
        <v/>
      </c>
      <c r="F1164" s="20" t="str">
        <f t="shared" si="36"/>
        <v/>
      </c>
      <c r="G1164" s="20" t="str">
        <f t="shared" si="37"/>
        <v/>
      </c>
    </row>
    <row r="1165" spans="2:7" x14ac:dyDescent="0.2">
      <c r="B1165" s="19" t="str">
        <f>IF('DDF Original'!B1165="","",'DDF Original'!B1165)</f>
        <v/>
      </c>
      <c r="C1165" s="20" t="str">
        <f>IF('DDF Original'!C1165="","",'DDF Original'!C1165)</f>
        <v/>
      </c>
      <c r="D1165" s="20" t="str">
        <f>IF('DDF Original'!F1165="","",'DDF Original'!F1165)</f>
        <v/>
      </c>
      <c r="E1165" s="38" t="str">
        <f>'Recálculo Confissão (85-B)'!N1165</f>
        <v/>
      </c>
      <c r="F1165" s="20" t="str">
        <f t="shared" si="36"/>
        <v/>
      </c>
      <c r="G1165" s="20" t="str">
        <f t="shared" si="37"/>
        <v/>
      </c>
    </row>
    <row r="1166" spans="2:7" x14ac:dyDescent="0.2">
      <c r="B1166" s="19" t="str">
        <f>IF('DDF Original'!B1166="","",'DDF Original'!B1166)</f>
        <v/>
      </c>
      <c r="C1166" s="20" t="str">
        <f>IF('DDF Original'!C1166="","",'DDF Original'!C1166)</f>
        <v/>
      </c>
      <c r="D1166" s="20" t="str">
        <f>IF('DDF Original'!F1166="","",'DDF Original'!F1166)</f>
        <v/>
      </c>
      <c r="E1166" s="38" t="str">
        <f>'Recálculo Confissão (85-B)'!N1166</f>
        <v/>
      </c>
      <c r="F1166" s="20" t="str">
        <f t="shared" si="36"/>
        <v/>
      </c>
      <c r="G1166" s="20" t="str">
        <f t="shared" si="37"/>
        <v/>
      </c>
    </row>
    <row r="1167" spans="2:7" x14ac:dyDescent="0.2">
      <c r="B1167" s="19" t="str">
        <f>IF('DDF Original'!B1167="","",'DDF Original'!B1167)</f>
        <v/>
      </c>
      <c r="C1167" s="20" t="str">
        <f>IF('DDF Original'!C1167="","",'DDF Original'!C1167)</f>
        <v/>
      </c>
      <c r="D1167" s="20" t="str">
        <f>IF('DDF Original'!F1167="","",'DDF Original'!F1167)</f>
        <v/>
      </c>
      <c r="E1167" s="38" t="str">
        <f>'Recálculo Confissão (85-B)'!N1167</f>
        <v/>
      </c>
      <c r="F1167" s="20" t="str">
        <f t="shared" si="36"/>
        <v/>
      </c>
      <c r="G1167" s="20" t="str">
        <f t="shared" si="37"/>
        <v/>
      </c>
    </row>
    <row r="1168" spans="2:7" x14ac:dyDescent="0.2">
      <c r="B1168" s="19" t="str">
        <f>IF('DDF Original'!B1168="","",'DDF Original'!B1168)</f>
        <v/>
      </c>
      <c r="C1168" s="20" t="str">
        <f>IF('DDF Original'!C1168="","",'DDF Original'!C1168)</f>
        <v/>
      </c>
      <c r="D1168" s="20" t="str">
        <f>IF('DDF Original'!F1168="","",'DDF Original'!F1168)</f>
        <v/>
      </c>
      <c r="E1168" s="38" t="str">
        <f>'Recálculo Confissão (85-B)'!N1168</f>
        <v/>
      </c>
      <c r="F1168" s="20" t="str">
        <f t="shared" si="36"/>
        <v/>
      </c>
      <c r="G1168" s="20" t="str">
        <f t="shared" si="37"/>
        <v/>
      </c>
    </row>
    <row r="1169" spans="2:7" x14ac:dyDescent="0.2">
      <c r="B1169" s="19" t="str">
        <f>IF('DDF Original'!B1169="","",'DDF Original'!B1169)</f>
        <v/>
      </c>
      <c r="C1169" s="20" t="str">
        <f>IF('DDF Original'!C1169="","",'DDF Original'!C1169)</f>
        <v/>
      </c>
      <c r="D1169" s="20" t="str">
        <f>IF('DDF Original'!F1169="","",'DDF Original'!F1169)</f>
        <v/>
      </c>
      <c r="E1169" s="38" t="str">
        <f>'Recálculo Confissão (85-B)'!N1169</f>
        <v/>
      </c>
      <c r="F1169" s="20" t="str">
        <f t="shared" si="36"/>
        <v/>
      </c>
      <c r="G1169" s="20" t="str">
        <f t="shared" si="37"/>
        <v/>
      </c>
    </row>
    <row r="1170" spans="2:7" x14ac:dyDescent="0.2">
      <c r="B1170" s="19" t="str">
        <f>IF('DDF Original'!B1170="","",'DDF Original'!B1170)</f>
        <v/>
      </c>
      <c r="C1170" s="20" t="str">
        <f>IF('DDF Original'!C1170="","",'DDF Original'!C1170)</f>
        <v/>
      </c>
      <c r="D1170" s="20" t="str">
        <f>IF('DDF Original'!F1170="","",'DDF Original'!F1170)</f>
        <v/>
      </c>
      <c r="E1170" s="38" t="str">
        <f>'Recálculo Confissão (85-B)'!N1170</f>
        <v/>
      </c>
      <c r="F1170" s="20" t="str">
        <f t="shared" si="36"/>
        <v/>
      </c>
      <c r="G1170" s="20" t="str">
        <f t="shared" si="37"/>
        <v/>
      </c>
    </row>
    <row r="1171" spans="2:7" x14ac:dyDescent="0.2">
      <c r="B1171" s="19" t="str">
        <f>IF('DDF Original'!B1171="","",'DDF Original'!B1171)</f>
        <v/>
      </c>
      <c r="C1171" s="20" t="str">
        <f>IF('DDF Original'!C1171="","",'DDF Original'!C1171)</f>
        <v/>
      </c>
      <c r="D1171" s="20" t="str">
        <f>IF('DDF Original'!F1171="","",'DDF Original'!F1171)</f>
        <v/>
      </c>
      <c r="E1171" s="38" t="str">
        <f>'Recálculo Confissão (85-B)'!N1171</f>
        <v/>
      </c>
      <c r="F1171" s="20" t="str">
        <f t="shared" si="36"/>
        <v/>
      </c>
      <c r="G1171" s="20" t="str">
        <f t="shared" si="37"/>
        <v/>
      </c>
    </row>
    <row r="1172" spans="2:7" x14ac:dyDescent="0.2">
      <c r="B1172" s="19" t="str">
        <f>IF('DDF Original'!B1172="","",'DDF Original'!B1172)</f>
        <v/>
      </c>
      <c r="C1172" s="20" t="str">
        <f>IF('DDF Original'!C1172="","",'DDF Original'!C1172)</f>
        <v/>
      </c>
      <c r="D1172" s="20" t="str">
        <f>IF('DDF Original'!F1172="","",'DDF Original'!F1172)</f>
        <v/>
      </c>
      <c r="E1172" s="38" t="str">
        <f>'Recálculo Confissão (85-B)'!N1172</f>
        <v/>
      </c>
      <c r="F1172" s="20" t="str">
        <f t="shared" si="36"/>
        <v/>
      </c>
      <c r="G1172" s="20" t="str">
        <f t="shared" si="37"/>
        <v/>
      </c>
    </row>
    <row r="1173" spans="2:7" x14ac:dyDescent="0.2">
      <c r="B1173" s="19" t="str">
        <f>IF('DDF Original'!B1173="","",'DDF Original'!B1173)</f>
        <v/>
      </c>
      <c r="C1173" s="20" t="str">
        <f>IF('DDF Original'!C1173="","",'DDF Original'!C1173)</f>
        <v/>
      </c>
      <c r="D1173" s="20" t="str">
        <f>IF('DDF Original'!F1173="","",'DDF Original'!F1173)</f>
        <v/>
      </c>
      <c r="E1173" s="38" t="str">
        <f>'Recálculo Confissão (85-B)'!N1173</f>
        <v/>
      </c>
      <c r="F1173" s="20" t="str">
        <f t="shared" si="36"/>
        <v/>
      </c>
      <c r="G1173" s="20" t="str">
        <f t="shared" si="37"/>
        <v/>
      </c>
    </row>
    <row r="1174" spans="2:7" x14ac:dyDescent="0.2">
      <c r="B1174" s="19" t="str">
        <f>IF('DDF Original'!B1174="","",'DDF Original'!B1174)</f>
        <v/>
      </c>
      <c r="C1174" s="20" t="str">
        <f>IF('DDF Original'!C1174="","",'DDF Original'!C1174)</f>
        <v/>
      </c>
      <c r="D1174" s="20" t="str">
        <f>IF('DDF Original'!F1174="","",'DDF Original'!F1174)</f>
        <v/>
      </c>
      <c r="E1174" s="38" t="str">
        <f>'Recálculo Confissão (85-B)'!N1174</f>
        <v/>
      </c>
      <c r="F1174" s="20" t="str">
        <f t="shared" si="36"/>
        <v/>
      </c>
      <c r="G1174" s="20" t="str">
        <f t="shared" si="37"/>
        <v/>
      </c>
    </row>
    <row r="1175" spans="2:7" x14ac:dyDescent="0.2">
      <c r="B1175" s="19" t="str">
        <f>IF('DDF Original'!B1175="","",'DDF Original'!B1175)</f>
        <v/>
      </c>
      <c r="C1175" s="20" t="str">
        <f>IF('DDF Original'!C1175="","",'DDF Original'!C1175)</f>
        <v/>
      </c>
      <c r="D1175" s="20" t="str">
        <f>IF('DDF Original'!F1175="","",'DDF Original'!F1175)</f>
        <v/>
      </c>
      <c r="E1175" s="38" t="str">
        <f>'Recálculo Confissão (85-B)'!N1175</f>
        <v/>
      </c>
      <c r="F1175" s="20" t="str">
        <f t="shared" si="36"/>
        <v/>
      </c>
      <c r="G1175" s="20" t="str">
        <f t="shared" si="37"/>
        <v/>
      </c>
    </row>
    <row r="1176" spans="2:7" x14ac:dyDescent="0.2">
      <c r="B1176" s="19" t="str">
        <f>IF('DDF Original'!B1176="","",'DDF Original'!B1176)</f>
        <v/>
      </c>
      <c r="C1176" s="20" t="str">
        <f>IF('DDF Original'!C1176="","",'DDF Original'!C1176)</f>
        <v/>
      </c>
      <c r="D1176" s="20" t="str">
        <f>IF('DDF Original'!F1176="","",'DDF Original'!F1176)</f>
        <v/>
      </c>
      <c r="E1176" s="38" t="str">
        <f>'Recálculo Confissão (85-B)'!N1176</f>
        <v/>
      </c>
      <c r="F1176" s="20" t="str">
        <f t="shared" si="36"/>
        <v/>
      </c>
      <c r="G1176" s="20" t="str">
        <f t="shared" si="37"/>
        <v/>
      </c>
    </row>
    <row r="1177" spans="2:7" x14ac:dyDescent="0.2">
      <c r="B1177" s="19" t="str">
        <f>IF('DDF Original'!B1177="","",'DDF Original'!B1177)</f>
        <v/>
      </c>
      <c r="C1177" s="20" t="str">
        <f>IF('DDF Original'!C1177="","",'DDF Original'!C1177)</f>
        <v/>
      </c>
      <c r="D1177" s="20" t="str">
        <f>IF('DDF Original'!F1177="","",'DDF Original'!F1177)</f>
        <v/>
      </c>
      <c r="E1177" s="38" t="str">
        <f>'Recálculo Confissão (85-B)'!N1177</f>
        <v/>
      </c>
      <c r="F1177" s="20" t="str">
        <f t="shared" si="36"/>
        <v/>
      </c>
      <c r="G1177" s="20" t="str">
        <f t="shared" si="37"/>
        <v/>
      </c>
    </row>
    <row r="1178" spans="2:7" x14ac:dyDescent="0.2">
      <c r="B1178" s="19" t="str">
        <f>IF('DDF Original'!B1178="","",'DDF Original'!B1178)</f>
        <v/>
      </c>
      <c r="C1178" s="20" t="str">
        <f>IF('DDF Original'!C1178="","",'DDF Original'!C1178)</f>
        <v/>
      </c>
      <c r="D1178" s="20" t="str">
        <f>IF('DDF Original'!F1178="","",'DDF Original'!F1178)</f>
        <v/>
      </c>
      <c r="E1178" s="38" t="str">
        <f>'Recálculo Confissão (85-B)'!N1178</f>
        <v/>
      </c>
      <c r="F1178" s="20" t="str">
        <f t="shared" si="36"/>
        <v/>
      </c>
      <c r="G1178" s="20" t="str">
        <f t="shared" si="37"/>
        <v/>
      </c>
    </row>
    <row r="1179" spans="2:7" x14ac:dyDescent="0.2">
      <c r="B1179" s="19" t="str">
        <f>IF('DDF Original'!B1179="","",'DDF Original'!B1179)</f>
        <v/>
      </c>
      <c r="C1179" s="20" t="str">
        <f>IF('DDF Original'!C1179="","",'DDF Original'!C1179)</f>
        <v/>
      </c>
      <c r="D1179" s="20" t="str">
        <f>IF('DDF Original'!F1179="","",'DDF Original'!F1179)</f>
        <v/>
      </c>
      <c r="E1179" s="38" t="str">
        <f>'Recálculo Confissão (85-B)'!N1179</f>
        <v/>
      </c>
      <c r="F1179" s="20" t="str">
        <f t="shared" si="36"/>
        <v/>
      </c>
      <c r="G1179" s="20" t="str">
        <f t="shared" si="37"/>
        <v/>
      </c>
    </row>
    <row r="1180" spans="2:7" x14ac:dyDescent="0.2">
      <c r="B1180" s="19" t="str">
        <f>IF('DDF Original'!B1180="","",'DDF Original'!B1180)</f>
        <v/>
      </c>
      <c r="C1180" s="20" t="str">
        <f>IF('DDF Original'!C1180="","",'DDF Original'!C1180)</f>
        <v/>
      </c>
      <c r="D1180" s="20" t="str">
        <f>IF('DDF Original'!F1180="","",'DDF Original'!F1180)</f>
        <v/>
      </c>
      <c r="E1180" s="38" t="str">
        <f>'Recálculo Confissão (85-B)'!N1180</f>
        <v/>
      </c>
      <c r="F1180" s="20" t="str">
        <f t="shared" si="36"/>
        <v/>
      </c>
      <c r="G1180" s="20" t="str">
        <f t="shared" si="37"/>
        <v/>
      </c>
    </row>
    <row r="1181" spans="2:7" x14ac:dyDescent="0.2">
      <c r="B1181" s="19" t="str">
        <f>IF('DDF Original'!B1181="","",'DDF Original'!B1181)</f>
        <v/>
      </c>
      <c r="C1181" s="20" t="str">
        <f>IF('DDF Original'!C1181="","",'DDF Original'!C1181)</f>
        <v/>
      </c>
      <c r="D1181" s="20" t="str">
        <f>IF('DDF Original'!F1181="","",'DDF Original'!F1181)</f>
        <v/>
      </c>
      <c r="E1181" s="38" t="str">
        <f>'Recálculo Confissão (85-B)'!N1181</f>
        <v/>
      </c>
      <c r="F1181" s="20" t="str">
        <f t="shared" si="36"/>
        <v/>
      </c>
      <c r="G1181" s="20" t="str">
        <f t="shared" si="37"/>
        <v/>
      </c>
    </row>
    <row r="1182" spans="2:7" x14ac:dyDescent="0.2">
      <c r="B1182" s="19" t="str">
        <f>IF('DDF Original'!B1182="","",'DDF Original'!B1182)</f>
        <v/>
      </c>
      <c r="C1182" s="20" t="str">
        <f>IF('DDF Original'!C1182="","",'DDF Original'!C1182)</f>
        <v/>
      </c>
      <c r="D1182" s="20" t="str">
        <f>IF('DDF Original'!F1182="","",'DDF Original'!F1182)</f>
        <v/>
      </c>
      <c r="E1182" s="38" t="str">
        <f>'Recálculo Confissão (85-B)'!N1182</f>
        <v/>
      </c>
      <c r="F1182" s="20" t="str">
        <f t="shared" si="36"/>
        <v/>
      </c>
      <c r="G1182" s="20" t="str">
        <f t="shared" si="37"/>
        <v/>
      </c>
    </row>
    <row r="1183" spans="2:7" x14ac:dyDescent="0.2">
      <c r="B1183" s="19" t="str">
        <f>IF('DDF Original'!B1183="","",'DDF Original'!B1183)</f>
        <v/>
      </c>
      <c r="C1183" s="20" t="str">
        <f>IF('DDF Original'!C1183="","",'DDF Original'!C1183)</f>
        <v/>
      </c>
      <c r="D1183" s="20" t="str">
        <f>IF('DDF Original'!F1183="","",'DDF Original'!F1183)</f>
        <v/>
      </c>
      <c r="E1183" s="38" t="str">
        <f>'Recálculo Confissão (85-B)'!N1183</f>
        <v/>
      </c>
      <c r="F1183" s="20" t="str">
        <f t="shared" si="36"/>
        <v/>
      </c>
      <c r="G1183" s="20" t="str">
        <f t="shared" si="37"/>
        <v/>
      </c>
    </row>
    <row r="1184" spans="2:7" x14ac:dyDescent="0.2">
      <c r="B1184" s="19" t="str">
        <f>IF('DDF Original'!B1184="","",'DDF Original'!B1184)</f>
        <v/>
      </c>
      <c r="C1184" s="20" t="str">
        <f>IF('DDF Original'!C1184="","",'DDF Original'!C1184)</f>
        <v/>
      </c>
      <c r="D1184" s="20" t="str">
        <f>IF('DDF Original'!F1184="","",'DDF Original'!F1184)</f>
        <v/>
      </c>
      <c r="E1184" s="38" t="str">
        <f>'Recálculo Confissão (85-B)'!N1184</f>
        <v/>
      </c>
      <c r="F1184" s="20" t="str">
        <f t="shared" si="36"/>
        <v/>
      </c>
      <c r="G1184" s="20" t="str">
        <f t="shared" si="37"/>
        <v/>
      </c>
    </row>
    <row r="1185" spans="2:7" x14ac:dyDescent="0.2">
      <c r="B1185" s="19" t="str">
        <f>IF('DDF Original'!B1185="","",'DDF Original'!B1185)</f>
        <v/>
      </c>
      <c r="C1185" s="20" t="str">
        <f>IF('DDF Original'!C1185="","",'DDF Original'!C1185)</f>
        <v/>
      </c>
      <c r="D1185" s="20" t="str">
        <f>IF('DDF Original'!F1185="","",'DDF Original'!F1185)</f>
        <v/>
      </c>
      <c r="E1185" s="38" t="str">
        <f>'Recálculo Confissão (85-B)'!N1185</f>
        <v/>
      </c>
      <c r="F1185" s="20" t="str">
        <f t="shared" si="36"/>
        <v/>
      </c>
      <c r="G1185" s="20" t="str">
        <f t="shared" si="37"/>
        <v/>
      </c>
    </row>
    <row r="1186" spans="2:7" x14ac:dyDescent="0.2">
      <c r="B1186" s="19" t="str">
        <f>IF('DDF Original'!B1186="","",'DDF Original'!B1186)</f>
        <v/>
      </c>
      <c r="C1186" s="20" t="str">
        <f>IF('DDF Original'!C1186="","",'DDF Original'!C1186)</f>
        <v/>
      </c>
      <c r="D1186" s="20" t="str">
        <f>IF('DDF Original'!F1186="","",'DDF Original'!F1186)</f>
        <v/>
      </c>
      <c r="E1186" s="38" t="str">
        <f>'Recálculo Confissão (85-B)'!N1186</f>
        <v/>
      </c>
      <c r="F1186" s="20" t="str">
        <f t="shared" si="36"/>
        <v/>
      </c>
      <c r="G1186" s="20" t="str">
        <f t="shared" si="37"/>
        <v/>
      </c>
    </row>
    <row r="1187" spans="2:7" x14ac:dyDescent="0.2">
      <c r="B1187" s="19" t="str">
        <f>IF('DDF Original'!B1187="","",'DDF Original'!B1187)</f>
        <v/>
      </c>
      <c r="C1187" s="20" t="str">
        <f>IF('DDF Original'!C1187="","",'DDF Original'!C1187)</f>
        <v/>
      </c>
      <c r="D1187" s="20" t="str">
        <f>IF('DDF Original'!F1187="","",'DDF Original'!F1187)</f>
        <v/>
      </c>
      <c r="E1187" s="38" t="str">
        <f>'Recálculo Confissão (85-B)'!N1187</f>
        <v/>
      </c>
      <c r="F1187" s="20" t="str">
        <f t="shared" si="36"/>
        <v/>
      </c>
      <c r="G1187" s="20" t="str">
        <f t="shared" si="37"/>
        <v/>
      </c>
    </row>
    <row r="1188" spans="2:7" x14ac:dyDescent="0.2">
      <c r="B1188" s="19" t="str">
        <f>IF('DDF Original'!B1188="","",'DDF Original'!B1188)</f>
        <v/>
      </c>
      <c r="C1188" s="20" t="str">
        <f>IF('DDF Original'!C1188="","",'DDF Original'!C1188)</f>
        <v/>
      </c>
      <c r="D1188" s="20" t="str">
        <f>IF('DDF Original'!F1188="","",'DDF Original'!F1188)</f>
        <v/>
      </c>
      <c r="E1188" s="38" t="str">
        <f>'Recálculo Confissão (85-B)'!N1188</f>
        <v/>
      </c>
      <c r="F1188" s="20" t="str">
        <f t="shared" si="36"/>
        <v/>
      </c>
      <c r="G1188" s="20" t="str">
        <f t="shared" si="37"/>
        <v/>
      </c>
    </row>
    <row r="1189" spans="2:7" x14ac:dyDescent="0.2">
      <c r="B1189" s="19" t="str">
        <f>IF('DDF Original'!B1189="","",'DDF Original'!B1189)</f>
        <v/>
      </c>
      <c r="C1189" s="20" t="str">
        <f>IF('DDF Original'!C1189="","",'DDF Original'!C1189)</f>
        <v/>
      </c>
      <c r="D1189" s="20" t="str">
        <f>IF('DDF Original'!F1189="","",'DDF Original'!F1189)</f>
        <v/>
      </c>
      <c r="E1189" s="38" t="str">
        <f>'Recálculo Confissão (85-B)'!N1189</f>
        <v/>
      </c>
      <c r="F1189" s="20" t="str">
        <f t="shared" si="36"/>
        <v/>
      </c>
      <c r="G1189" s="20" t="str">
        <f t="shared" si="37"/>
        <v/>
      </c>
    </row>
    <row r="1190" spans="2:7" x14ac:dyDescent="0.2">
      <c r="B1190" s="19" t="str">
        <f>IF('DDF Original'!B1190="","",'DDF Original'!B1190)</f>
        <v/>
      </c>
      <c r="C1190" s="20" t="str">
        <f>IF('DDF Original'!C1190="","",'DDF Original'!C1190)</f>
        <v/>
      </c>
      <c r="D1190" s="20" t="str">
        <f>IF('DDF Original'!F1190="","",'DDF Original'!F1190)</f>
        <v/>
      </c>
      <c r="E1190" s="38" t="str">
        <f>'Recálculo Confissão (85-B)'!N1190</f>
        <v/>
      </c>
      <c r="F1190" s="20" t="str">
        <f t="shared" si="36"/>
        <v/>
      </c>
      <c r="G1190" s="20" t="str">
        <f t="shared" si="37"/>
        <v/>
      </c>
    </row>
    <row r="1191" spans="2:7" x14ac:dyDescent="0.2">
      <c r="B1191" s="19" t="str">
        <f>IF('DDF Original'!B1191="","",'DDF Original'!B1191)</f>
        <v/>
      </c>
      <c r="C1191" s="20" t="str">
        <f>IF('DDF Original'!C1191="","",'DDF Original'!C1191)</f>
        <v/>
      </c>
      <c r="D1191" s="20" t="str">
        <f>IF('DDF Original'!F1191="","",'DDF Original'!F1191)</f>
        <v/>
      </c>
      <c r="E1191" s="38" t="str">
        <f>'Recálculo Confissão (85-B)'!N1191</f>
        <v/>
      </c>
      <c r="F1191" s="20" t="str">
        <f t="shared" si="36"/>
        <v/>
      </c>
      <c r="G1191" s="20" t="str">
        <f t="shared" si="37"/>
        <v/>
      </c>
    </row>
    <row r="1192" spans="2:7" x14ac:dyDescent="0.2">
      <c r="B1192" s="19" t="str">
        <f>IF('DDF Original'!B1192="","",'DDF Original'!B1192)</f>
        <v/>
      </c>
      <c r="C1192" s="20" t="str">
        <f>IF('DDF Original'!C1192="","",'DDF Original'!C1192)</f>
        <v/>
      </c>
      <c r="D1192" s="20" t="str">
        <f>IF('DDF Original'!F1192="","",'DDF Original'!F1192)</f>
        <v/>
      </c>
      <c r="E1192" s="38" t="str">
        <f>'Recálculo Confissão (85-B)'!N1192</f>
        <v/>
      </c>
      <c r="F1192" s="20" t="str">
        <f t="shared" si="36"/>
        <v/>
      </c>
      <c r="G1192" s="20" t="str">
        <f t="shared" si="37"/>
        <v/>
      </c>
    </row>
    <row r="1193" spans="2:7" x14ac:dyDescent="0.2">
      <c r="B1193" s="19" t="str">
        <f>IF('DDF Original'!B1193="","",'DDF Original'!B1193)</f>
        <v/>
      </c>
      <c r="C1193" s="20" t="str">
        <f>IF('DDF Original'!C1193="","",'DDF Original'!C1193)</f>
        <v/>
      </c>
      <c r="D1193" s="20" t="str">
        <f>IF('DDF Original'!F1193="","",'DDF Original'!F1193)</f>
        <v/>
      </c>
      <c r="E1193" s="38" t="str">
        <f>'Recálculo Confissão (85-B)'!N1193</f>
        <v/>
      </c>
      <c r="F1193" s="20" t="str">
        <f t="shared" si="36"/>
        <v/>
      </c>
      <c r="G1193" s="20" t="str">
        <f t="shared" si="37"/>
        <v/>
      </c>
    </row>
    <row r="1194" spans="2:7" x14ac:dyDescent="0.2">
      <c r="B1194" s="19" t="str">
        <f>IF('DDF Original'!B1194="","",'DDF Original'!B1194)</f>
        <v/>
      </c>
      <c r="C1194" s="20" t="str">
        <f>IF('DDF Original'!C1194="","",'DDF Original'!C1194)</f>
        <v/>
      </c>
      <c r="D1194" s="20" t="str">
        <f>IF('DDF Original'!F1194="","",'DDF Original'!F1194)</f>
        <v/>
      </c>
      <c r="E1194" s="38" t="str">
        <f>'Recálculo Confissão (85-B)'!N1194</f>
        <v/>
      </c>
      <c r="F1194" s="20" t="str">
        <f t="shared" si="36"/>
        <v/>
      </c>
      <c r="G1194" s="20" t="str">
        <f t="shared" si="37"/>
        <v/>
      </c>
    </row>
    <row r="1195" spans="2:7" x14ac:dyDescent="0.2">
      <c r="B1195" s="19" t="str">
        <f>IF('DDF Original'!B1195="","",'DDF Original'!B1195)</f>
        <v/>
      </c>
      <c r="C1195" s="20" t="str">
        <f>IF('DDF Original'!C1195="","",'DDF Original'!C1195)</f>
        <v/>
      </c>
      <c r="D1195" s="20" t="str">
        <f>IF('DDF Original'!F1195="","",'DDF Original'!F1195)</f>
        <v/>
      </c>
      <c r="E1195" s="38" t="str">
        <f>'Recálculo Confissão (85-B)'!N1195</f>
        <v/>
      </c>
      <c r="F1195" s="20" t="str">
        <f t="shared" si="36"/>
        <v/>
      </c>
      <c r="G1195" s="20" t="str">
        <f t="shared" si="37"/>
        <v/>
      </c>
    </row>
    <row r="1196" spans="2:7" x14ac:dyDescent="0.2">
      <c r="B1196" s="19" t="str">
        <f>IF('DDF Original'!B1196="","",'DDF Original'!B1196)</f>
        <v/>
      </c>
      <c r="C1196" s="20" t="str">
        <f>IF('DDF Original'!C1196="","",'DDF Original'!C1196)</f>
        <v/>
      </c>
      <c r="D1196" s="20" t="str">
        <f>IF('DDF Original'!F1196="","",'DDF Original'!F1196)</f>
        <v/>
      </c>
      <c r="E1196" s="38" t="str">
        <f>'Recálculo Confissão (85-B)'!N1196</f>
        <v/>
      </c>
      <c r="F1196" s="20" t="str">
        <f t="shared" si="36"/>
        <v/>
      </c>
      <c r="G1196" s="20" t="str">
        <f t="shared" si="37"/>
        <v/>
      </c>
    </row>
    <row r="1197" spans="2:7" x14ac:dyDescent="0.2">
      <c r="B1197" s="19" t="str">
        <f>IF('DDF Original'!B1197="","",'DDF Original'!B1197)</f>
        <v/>
      </c>
      <c r="C1197" s="20" t="str">
        <f>IF('DDF Original'!C1197="","",'DDF Original'!C1197)</f>
        <v/>
      </c>
      <c r="D1197" s="20" t="str">
        <f>IF('DDF Original'!F1197="","",'DDF Original'!F1197)</f>
        <v/>
      </c>
      <c r="E1197" s="38" t="str">
        <f>'Recálculo Confissão (85-B)'!N1197</f>
        <v/>
      </c>
      <c r="F1197" s="20" t="str">
        <f t="shared" si="36"/>
        <v/>
      </c>
      <c r="G1197" s="20" t="str">
        <f t="shared" si="37"/>
        <v/>
      </c>
    </row>
    <row r="1198" spans="2:7" x14ac:dyDescent="0.2">
      <c r="B1198" s="19" t="str">
        <f>IF('DDF Original'!B1198="","",'DDF Original'!B1198)</f>
        <v/>
      </c>
      <c r="C1198" s="20" t="str">
        <f>IF('DDF Original'!C1198="","",'DDF Original'!C1198)</f>
        <v/>
      </c>
      <c r="D1198" s="20" t="str">
        <f>IF('DDF Original'!F1198="","",'DDF Original'!F1198)</f>
        <v/>
      </c>
      <c r="E1198" s="38" t="str">
        <f>'Recálculo Confissão (85-B)'!N1198</f>
        <v/>
      </c>
      <c r="F1198" s="20" t="str">
        <f t="shared" si="36"/>
        <v/>
      </c>
      <c r="G1198" s="20" t="str">
        <f t="shared" si="37"/>
        <v/>
      </c>
    </row>
    <row r="1199" spans="2:7" x14ac:dyDescent="0.2">
      <c r="B1199" s="19" t="str">
        <f>IF('DDF Original'!B1199="","",'DDF Original'!B1199)</f>
        <v/>
      </c>
      <c r="C1199" s="20" t="str">
        <f>IF('DDF Original'!C1199="","",'DDF Original'!C1199)</f>
        <v/>
      </c>
      <c r="D1199" s="20" t="str">
        <f>IF('DDF Original'!F1199="","",'DDF Original'!F1199)</f>
        <v/>
      </c>
      <c r="E1199" s="38" t="str">
        <f>'Recálculo Confissão (85-B)'!N1199</f>
        <v/>
      </c>
      <c r="F1199" s="20" t="str">
        <f t="shared" si="36"/>
        <v/>
      </c>
      <c r="G1199" s="20" t="str">
        <f t="shared" si="37"/>
        <v/>
      </c>
    </row>
    <row r="1200" spans="2:7" x14ac:dyDescent="0.2">
      <c r="B1200" s="19" t="str">
        <f>IF('DDF Original'!B1200="","",'DDF Original'!B1200)</f>
        <v/>
      </c>
      <c r="C1200" s="20" t="str">
        <f>IF('DDF Original'!C1200="","",'DDF Original'!C1200)</f>
        <v/>
      </c>
      <c r="D1200" s="20" t="str">
        <f>IF('DDF Original'!F1200="","",'DDF Original'!F1200)</f>
        <v/>
      </c>
      <c r="E1200" s="38" t="str">
        <f>'Recálculo Confissão (85-B)'!N1200</f>
        <v/>
      </c>
      <c r="F1200" s="20" t="str">
        <f t="shared" si="36"/>
        <v/>
      </c>
      <c r="G1200" s="20" t="str">
        <f t="shared" si="37"/>
        <v/>
      </c>
    </row>
    <row r="1201" spans="2:7" x14ac:dyDescent="0.2">
      <c r="B1201" s="19" t="str">
        <f>IF('DDF Original'!B1201="","",'DDF Original'!B1201)</f>
        <v/>
      </c>
      <c r="C1201" s="20" t="str">
        <f>IF('DDF Original'!C1201="","",'DDF Original'!C1201)</f>
        <v/>
      </c>
      <c r="D1201" s="20" t="str">
        <f>IF('DDF Original'!F1201="","",'DDF Original'!F1201)</f>
        <v/>
      </c>
      <c r="E1201" s="38" t="str">
        <f>'Recálculo Confissão (85-B)'!N1201</f>
        <v/>
      </c>
      <c r="F1201" s="20" t="str">
        <f t="shared" si="36"/>
        <v/>
      </c>
      <c r="G1201" s="20" t="str">
        <f t="shared" si="37"/>
        <v/>
      </c>
    </row>
    <row r="1202" spans="2:7" x14ac:dyDescent="0.2">
      <c r="B1202" s="19" t="str">
        <f>IF('DDF Original'!B1202="","",'DDF Original'!B1202)</f>
        <v/>
      </c>
      <c r="C1202" s="20" t="str">
        <f>IF('DDF Original'!C1202="","",'DDF Original'!C1202)</f>
        <v/>
      </c>
      <c r="D1202" s="20" t="str">
        <f>IF('DDF Original'!F1202="","",'DDF Original'!F1202)</f>
        <v/>
      </c>
      <c r="E1202" s="38" t="str">
        <f>'Recálculo Confissão (85-B)'!N1202</f>
        <v/>
      </c>
      <c r="F1202" s="20" t="str">
        <f t="shared" si="36"/>
        <v/>
      </c>
      <c r="G1202" s="20" t="str">
        <f t="shared" si="37"/>
        <v/>
      </c>
    </row>
    <row r="1203" spans="2:7" x14ac:dyDescent="0.2">
      <c r="B1203" s="19" t="str">
        <f>IF('DDF Original'!B1203="","",'DDF Original'!B1203)</f>
        <v/>
      </c>
      <c r="C1203" s="20" t="str">
        <f>IF('DDF Original'!C1203="","",'DDF Original'!C1203)</f>
        <v/>
      </c>
      <c r="D1203" s="20" t="str">
        <f>IF('DDF Original'!F1203="","",'DDF Original'!F1203)</f>
        <v/>
      </c>
      <c r="E1203" s="38" t="str">
        <f>'Recálculo Confissão (85-B)'!N1203</f>
        <v/>
      </c>
      <c r="F1203" s="20" t="str">
        <f t="shared" si="36"/>
        <v/>
      </c>
      <c r="G1203" s="20" t="str">
        <f t="shared" si="37"/>
        <v/>
      </c>
    </row>
    <row r="1204" spans="2:7" x14ac:dyDescent="0.2">
      <c r="B1204" s="19" t="str">
        <f>IF('DDF Original'!B1204="","",'DDF Original'!B1204)</f>
        <v/>
      </c>
      <c r="C1204" s="20" t="str">
        <f>IF('DDF Original'!C1204="","",'DDF Original'!C1204)</f>
        <v/>
      </c>
      <c r="D1204" s="20" t="str">
        <f>IF('DDF Original'!F1204="","",'DDF Original'!F1204)</f>
        <v/>
      </c>
      <c r="E1204" s="38" t="str">
        <f>'Recálculo Confissão (85-B)'!N1204</f>
        <v/>
      </c>
      <c r="F1204" s="20" t="str">
        <f t="shared" si="36"/>
        <v/>
      </c>
      <c r="G1204" s="20" t="str">
        <f t="shared" si="37"/>
        <v/>
      </c>
    </row>
    <row r="1205" spans="2:7" x14ac:dyDescent="0.2">
      <c r="B1205" s="19" t="str">
        <f>IF('DDF Original'!B1205="","",'DDF Original'!B1205)</f>
        <v/>
      </c>
      <c r="C1205" s="20" t="str">
        <f>IF('DDF Original'!C1205="","",'DDF Original'!C1205)</f>
        <v/>
      </c>
      <c r="D1205" s="20" t="str">
        <f>IF('DDF Original'!F1205="","",'DDF Original'!F1205)</f>
        <v/>
      </c>
      <c r="E1205" s="38" t="str">
        <f>'Recálculo Confissão (85-B)'!N1205</f>
        <v/>
      </c>
      <c r="F1205" s="20" t="str">
        <f t="shared" si="36"/>
        <v/>
      </c>
      <c r="G1205" s="20" t="str">
        <f t="shared" si="37"/>
        <v/>
      </c>
    </row>
    <row r="1206" spans="2:7" x14ac:dyDescent="0.2">
      <c r="B1206" s="19" t="str">
        <f>IF('DDF Original'!B1206="","",'DDF Original'!B1206)</f>
        <v/>
      </c>
      <c r="C1206" s="20" t="str">
        <f>IF('DDF Original'!C1206="","",'DDF Original'!C1206)</f>
        <v/>
      </c>
      <c r="D1206" s="20" t="str">
        <f>IF('DDF Original'!F1206="","",'DDF Original'!F1206)</f>
        <v/>
      </c>
      <c r="E1206" s="38" t="str">
        <f>'Recálculo Confissão (85-B)'!N1206</f>
        <v/>
      </c>
      <c r="F1206" s="20" t="str">
        <f t="shared" si="36"/>
        <v/>
      </c>
      <c r="G1206" s="20" t="str">
        <f t="shared" si="37"/>
        <v/>
      </c>
    </row>
    <row r="1207" spans="2:7" x14ac:dyDescent="0.2">
      <c r="B1207" s="19" t="str">
        <f>IF('DDF Original'!B1207="","",'DDF Original'!B1207)</f>
        <v/>
      </c>
      <c r="C1207" s="20" t="str">
        <f>IF('DDF Original'!C1207="","",'DDF Original'!C1207)</f>
        <v/>
      </c>
      <c r="D1207" s="20" t="str">
        <f>IF('DDF Original'!F1207="","",'DDF Original'!F1207)</f>
        <v/>
      </c>
      <c r="E1207" s="38" t="str">
        <f>'Recálculo Confissão (85-B)'!N1207</f>
        <v/>
      </c>
      <c r="F1207" s="20" t="str">
        <f t="shared" si="36"/>
        <v/>
      </c>
      <c r="G1207" s="20" t="str">
        <f t="shared" si="37"/>
        <v/>
      </c>
    </row>
    <row r="1208" spans="2:7" x14ac:dyDescent="0.2">
      <c r="B1208" s="19" t="str">
        <f>IF('DDF Original'!B1208="","",'DDF Original'!B1208)</f>
        <v/>
      </c>
      <c r="C1208" s="20" t="str">
        <f>IF('DDF Original'!C1208="","",'DDF Original'!C1208)</f>
        <v/>
      </c>
      <c r="D1208" s="20" t="str">
        <f>IF('DDF Original'!F1208="","",'DDF Original'!F1208)</f>
        <v/>
      </c>
      <c r="E1208" s="38" t="str">
        <f>'Recálculo Confissão (85-B)'!N1208</f>
        <v/>
      </c>
      <c r="F1208" s="20" t="str">
        <f t="shared" si="36"/>
        <v/>
      </c>
      <c r="G1208" s="20" t="str">
        <f t="shared" si="37"/>
        <v/>
      </c>
    </row>
    <row r="1209" spans="2:7" x14ac:dyDescent="0.2">
      <c r="B1209" s="19" t="str">
        <f>IF('DDF Original'!B1209="","",'DDF Original'!B1209)</f>
        <v/>
      </c>
      <c r="C1209" s="20" t="str">
        <f>IF('DDF Original'!C1209="","",'DDF Original'!C1209)</f>
        <v/>
      </c>
      <c r="D1209" s="20" t="str">
        <f>IF('DDF Original'!F1209="","",'DDF Original'!F1209)</f>
        <v/>
      </c>
      <c r="E1209" s="38" t="str">
        <f>'Recálculo Confissão (85-B)'!N1209</f>
        <v/>
      </c>
      <c r="F1209" s="20" t="str">
        <f t="shared" si="36"/>
        <v/>
      </c>
      <c r="G1209" s="20" t="str">
        <f t="shared" si="37"/>
        <v/>
      </c>
    </row>
    <row r="1210" spans="2:7" x14ac:dyDescent="0.2">
      <c r="B1210" s="19" t="str">
        <f>IF('DDF Original'!B1210="","",'DDF Original'!B1210)</f>
        <v/>
      </c>
      <c r="C1210" s="20" t="str">
        <f>IF('DDF Original'!C1210="","",'DDF Original'!C1210)</f>
        <v/>
      </c>
      <c r="D1210" s="20" t="str">
        <f>IF('DDF Original'!F1210="","",'DDF Original'!F1210)</f>
        <v/>
      </c>
      <c r="E1210" s="38" t="str">
        <f>'Recálculo Confissão (85-B)'!N1210</f>
        <v/>
      </c>
      <c r="F1210" s="20" t="str">
        <f t="shared" si="36"/>
        <v/>
      </c>
      <c r="G1210" s="20" t="str">
        <f t="shared" si="37"/>
        <v/>
      </c>
    </row>
    <row r="1211" spans="2:7" x14ac:dyDescent="0.2">
      <c r="B1211" s="19" t="str">
        <f>IF('DDF Original'!B1211="","",'DDF Original'!B1211)</f>
        <v/>
      </c>
      <c r="C1211" s="20" t="str">
        <f>IF('DDF Original'!C1211="","",'DDF Original'!C1211)</f>
        <v/>
      </c>
      <c r="D1211" s="20" t="str">
        <f>IF('DDF Original'!F1211="","",'DDF Original'!F1211)</f>
        <v/>
      </c>
      <c r="E1211" s="38" t="str">
        <f>'Recálculo Confissão (85-B)'!N1211</f>
        <v/>
      </c>
      <c r="F1211" s="20" t="str">
        <f t="shared" si="36"/>
        <v/>
      </c>
      <c r="G1211" s="20" t="str">
        <f t="shared" si="37"/>
        <v/>
      </c>
    </row>
    <row r="1212" spans="2:7" x14ac:dyDescent="0.2">
      <c r="B1212" s="19" t="str">
        <f>IF('DDF Original'!B1212="","",'DDF Original'!B1212)</f>
        <v/>
      </c>
      <c r="C1212" s="20" t="str">
        <f>IF('DDF Original'!C1212="","",'DDF Original'!C1212)</f>
        <v/>
      </c>
      <c r="D1212" s="20" t="str">
        <f>IF('DDF Original'!F1212="","",'DDF Original'!F1212)</f>
        <v/>
      </c>
      <c r="E1212" s="38" t="str">
        <f>'Recálculo Confissão (85-B)'!N1212</f>
        <v/>
      </c>
      <c r="F1212" s="20" t="str">
        <f t="shared" si="36"/>
        <v/>
      </c>
      <c r="G1212" s="20" t="str">
        <f t="shared" si="37"/>
        <v/>
      </c>
    </row>
    <row r="1213" spans="2:7" x14ac:dyDescent="0.2">
      <c r="B1213" s="19" t="str">
        <f>IF('DDF Original'!B1213="","",'DDF Original'!B1213)</f>
        <v/>
      </c>
      <c r="C1213" s="20" t="str">
        <f>IF('DDF Original'!C1213="","",'DDF Original'!C1213)</f>
        <v/>
      </c>
      <c r="D1213" s="20" t="str">
        <f>IF('DDF Original'!F1213="","",'DDF Original'!F1213)</f>
        <v/>
      </c>
      <c r="E1213" s="38" t="str">
        <f>'Recálculo Confissão (85-B)'!N1213</f>
        <v/>
      </c>
      <c r="F1213" s="20" t="str">
        <f t="shared" ref="F1213:F1276" si="38">IF(E1213="","",ROUND(E1213*(1-70%),2))</f>
        <v/>
      </c>
      <c r="G1213" s="20" t="str">
        <f t="shared" ref="G1213:G1276" si="39">IF(E1213="","",ROUND(E1213*(1-60%),2))</f>
        <v/>
      </c>
    </row>
    <row r="1214" spans="2:7" x14ac:dyDescent="0.2">
      <c r="B1214" s="19" t="str">
        <f>IF('DDF Original'!B1214="","",'DDF Original'!B1214)</f>
        <v/>
      </c>
      <c r="C1214" s="20" t="str">
        <f>IF('DDF Original'!C1214="","",'DDF Original'!C1214)</f>
        <v/>
      </c>
      <c r="D1214" s="20" t="str">
        <f>IF('DDF Original'!F1214="","",'DDF Original'!F1214)</f>
        <v/>
      </c>
      <c r="E1214" s="38" t="str">
        <f>'Recálculo Confissão (85-B)'!N1214</f>
        <v/>
      </c>
      <c r="F1214" s="20" t="str">
        <f t="shared" si="38"/>
        <v/>
      </c>
      <c r="G1214" s="20" t="str">
        <f t="shared" si="39"/>
        <v/>
      </c>
    </row>
    <row r="1215" spans="2:7" x14ac:dyDescent="0.2">
      <c r="B1215" s="19" t="str">
        <f>IF('DDF Original'!B1215="","",'DDF Original'!B1215)</f>
        <v/>
      </c>
      <c r="C1215" s="20" t="str">
        <f>IF('DDF Original'!C1215="","",'DDF Original'!C1215)</f>
        <v/>
      </c>
      <c r="D1215" s="20" t="str">
        <f>IF('DDF Original'!F1215="","",'DDF Original'!F1215)</f>
        <v/>
      </c>
      <c r="E1215" s="38" t="str">
        <f>'Recálculo Confissão (85-B)'!N1215</f>
        <v/>
      </c>
      <c r="F1215" s="20" t="str">
        <f t="shared" si="38"/>
        <v/>
      </c>
      <c r="G1215" s="20" t="str">
        <f t="shared" si="39"/>
        <v/>
      </c>
    </row>
    <row r="1216" spans="2:7" x14ac:dyDescent="0.2">
      <c r="B1216" s="19" t="str">
        <f>IF('DDF Original'!B1216="","",'DDF Original'!B1216)</f>
        <v/>
      </c>
      <c r="C1216" s="20" t="str">
        <f>IF('DDF Original'!C1216="","",'DDF Original'!C1216)</f>
        <v/>
      </c>
      <c r="D1216" s="20" t="str">
        <f>IF('DDF Original'!F1216="","",'DDF Original'!F1216)</f>
        <v/>
      </c>
      <c r="E1216" s="38" t="str">
        <f>'Recálculo Confissão (85-B)'!N1216</f>
        <v/>
      </c>
      <c r="F1216" s="20" t="str">
        <f t="shared" si="38"/>
        <v/>
      </c>
      <c r="G1216" s="20" t="str">
        <f t="shared" si="39"/>
        <v/>
      </c>
    </row>
    <row r="1217" spans="2:7" x14ac:dyDescent="0.2">
      <c r="B1217" s="19" t="str">
        <f>IF('DDF Original'!B1217="","",'DDF Original'!B1217)</f>
        <v/>
      </c>
      <c r="C1217" s="20" t="str">
        <f>IF('DDF Original'!C1217="","",'DDF Original'!C1217)</f>
        <v/>
      </c>
      <c r="D1217" s="20" t="str">
        <f>IF('DDF Original'!F1217="","",'DDF Original'!F1217)</f>
        <v/>
      </c>
      <c r="E1217" s="38" t="str">
        <f>'Recálculo Confissão (85-B)'!N1217</f>
        <v/>
      </c>
      <c r="F1217" s="20" t="str">
        <f t="shared" si="38"/>
        <v/>
      </c>
      <c r="G1217" s="20" t="str">
        <f t="shared" si="39"/>
        <v/>
      </c>
    </row>
    <row r="1218" spans="2:7" x14ac:dyDescent="0.2">
      <c r="B1218" s="19" t="str">
        <f>IF('DDF Original'!B1218="","",'DDF Original'!B1218)</f>
        <v/>
      </c>
      <c r="C1218" s="20" t="str">
        <f>IF('DDF Original'!C1218="","",'DDF Original'!C1218)</f>
        <v/>
      </c>
      <c r="D1218" s="20" t="str">
        <f>IF('DDF Original'!F1218="","",'DDF Original'!F1218)</f>
        <v/>
      </c>
      <c r="E1218" s="38" t="str">
        <f>'Recálculo Confissão (85-B)'!N1218</f>
        <v/>
      </c>
      <c r="F1218" s="20" t="str">
        <f t="shared" si="38"/>
        <v/>
      </c>
      <c r="G1218" s="20" t="str">
        <f t="shared" si="39"/>
        <v/>
      </c>
    </row>
    <row r="1219" spans="2:7" x14ac:dyDescent="0.2">
      <c r="B1219" s="19" t="str">
        <f>IF('DDF Original'!B1219="","",'DDF Original'!B1219)</f>
        <v/>
      </c>
      <c r="C1219" s="20" t="str">
        <f>IF('DDF Original'!C1219="","",'DDF Original'!C1219)</f>
        <v/>
      </c>
      <c r="D1219" s="20" t="str">
        <f>IF('DDF Original'!F1219="","",'DDF Original'!F1219)</f>
        <v/>
      </c>
      <c r="E1219" s="38" t="str">
        <f>'Recálculo Confissão (85-B)'!N1219</f>
        <v/>
      </c>
      <c r="F1219" s="20" t="str">
        <f t="shared" si="38"/>
        <v/>
      </c>
      <c r="G1219" s="20" t="str">
        <f t="shared" si="39"/>
        <v/>
      </c>
    </row>
    <row r="1220" spans="2:7" x14ac:dyDescent="0.2">
      <c r="B1220" s="19" t="str">
        <f>IF('DDF Original'!B1220="","",'DDF Original'!B1220)</f>
        <v/>
      </c>
      <c r="C1220" s="20" t="str">
        <f>IF('DDF Original'!C1220="","",'DDF Original'!C1220)</f>
        <v/>
      </c>
      <c r="D1220" s="20" t="str">
        <f>IF('DDF Original'!F1220="","",'DDF Original'!F1220)</f>
        <v/>
      </c>
      <c r="E1220" s="38" t="str">
        <f>'Recálculo Confissão (85-B)'!N1220</f>
        <v/>
      </c>
      <c r="F1220" s="20" t="str">
        <f t="shared" si="38"/>
        <v/>
      </c>
      <c r="G1220" s="20" t="str">
        <f t="shared" si="39"/>
        <v/>
      </c>
    </row>
    <row r="1221" spans="2:7" x14ac:dyDescent="0.2">
      <c r="B1221" s="19" t="str">
        <f>IF('DDF Original'!B1221="","",'DDF Original'!B1221)</f>
        <v/>
      </c>
      <c r="C1221" s="20" t="str">
        <f>IF('DDF Original'!C1221="","",'DDF Original'!C1221)</f>
        <v/>
      </c>
      <c r="D1221" s="20" t="str">
        <f>IF('DDF Original'!F1221="","",'DDF Original'!F1221)</f>
        <v/>
      </c>
      <c r="E1221" s="38" t="str">
        <f>'Recálculo Confissão (85-B)'!N1221</f>
        <v/>
      </c>
      <c r="F1221" s="20" t="str">
        <f t="shared" si="38"/>
        <v/>
      </c>
      <c r="G1221" s="20" t="str">
        <f t="shared" si="39"/>
        <v/>
      </c>
    </row>
    <row r="1222" spans="2:7" x14ac:dyDescent="0.2">
      <c r="B1222" s="19" t="str">
        <f>IF('DDF Original'!B1222="","",'DDF Original'!B1222)</f>
        <v/>
      </c>
      <c r="C1222" s="20" t="str">
        <f>IF('DDF Original'!C1222="","",'DDF Original'!C1222)</f>
        <v/>
      </c>
      <c r="D1222" s="20" t="str">
        <f>IF('DDF Original'!F1222="","",'DDF Original'!F1222)</f>
        <v/>
      </c>
      <c r="E1222" s="38" t="str">
        <f>'Recálculo Confissão (85-B)'!N1222</f>
        <v/>
      </c>
      <c r="F1222" s="20" t="str">
        <f t="shared" si="38"/>
        <v/>
      </c>
      <c r="G1222" s="20" t="str">
        <f t="shared" si="39"/>
        <v/>
      </c>
    </row>
    <row r="1223" spans="2:7" x14ac:dyDescent="0.2">
      <c r="B1223" s="19" t="str">
        <f>IF('DDF Original'!B1223="","",'DDF Original'!B1223)</f>
        <v/>
      </c>
      <c r="C1223" s="20" t="str">
        <f>IF('DDF Original'!C1223="","",'DDF Original'!C1223)</f>
        <v/>
      </c>
      <c r="D1223" s="20" t="str">
        <f>IF('DDF Original'!F1223="","",'DDF Original'!F1223)</f>
        <v/>
      </c>
      <c r="E1223" s="38" t="str">
        <f>'Recálculo Confissão (85-B)'!N1223</f>
        <v/>
      </c>
      <c r="F1223" s="20" t="str">
        <f t="shared" si="38"/>
        <v/>
      </c>
      <c r="G1223" s="20" t="str">
        <f t="shared" si="39"/>
        <v/>
      </c>
    </row>
    <row r="1224" spans="2:7" x14ac:dyDescent="0.2">
      <c r="B1224" s="19" t="str">
        <f>IF('DDF Original'!B1224="","",'DDF Original'!B1224)</f>
        <v/>
      </c>
      <c r="C1224" s="20" t="str">
        <f>IF('DDF Original'!C1224="","",'DDF Original'!C1224)</f>
        <v/>
      </c>
      <c r="D1224" s="20" t="str">
        <f>IF('DDF Original'!F1224="","",'DDF Original'!F1224)</f>
        <v/>
      </c>
      <c r="E1224" s="38" t="str">
        <f>'Recálculo Confissão (85-B)'!N1224</f>
        <v/>
      </c>
      <c r="F1224" s="20" t="str">
        <f t="shared" si="38"/>
        <v/>
      </c>
      <c r="G1224" s="20" t="str">
        <f t="shared" si="39"/>
        <v/>
      </c>
    </row>
    <row r="1225" spans="2:7" x14ac:dyDescent="0.2">
      <c r="B1225" s="19" t="str">
        <f>IF('DDF Original'!B1225="","",'DDF Original'!B1225)</f>
        <v/>
      </c>
      <c r="C1225" s="20" t="str">
        <f>IF('DDF Original'!C1225="","",'DDF Original'!C1225)</f>
        <v/>
      </c>
      <c r="D1225" s="20" t="str">
        <f>IF('DDF Original'!F1225="","",'DDF Original'!F1225)</f>
        <v/>
      </c>
      <c r="E1225" s="38" t="str">
        <f>'Recálculo Confissão (85-B)'!N1225</f>
        <v/>
      </c>
      <c r="F1225" s="20" t="str">
        <f t="shared" si="38"/>
        <v/>
      </c>
      <c r="G1225" s="20" t="str">
        <f t="shared" si="39"/>
        <v/>
      </c>
    </row>
    <row r="1226" spans="2:7" x14ac:dyDescent="0.2">
      <c r="B1226" s="19" t="str">
        <f>IF('DDF Original'!B1226="","",'DDF Original'!B1226)</f>
        <v/>
      </c>
      <c r="C1226" s="20" t="str">
        <f>IF('DDF Original'!C1226="","",'DDF Original'!C1226)</f>
        <v/>
      </c>
      <c r="D1226" s="20" t="str">
        <f>IF('DDF Original'!F1226="","",'DDF Original'!F1226)</f>
        <v/>
      </c>
      <c r="E1226" s="38" t="str">
        <f>'Recálculo Confissão (85-B)'!N1226</f>
        <v/>
      </c>
      <c r="F1226" s="20" t="str">
        <f t="shared" si="38"/>
        <v/>
      </c>
      <c r="G1226" s="20" t="str">
        <f t="shared" si="39"/>
        <v/>
      </c>
    </row>
    <row r="1227" spans="2:7" x14ac:dyDescent="0.2">
      <c r="B1227" s="19" t="str">
        <f>IF('DDF Original'!B1227="","",'DDF Original'!B1227)</f>
        <v/>
      </c>
      <c r="C1227" s="20" t="str">
        <f>IF('DDF Original'!C1227="","",'DDF Original'!C1227)</f>
        <v/>
      </c>
      <c r="D1227" s="20" t="str">
        <f>IF('DDF Original'!F1227="","",'DDF Original'!F1227)</f>
        <v/>
      </c>
      <c r="E1227" s="38" t="str">
        <f>'Recálculo Confissão (85-B)'!N1227</f>
        <v/>
      </c>
      <c r="F1227" s="20" t="str">
        <f t="shared" si="38"/>
        <v/>
      </c>
      <c r="G1227" s="20" t="str">
        <f t="shared" si="39"/>
        <v/>
      </c>
    </row>
    <row r="1228" spans="2:7" x14ac:dyDescent="0.2">
      <c r="B1228" s="19" t="str">
        <f>IF('DDF Original'!B1228="","",'DDF Original'!B1228)</f>
        <v/>
      </c>
      <c r="C1228" s="20" t="str">
        <f>IF('DDF Original'!C1228="","",'DDF Original'!C1228)</f>
        <v/>
      </c>
      <c r="D1228" s="20" t="str">
        <f>IF('DDF Original'!F1228="","",'DDF Original'!F1228)</f>
        <v/>
      </c>
      <c r="E1228" s="38" t="str">
        <f>'Recálculo Confissão (85-B)'!N1228</f>
        <v/>
      </c>
      <c r="F1228" s="20" t="str">
        <f t="shared" si="38"/>
        <v/>
      </c>
      <c r="G1228" s="20" t="str">
        <f t="shared" si="39"/>
        <v/>
      </c>
    </row>
    <row r="1229" spans="2:7" x14ac:dyDescent="0.2">
      <c r="B1229" s="19" t="str">
        <f>IF('DDF Original'!B1229="","",'DDF Original'!B1229)</f>
        <v/>
      </c>
      <c r="C1229" s="20" t="str">
        <f>IF('DDF Original'!C1229="","",'DDF Original'!C1229)</f>
        <v/>
      </c>
      <c r="D1229" s="20" t="str">
        <f>IF('DDF Original'!F1229="","",'DDF Original'!F1229)</f>
        <v/>
      </c>
      <c r="E1229" s="38" t="str">
        <f>'Recálculo Confissão (85-B)'!N1229</f>
        <v/>
      </c>
      <c r="F1229" s="20" t="str">
        <f t="shared" si="38"/>
        <v/>
      </c>
      <c r="G1229" s="20" t="str">
        <f t="shared" si="39"/>
        <v/>
      </c>
    </row>
    <row r="1230" spans="2:7" x14ac:dyDescent="0.2">
      <c r="B1230" s="19" t="str">
        <f>IF('DDF Original'!B1230="","",'DDF Original'!B1230)</f>
        <v/>
      </c>
      <c r="C1230" s="20" t="str">
        <f>IF('DDF Original'!C1230="","",'DDF Original'!C1230)</f>
        <v/>
      </c>
      <c r="D1230" s="20" t="str">
        <f>IF('DDF Original'!F1230="","",'DDF Original'!F1230)</f>
        <v/>
      </c>
      <c r="E1230" s="38" t="str">
        <f>'Recálculo Confissão (85-B)'!N1230</f>
        <v/>
      </c>
      <c r="F1230" s="20" t="str">
        <f t="shared" si="38"/>
        <v/>
      </c>
      <c r="G1230" s="20" t="str">
        <f t="shared" si="39"/>
        <v/>
      </c>
    </row>
    <row r="1231" spans="2:7" x14ac:dyDescent="0.2">
      <c r="B1231" s="19" t="str">
        <f>IF('DDF Original'!B1231="","",'DDF Original'!B1231)</f>
        <v/>
      </c>
      <c r="C1231" s="20" t="str">
        <f>IF('DDF Original'!C1231="","",'DDF Original'!C1231)</f>
        <v/>
      </c>
      <c r="D1231" s="20" t="str">
        <f>IF('DDF Original'!F1231="","",'DDF Original'!F1231)</f>
        <v/>
      </c>
      <c r="E1231" s="38" t="str">
        <f>'Recálculo Confissão (85-B)'!N1231</f>
        <v/>
      </c>
      <c r="F1231" s="20" t="str">
        <f t="shared" si="38"/>
        <v/>
      </c>
      <c r="G1231" s="20" t="str">
        <f t="shared" si="39"/>
        <v/>
      </c>
    </row>
    <row r="1232" spans="2:7" x14ac:dyDescent="0.2">
      <c r="B1232" s="19" t="str">
        <f>IF('DDF Original'!B1232="","",'DDF Original'!B1232)</f>
        <v/>
      </c>
      <c r="C1232" s="20" t="str">
        <f>IF('DDF Original'!C1232="","",'DDF Original'!C1232)</f>
        <v/>
      </c>
      <c r="D1232" s="20" t="str">
        <f>IF('DDF Original'!F1232="","",'DDF Original'!F1232)</f>
        <v/>
      </c>
      <c r="E1232" s="38" t="str">
        <f>'Recálculo Confissão (85-B)'!N1232</f>
        <v/>
      </c>
      <c r="F1232" s="20" t="str">
        <f t="shared" si="38"/>
        <v/>
      </c>
      <c r="G1232" s="20" t="str">
        <f t="shared" si="39"/>
        <v/>
      </c>
    </row>
    <row r="1233" spans="2:7" x14ac:dyDescent="0.2">
      <c r="B1233" s="19" t="str">
        <f>IF('DDF Original'!B1233="","",'DDF Original'!B1233)</f>
        <v/>
      </c>
      <c r="C1233" s="20" t="str">
        <f>IF('DDF Original'!C1233="","",'DDF Original'!C1233)</f>
        <v/>
      </c>
      <c r="D1233" s="20" t="str">
        <f>IF('DDF Original'!F1233="","",'DDF Original'!F1233)</f>
        <v/>
      </c>
      <c r="E1233" s="38" t="str">
        <f>'Recálculo Confissão (85-B)'!N1233</f>
        <v/>
      </c>
      <c r="F1233" s="20" t="str">
        <f t="shared" si="38"/>
        <v/>
      </c>
      <c r="G1233" s="20" t="str">
        <f t="shared" si="39"/>
        <v/>
      </c>
    </row>
    <row r="1234" spans="2:7" x14ac:dyDescent="0.2">
      <c r="B1234" s="19" t="str">
        <f>IF('DDF Original'!B1234="","",'DDF Original'!B1234)</f>
        <v/>
      </c>
      <c r="C1234" s="20" t="str">
        <f>IF('DDF Original'!C1234="","",'DDF Original'!C1234)</f>
        <v/>
      </c>
      <c r="D1234" s="20" t="str">
        <f>IF('DDF Original'!F1234="","",'DDF Original'!F1234)</f>
        <v/>
      </c>
      <c r="E1234" s="38" t="str">
        <f>'Recálculo Confissão (85-B)'!N1234</f>
        <v/>
      </c>
      <c r="F1234" s="20" t="str">
        <f t="shared" si="38"/>
        <v/>
      </c>
      <c r="G1234" s="20" t="str">
        <f t="shared" si="39"/>
        <v/>
      </c>
    </row>
    <row r="1235" spans="2:7" x14ac:dyDescent="0.2">
      <c r="B1235" s="19" t="str">
        <f>IF('DDF Original'!B1235="","",'DDF Original'!B1235)</f>
        <v/>
      </c>
      <c r="C1235" s="20" t="str">
        <f>IF('DDF Original'!C1235="","",'DDF Original'!C1235)</f>
        <v/>
      </c>
      <c r="D1235" s="20" t="str">
        <f>IF('DDF Original'!F1235="","",'DDF Original'!F1235)</f>
        <v/>
      </c>
      <c r="E1235" s="38" t="str">
        <f>'Recálculo Confissão (85-B)'!N1235</f>
        <v/>
      </c>
      <c r="F1235" s="20" t="str">
        <f t="shared" si="38"/>
        <v/>
      </c>
      <c r="G1235" s="20" t="str">
        <f t="shared" si="39"/>
        <v/>
      </c>
    </row>
    <row r="1236" spans="2:7" x14ac:dyDescent="0.2">
      <c r="B1236" s="19" t="str">
        <f>IF('DDF Original'!B1236="","",'DDF Original'!B1236)</f>
        <v/>
      </c>
      <c r="C1236" s="20" t="str">
        <f>IF('DDF Original'!C1236="","",'DDF Original'!C1236)</f>
        <v/>
      </c>
      <c r="D1236" s="20" t="str">
        <f>IF('DDF Original'!F1236="","",'DDF Original'!F1236)</f>
        <v/>
      </c>
      <c r="E1236" s="38" t="str">
        <f>'Recálculo Confissão (85-B)'!N1236</f>
        <v/>
      </c>
      <c r="F1236" s="20" t="str">
        <f t="shared" si="38"/>
        <v/>
      </c>
      <c r="G1236" s="20" t="str">
        <f t="shared" si="39"/>
        <v/>
      </c>
    </row>
    <row r="1237" spans="2:7" x14ac:dyDescent="0.2">
      <c r="B1237" s="19" t="str">
        <f>IF('DDF Original'!B1237="","",'DDF Original'!B1237)</f>
        <v/>
      </c>
      <c r="C1237" s="20" t="str">
        <f>IF('DDF Original'!C1237="","",'DDF Original'!C1237)</f>
        <v/>
      </c>
      <c r="D1237" s="20" t="str">
        <f>IF('DDF Original'!F1237="","",'DDF Original'!F1237)</f>
        <v/>
      </c>
      <c r="E1237" s="38" t="str">
        <f>'Recálculo Confissão (85-B)'!N1237</f>
        <v/>
      </c>
      <c r="F1237" s="20" t="str">
        <f t="shared" si="38"/>
        <v/>
      </c>
      <c r="G1237" s="20" t="str">
        <f t="shared" si="39"/>
        <v/>
      </c>
    </row>
    <row r="1238" spans="2:7" x14ac:dyDescent="0.2">
      <c r="B1238" s="19" t="str">
        <f>IF('DDF Original'!B1238="","",'DDF Original'!B1238)</f>
        <v/>
      </c>
      <c r="C1238" s="20" t="str">
        <f>IF('DDF Original'!C1238="","",'DDF Original'!C1238)</f>
        <v/>
      </c>
      <c r="D1238" s="20" t="str">
        <f>IF('DDF Original'!F1238="","",'DDF Original'!F1238)</f>
        <v/>
      </c>
      <c r="E1238" s="38" t="str">
        <f>'Recálculo Confissão (85-B)'!N1238</f>
        <v/>
      </c>
      <c r="F1238" s="20" t="str">
        <f t="shared" si="38"/>
        <v/>
      </c>
      <c r="G1238" s="20" t="str">
        <f t="shared" si="39"/>
        <v/>
      </c>
    </row>
    <row r="1239" spans="2:7" x14ac:dyDescent="0.2">
      <c r="B1239" s="19" t="str">
        <f>IF('DDF Original'!B1239="","",'DDF Original'!B1239)</f>
        <v/>
      </c>
      <c r="C1239" s="20" t="str">
        <f>IF('DDF Original'!C1239="","",'DDF Original'!C1239)</f>
        <v/>
      </c>
      <c r="D1239" s="20" t="str">
        <f>IF('DDF Original'!F1239="","",'DDF Original'!F1239)</f>
        <v/>
      </c>
      <c r="E1239" s="38" t="str">
        <f>'Recálculo Confissão (85-B)'!N1239</f>
        <v/>
      </c>
      <c r="F1239" s="20" t="str">
        <f t="shared" si="38"/>
        <v/>
      </c>
      <c r="G1239" s="20" t="str">
        <f t="shared" si="39"/>
        <v/>
      </c>
    </row>
    <row r="1240" spans="2:7" x14ac:dyDescent="0.2">
      <c r="B1240" s="19" t="str">
        <f>IF('DDF Original'!B1240="","",'DDF Original'!B1240)</f>
        <v/>
      </c>
      <c r="C1240" s="20" t="str">
        <f>IF('DDF Original'!C1240="","",'DDF Original'!C1240)</f>
        <v/>
      </c>
      <c r="D1240" s="20" t="str">
        <f>IF('DDF Original'!F1240="","",'DDF Original'!F1240)</f>
        <v/>
      </c>
      <c r="E1240" s="38" t="str">
        <f>'Recálculo Confissão (85-B)'!N1240</f>
        <v/>
      </c>
      <c r="F1240" s="20" t="str">
        <f t="shared" si="38"/>
        <v/>
      </c>
      <c r="G1240" s="20" t="str">
        <f t="shared" si="39"/>
        <v/>
      </c>
    </row>
    <row r="1241" spans="2:7" x14ac:dyDescent="0.2">
      <c r="B1241" s="19" t="str">
        <f>IF('DDF Original'!B1241="","",'DDF Original'!B1241)</f>
        <v/>
      </c>
      <c r="C1241" s="20" t="str">
        <f>IF('DDF Original'!C1241="","",'DDF Original'!C1241)</f>
        <v/>
      </c>
      <c r="D1241" s="20" t="str">
        <f>IF('DDF Original'!F1241="","",'DDF Original'!F1241)</f>
        <v/>
      </c>
      <c r="E1241" s="38" t="str">
        <f>'Recálculo Confissão (85-B)'!N1241</f>
        <v/>
      </c>
      <c r="F1241" s="20" t="str">
        <f t="shared" si="38"/>
        <v/>
      </c>
      <c r="G1241" s="20" t="str">
        <f t="shared" si="39"/>
        <v/>
      </c>
    </row>
    <row r="1242" spans="2:7" x14ac:dyDescent="0.2">
      <c r="B1242" s="19" t="str">
        <f>IF('DDF Original'!B1242="","",'DDF Original'!B1242)</f>
        <v/>
      </c>
      <c r="C1242" s="20" t="str">
        <f>IF('DDF Original'!C1242="","",'DDF Original'!C1242)</f>
        <v/>
      </c>
      <c r="D1242" s="20" t="str">
        <f>IF('DDF Original'!F1242="","",'DDF Original'!F1242)</f>
        <v/>
      </c>
      <c r="E1242" s="38" t="str">
        <f>'Recálculo Confissão (85-B)'!N1242</f>
        <v/>
      </c>
      <c r="F1242" s="20" t="str">
        <f t="shared" si="38"/>
        <v/>
      </c>
      <c r="G1242" s="20" t="str">
        <f t="shared" si="39"/>
        <v/>
      </c>
    </row>
    <row r="1243" spans="2:7" x14ac:dyDescent="0.2">
      <c r="B1243" s="19" t="str">
        <f>IF('DDF Original'!B1243="","",'DDF Original'!B1243)</f>
        <v/>
      </c>
      <c r="C1243" s="20" t="str">
        <f>IF('DDF Original'!C1243="","",'DDF Original'!C1243)</f>
        <v/>
      </c>
      <c r="D1243" s="20" t="str">
        <f>IF('DDF Original'!F1243="","",'DDF Original'!F1243)</f>
        <v/>
      </c>
      <c r="E1243" s="38" t="str">
        <f>'Recálculo Confissão (85-B)'!N1243</f>
        <v/>
      </c>
      <c r="F1243" s="20" t="str">
        <f t="shared" si="38"/>
        <v/>
      </c>
      <c r="G1243" s="20" t="str">
        <f t="shared" si="39"/>
        <v/>
      </c>
    </row>
    <row r="1244" spans="2:7" x14ac:dyDescent="0.2">
      <c r="B1244" s="19" t="str">
        <f>IF('DDF Original'!B1244="","",'DDF Original'!B1244)</f>
        <v/>
      </c>
      <c r="C1244" s="20" t="str">
        <f>IF('DDF Original'!C1244="","",'DDF Original'!C1244)</f>
        <v/>
      </c>
      <c r="D1244" s="20" t="str">
        <f>IF('DDF Original'!F1244="","",'DDF Original'!F1244)</f>
        <v/>
      </c>
      <c r="E1244" s="38" t="str">
        <f>'Recálculo Confissão (85-B)'!N1244</f>
        <v/>
      </c>
      <c r="F1244" s="20" t="str">
        <f t="shared" si="38"/>
        <v/>
      </c>
      <c r="G1244" s="20" t="str">
        <f t="shared" si="39"/>
        <v/>
      </c>
    </row>
    <row r="1245" spans="2:7" x14ac:dyDescent="0.2">
      <c r="B1245" s="19" t="str">
        <f>IF('DDF Original'!B1245="","",'DDF Original'!B1245)</f>
        <v/>
      </c>
      <c r="C1245" s="20" t="str">
        <f>IF('DDF Original'!C1245="","",'DDF Original'!C1245)</f>
        <v/>
      </c>
      <c r="D1245" s="20" t="str">
        <f>IF('DDF Original'!F1245="","",'DDF Original'!F1245)</f>
        <v/>
      </c>
      <c r="E1245" s="38" t="str">
        <f>'Recálculo Confissão (85-B)'!N1245</f>
        <v/>
      </c>
      <c r="F1245" s="20" t="str">
        <f t="shared" si="38"/>
        <v/>
      </c>
      <c r="G1245" s="20" t="str">
        <f t="shared" si="39"/>
        <v/>
      </c>
    </row>
    <row r="1246" spans="2:7" x14ac:dyDescent="0.2">
      <c r="B1246" s="19" t="str">
        <f>IF('DDF Original'!B1246="","",'DDF Original'!B1246)</f>
        <v/>
      </c>
      <c r="C1246" s="20" t="str">
        <f>IF('DDF Original'!C1246="","",'DDF Original'!C1246)</f>
        <v/>
      </c>
      <c r="D1246" s="20" t="str">
        <f>IF('DDF Original'!F1246="","",'DDF Original'!F1246)</f>
        <v/>
      </c>
      <c r="E1246" s="38" t="str">
        <f>'Recálculo Confissão (85-B)'!N1246</f>
        <v/>
      </c>
      <c r="F1246" s="20" t="str">
        <f t="shared" si="38"/>
        <v/>
      </c>
      <c r="G1246" s="20" t="str">
        <f t="shared" si="39"/>
        <v/>
      </c>
    </row>
    <row r="1247" spans="2:7" x14ac:dyDescent="0.2">
      <c r="B1247" s="19" t="str">
        <f>IF('DDF Original'!B1247="","",'DDF Original'!B1247)</f>
        <v/>
      </c>
      <c r="C1247" s="20" t="str">
        <f>IF('DDF Original'!C1247="","",'DDF Original'!C1247)</f>
        <v/>
      </c>
      <c r="D1247" s="20" t="str">
        <f>IF('DDF Original'!F1247="","",'DDF Original'!F1247)</f>
        <v/>
      </c>
      <c r="E1247" s="38" t="str">
        <f>'Recálculo Confissão (85-B)'!N1247</f>
        <v/>
      </c>
      <c r="F1247" s="20" t="str">
        <f t="shared" si="38"/>
        <v/>
      </c>
      <c r="G1247" s="20" t="str">
        <f t="shared" si="39"/>
        <v/>
      </c>
    </row>
    <row r="1248" spans="2:7" x14ac:dyDescent="0.2">
      <c r="B1248" s="19" t="str">
        <f>IF('DDF Original'!B1248="","",'DDF Original'!B1248)</f>
        <v/>
      </c>
      <c r="C1248" s="20" t="str">
        <f>IF('DDF Original'!C1248="","",'DDF Original'!C1248)</f>
        <v/>
      </c>
      <c r="D1248" s="20" t="str">
        <f>IF('DDF Original'!F1248="","",'DDF Original'!F1248)</f>
        <v/>
      </c>
      <c r="E1248" s="38" t="str">
        <f>'Recálculo Confissão (85-B)'!N1248</f>
        <v/>
      </c>
      <c r="F1248" s="20" t="str">
        <f t="shared" si="38"/>
        <v/>
      </c>
      <c r="G1248" s="20" t="str">
        <f t="shared" si="39"/>
        <v/>
      </c>
    </row>
    <row r="1249" spans="2:7" x14ac:dyDescent="0.2">
      <c r="B1249" s="19" t="str">
        <f>IF('DDF Original'!B1249="","",'DDF Original'!B1249)</f>
        <v/>
      </c>
      <c r="C1249" s="20" t="str">
        <f>IF('DDF Original'!C1249="","",'DDF Original'!C1249)</f>
        <v/>
      </c>
      <c r="D1249" s="20" t="str">
        <f>IF('DDF Original'!F1249="","",'DDF Original'!F1249)</f>
        <v/>
      </c>
      <c r="E1249" s="38" t="str">
        <f>'Recálculo Confissão (85-B)'!N1249</f>
        <v/>
      </c>
      <c r="F1249" s="20" t="str">
        <f t="shared" si="38"/>
        <v/>
      </c>
      <c r="G1249" s="20" t="str">
        <f t="shared" si="39"/>
        <v/>
      </c>
    </row>
    <row r="1250" spans="2:7" x14ac:dyDescent="0.2">
      <c r="B1250" s="19" t="str">
        <f>IF('DDF Original'!B1250="","",'DDF Original'!B1250)</f>
        <v/>
      </c>
      <c r="C1250" s="20" t="str">
        <f>IF('DDF Original'!C1250="","",'DDF Original'!C1250)</f>
        <v/>
      </c>
      <c r="D1250" s="20" t="str">
        <f>IF('DDF Original'!F1250="","",'DDF Original'!F1250)</f>
        <v/>
      </c>
      <c r="E1250" s="38" t="str">
        <f>'Recálculo Confissão (85-B)'!N1250</f>
        <v/>
      </c>
      <c r="F1250" s="20" t="str">
        <f t="shared" si="38"/>
        <v/>
      </c>
      <c r="G1250" s="20" t="str">
        <f t="shared" si="39"/>
        <v/>
      </c>
    </row>
    <row r="1251" spans="2:7" x14ac:dyDescent="0.2">
      <c r="B1251" s="19" t="str">
        <f>IF('DDF Original'!B1251="","",'DDF Original'!B1251)</f>
        <v/>
      </c>
      <c r="C1251" s="20" t="str">
        <f>IF('DDF Original'!C1251="","",'DDF Original'!C1251)</f>
        <v/>
      </c>
      <c r="D1251" s="20" t="str">
        <f>IF('DDF Original'!F1251="","",'DDF Original'!F1251)</f>
        <v/>
      </c>
      <c r="E1251" s="38" t="str">
        <f>'Recálculo Confissão (85-B)'!N1251</f>
        <v/>
      </c>
      <c r="F1251" s="20" t="str">
        <f t="shared" si="38"/>
        <v/>
      </c>
      <c r="G1251" s="20" t="str">
        <f t="shared" si="39"/>
        <v/>
      </c>
    </row>
    <row r="1252" spans="2:7" x14ac:dyDescent="0.2">
      <c r="B1252" s="19" t="str">
        <f>IF('DDF Original'!B1252="","",'DDF Original'!B1252)</f>
        <v/>
      </c>
      <c r="C1252" s="20" t="str">
        <f>IF('DDF Original'!C1252="","",'DDF Original'!C1252)</f>
        <v/>
      </c>
      <c r="D1252" s="20" t="str">
        <f>IF('DDF Original'!F1252="","",'DDF Original'!F1252)</f>
        <v/>
      </c>
      <c r="E1252" s="38" t="str">
        <f>'Recálculo Confissão (85-B)'!N1252</f>
        <v/>
      </c>
      <c r="F1252" s="20" t="str">
        <f t="shared" si="38"/>
        <v/>
      </c>
      <c r="G1252" s="20" t="str">
        <f t="shared" si="39"/>
        <v/>
      </c>
    </row>
    <row r="1253" spans="2:7" x14ac:dyDescent="0.2">
      <c r="B1253" s="19" t="str">
        <f>IF('DDF Original'!B1253="","",'DDF Original'!B1253)</f>
        <v/>
      </c>
      <c r="C1253" s="20" t="str">
        <f>IF('DDF Original'!C1253="","",'DDF Original'!C1253)</f>
        <v/>
      </c>
      <c r="D1253" s="20" t="str">
        <f>IF('DDF Original'!F1253="","",'DDF Original'!F1253)</f>
        <v/>
      </c>
      <c r="E1253" s="38" t="str">
        <f>'Recálculo Confissão (85-B)'!N1253</f>
        <v/>
      </c>
      <c r="F1253" s="20" t="str">
        <f t="shared" si="38"/>
        <v/>
      </c>
      <c r="G1253" s="20" t="str">
        <f t="shared" si="39"/>
        <v/>
      </c>
    </row>
    <row r="1254" spans="2:7" x14ac:dyDescent="0.2">
      <c r="B1254" s="19" t="str">
        <f>IF('DDF Original'!B1254="","",'DDF Original'!B1254)</f>
        <v/>
      </c>
      <c r="C1254" s="20" t="str">
        <f>IF('DDF Original'!C1254="","",'DDF Original'!C1254)</f>
        <v/>
      </c>
      <c r="D1254" s="20" t="str">
        <f>IF('DDF Original'!F1254="","",'DDF Original'!F1254)</f>
        <v/>
      </c>
      <c r="E1254" s="38" t="str">
        <f>'Recálculo Confissão (85-B)'!N1254</f>
        <v/>
      </c>
      <c r="F1254" s="20" t="str">
        <f t="shared" si="38"/>
        <v/>
      </c>
      <c r="G1254" s="20" t="str">
        <f t="shared" si="39"/>
        <v/>
      </c>
    </row>
    <row r="1255" spans="2:7" x14ac:dyDescent="0.2">
      <c r="B1255" s="19" t="str">
        <f>IF('DDF Original'!B1255="","",'DDF Original'!B1255)</f>
        <v/>
      </c>
      <c r="C1255" s="20" t="str">
        <f>IF('DDF Original'!C1255="","",'DDF Original'!C1255)</f>
        <v/>
      </c>
      <c r="D1255" s="20" t="str">
        <f>IF('DDF Original'!F1255="","",'DDF Original'!F1255)</f>
        <v/>
      </c>
      <c r="E1255" s="38" t="str">
        <f>'Recálculo Confissão (85-B)'!N1255</f>
        <v/>
      </c>
      <c r="F1255" s="20" t="str">
        <f t="shared" si="38"/>
        <v/>
      </c>
      <c r="G1255" s="20" t="str">
        <f t="shared" si="39"/>
        <v/>
      </c>
    </row>
    <row r="1256" spans="2:7" x14ac:dyDescent="0.2">
      <c r="B1256" s="19" t="str">
        <f>IF('DDF Original'!B1256="","",'DDF Original'!B1256)</f>
        <v/>
      </c>
      <c r="C1256" s="20" t="str">
        <f>IF('DDF Original'!C1256="","",'DDF Original'!C1256)</f>
        <v/>
      </c>
      <c r="D1256" s="20" t="str">
        <f>IF('DDF Original'!F1256="","",'DDF Original'!F1256)</f>
        <v/>
      </c>
      <c r="E1256" s="38" t="str">
        <f>'Recálculo Confissão (85-B)'!N1256</f>
        <v/>
      </c>
      <c r="F1256" s="20" t="str">
        <f t="shared" si="38"/>
        <v/>
      </c>
      <c r="G1256" s="20" t="str">
        <f t="shared" si="39"/>
        <v/>
      </c>
    </row>
    <row r="1257" spans="2:7" x14ac:dyDescent="0.2">
      <c r="B1257" s="19" t="str">
        <f>IF('DDF Original'!B1257="","",'DDF Original'!B1257)</f>
        <v/>
      </c>
      <c r="C1257" s="20" t="str">
        <f>IF('DDF Original'!C1257="","",'DDF Original'!C1257)</f>
        <v/>
      </c>
      <c r="D1257" s="20" t="str">
        <f>IF('DDF Original'!F1257="","",'DDF Original'!F1257)</f>
        <v/>
      </c>
      <c r="E1257" s="38" t="str">
        <f>'Recálculo Confissão (85-B)'!N1257</f>
        <v/>
      </c>
      <c r="F1257" s="20" t="str">
        <f t="shared" si="38"/>
        <v/>
      </c>
      <c r="G1257" s="20" t="str">
        <f t="shared" si="39"/>
        <v/>
      </c>
    </row>
    <row r="1258" spans="2:7" x14ac:dyDescent="0.2">
      <c r="B1258" s="19" t="str">
        <f>IF('DDF Original'!B1258="","",'DDF Original'!B1258)</f>
        <v/>
      </c>
      <c r="C1258" s="20" t="str">
        <f>IF('DDF Original'!C1258="","",'DDF Original'!C1258)</f>
        <v/>
      </c>
      <c r="D1258" s="20" t="str">
        <f>IF('DDF Original'!F1258="","",'DDF Original'!F1258)</f>
        <v/>
      </c>
      <c r="E1258" s="38" t="str">
        <f>'Recálculo Confissão (85-B)'!N1258</f>
        <v/>
      </c>
      <c r="F1258" s="20" t="str">
        <f t="shared" si="38"/>
        <v/>
      </c>
      <c r="G1258" s="20" t="str">
        <f t="shared" si="39"/>
        <v/>
      </c>
    </row>
    <row r="1259" spans="2:7" x14ac:dyDescent="0.2">
      <c r="B1259" s="19" t="str">
        <f>IF('DDF Original'!B1259="","",'DDF Original'!B1259)</f>
        <v/>
      </c>
      <c r="C1259" s="20" t="str">
        <f>IF('DDF Original'!C1259="","",'DDF Original'!C1259)</f>
        <v/>
      </c>
      <c r="D1259" s="20" t="str">
        <f>IF('DDF Original'!F1259="","",'DDF Original'!F1259)</f>
        <v/>
      </c>
      <c r="E1259" s="38" t="str">
        <f>'Recálculo Confissão (85-B)'!N1259</f>
        <v/>
      </c>
      <c r="F1259" s="20" t="str">
        <f t="shared" si="38"/>
        <v/>
      </c>
      <c r="G1259" s="20" t="str">
        <f t="shared" si="39"/>
        <v/>
      </c>
    </row>
    <row r="1260" spans="2:7" x14ac:dyDescent="0.2">
      <c r="B1260" s="19" t="str">
        <f>IF('DDF Original'!B1260="","",'DDF Original'!B1260)</f>
        <v/>
      </c>
      <c r="C1260" s="20" t="str">
        <f>IF('DDF Original'!C1260="","",'DDF Original'!C1260)</f>
        <v/>
      </c>
      <c r="D1260" s="20" t="str">
        <f>IF('DDF Original'!F1260="","",'DDF Original'!F1260)</f>
        <v/>
      </c>
      <c r="E1260" s="38" t="str">
        <f>'Recálculo Confissão (85-B)'!N1260</f>
        <v/>
      </c>
      <c r="F1260" s="20" t="str">
        <f t="shared" si="38"/>
        <v/>
      </c>
      <c r="G1260" s="20" t="str">
        <f t="shared" si="39"/>
        <v/>
      </c>
    </row>
    <row r="1261" spans="2:7" x14ac:dyDescent="0.2">
      <c r="B1261" s="19" t="str">
        <f>IF('DDF Original'!B1261="","",'DDF Original'!B1261)</f>
        <v/>
      </c>
      <c r="C1261" s="20" t="str">
        <f>IF('DDF Original'!C1261="","",'DDF Original'!C1261)</f>
        <v/>
      </c>
      <c r="D1261" s="20" t="str">
        <f>IF('DDF Original'!F1261="","",'DDF Original'!F1261)</f>
        <v/>
      </c>
      <c r="E1261" s="38" t="str">
        <f>'Recálculo Confissão (85-B)'!N1261</f>
        <v/>
      </c>
      <c r="F1261" s="20" t="str">
        <f t="shared" si="38"/>
        <v/>
      </c>
      <c r="G1261" s="20" t="str">
        <f t="shared" si="39"/>
        <v/>
      </c>
    </row>
    <row r="1262" spans="2:7" x14ac:dyDescent="0.2">
      <c r="B1262" s="19" t="str">
        <f>IF('DDF Original'!B1262="","",'DDF Original'!B1262)</f>
        <v/>
      </c>
      <c r="C1262" s="20" t="str">
        <f>IF('DDF Original'!C1262="","",'DDF Original'!C1262)</f>
        <v/>
      </c>
      <c r="D1262" s="20" t="str">
        <f>IF('DDF Original'!F1262="","",'DDF Original'!F1262)</f>
        <v/>
      </c>
      <c r="E1262" s="38" t="str">
        <f>'Recálculo Confissão (85-B)'!N1262</f>
        <v/>
      </c>
      <c r="F1262" s="20" t="str">
        <f t="shared" si="38"/>
        <v/>
      </c>
      <c r="G1262" s="20" t="str">
        <f t="shared" si="39"/>
        <v/>
      </c>
    </row>
    <row r="1263" spans="2:7" x14ac:dyDescent="0.2">
      <c r="B1263" s="19" t="str">
        <f>IF('DDF Original'!B1263="","",'DDF Original'!B1263)</f>
        <v/>
      </c>
      <c r="C1263" s="20" t="str">
        <f>IF('DDF Original'!C1263="","",'DDF Original'!C1263)</f>
        <v/>
      </c>
      <c r="D1263" s="20" t="str">
        <f>IF('DDF Original'!F1263="","",'DDF Original'!F1263)</f>
        <v/>
      </c>
      <c r="E1263" s="38" t="str">
        <f>'Recálculo Confissão (85-B)'!N1263</f>
        <v/>
      </c>
      <c r="F1263" s="20" t="str">
        <f t="shared" si="38"/>
        <v/>
      </c>
      <c r="G1263" s="20" t="str">
        <f t="shared" si="39"/>
        <v/>
      </c>
    </row>
    <row r="1264" spans="2:7" x14ac:dyDescent="0.2">
      <c r="B1264" s="19" t="str">
        <f>IF('DDF Original'!B1264="","",'DDF Original'!B1264)</f>
        <v/>
      </c>
      <c r="C1264" s="20" t="str">
        <f>IF('DDF Original'!C1264="","",'DDF Original'!C1264)</f>
        <v/>
      </c>
      <c r="D1264" s="20" t="str">
        <f>IF('DDF Original'!F1264="","",'DDF Original'!F1264)</f>
        <v/>
      </c>
      <c r="E1264" s="38" t="str">
        <f>'Recálculo Confissão (85-B)'!N1264</f>
        <v/>
      </c>
      <c r="F1264" s="20" t="str">
        <f t="shared" si="38"/>
        <v/>
      </c>
      <c r="G1264" s="20" t="str">
        <f t="shared" si="39"/>
        <v/>
      </c>
    </row>
    <row r="1265" spans="2:7" x14ac:dyDescent="0.2">
      <c r="B1265" s="19" t="str">
        <f>IF('DDF Original'!B1265="","",'DDF Original'!B1265)</f>
        <v/>
      </c>
      <c r="C1265" s="20" t="str">
        <f>IF('DDF Original'!C1265="","",'DDF Original'!C1265)</f>
        <v/>
      </c>
      <c r="D1265" s="20" t="str">
        <f>IF('DDF Original'!F1265="","",'DDF Original'!F1265)</f>
        <v/>
      </c>
      <c r="E1265" s="38" t="str">
        <f>'Recálculo Confissão (85-B)'!N1265</f>
        <v/>
      </c>
      <c r="F1265" s="20" t="str">
        <f t="shared" si="38"/>
        <v/>
      </c>
      <c r="G1265" s="20" t="str">
        <f t="shared" si="39"/>
        <v/>
      </c>
    </row>
    <row r="1266" spans="2:7" x14ac:dyDescent="0.2">
      <c r="B1266" s="19" t="str">
        <f>IF('DDF Original'!B1266="","",'DDF Original'!B1266)</f>
        <v/>
      </c>
      <c r="C1266" s="20" t="str">
        <f>IF('DDF Original'!C1266="","",'DDF Original'!C1266)</f>
        <v/>
      </c>
      <c r="D1266" s="20" t="str">
        <f>IF('DDF Original'!F1266="","",'DDF Original'!F1266)</f>
        <v/>
      </c>
      <c r="E1266" s="38" t="str">
        <f>'Recálculo Confissão (85-B)'!N1266</f>
        <v/>
      </c>
      <c r="F1266" s="20" t="str">
        <f t="shared" si="38"/>
        <v/>
      </c>
      <c r="G1266" s="20" t="str">
        <f t="shared" si="39"/>
        <v/>
      </c>
    </row>
    <row r="1267" spans="2:7" x14ac:dyDescent="0.2">
      <c r="B1267" s="19" t="str">
        <f>IF('DDF Original'!B1267="","",'DDF Original'!B1267)</f>
        <v/>
      </c>
      <c r="C1267" s="20" t="str">
        <f>IF('DDF Original'!C1267="","",'DDF Original'!C1267)</f>
        <v/>
      </c>
      <c r="D1267" s="20" t="str">
        <f>IF('DDF Original'!F1267="","",'DDF Original'!F1267)</f>
        <v/>
      </c>
      <c r="E1267" s="38" t="str">
        <f>'Recálculo Confissão (85-B)'!N1267</f>
        <v/>
      </c>
      <c r="F1267" s="20" t="str">
        <f t="shared" si="38"/>
        <v/>
      </c>
      <c r="G1267" s="20" t="str">
        <f t="shared" si="39"/>
        <v/>
      </c>
    </row>
    <row r="1268" spans="2:7" x14ac:dyDescent="0.2">
      <c r="B1268" s="19" t="str">
        <f>IF('DDF Original'!B1268="","",'DDF Original'!B1268)</f>
        <v/>
      </c>
      <c r="C1268" s="20" t="str">
        <f>IF('DDF Original'!C1268="","",'DDF Original'!C1268)</f>
        <v/>
      </c>
      <c r="D1268" s="20" t="str">
        <f>IF('DDF Original'!F1268="","",'DDF Original'!F1268)</f>
        <v/>
      </c>
      <c r="E1268" s="38" t="str">
        <f>'Recálculo Confissão (85-B)'!N1268</f>
        <v/>
      </c>
      <c r="F1268" s="20" t="str">
        <f t="shared" si="38"/>
        <v/>
      </c>
      <c r="G1268" s="20" t="str">
        <f t="shared" si="39"/>
        <v/>
      </c>
    </row>
    <row r="1269" spans="2:7" x14ac:dyDescent="0.2">
      <c r="B1269" s="19" t="str">
        <f>IF('DDF Original'!B1269="","",'DDF Original'!B1269)</f>
        <v/>
      </c>
      <c r="C1269" s="20" t="str">
        <f>IF('DDF Original'!C1269="","",'DDF Original'!C1269)</f>
        <v/>
      </c>
      <c r="D1269" s="20" t="str">
        <f>IF('DDF Original'!F1269="","",'DDF Original'!F1269)</f>
        <v/>
      </c>
      <c r="E1269" s="38" t="str">
        <f>'Recálculo Confissão (85-B)'!N1269</f>
        <v/>
      </c>
      <c r="F1269" s="20" t="str">
        <f t="shared" si="38"/>
        <v/>
      </c>
      <c r="G1269" s="20" t="str">
        <f t="shared" si="39"/>
        <v/>
      </c>
    </row>
    <row r="1270" spans="2:7" x14ac:dyDescent="0.2">
      <c r="B1270" s="19" t="str">
        <f>IF('DDF Original'!B1270="","",'DDF Original'!B1270)</f>
        <v/>
      </c>
      <c r="C1270" s="20" t="str">
        <f>IF('DDF Original'!C1270="","",'DDF Original'!C1270)</f>
        <v/>
      </c>
      <c r="D1270" s="20" t="str">
        <f>IF('DDF Original'!F1270="","",'DDF Original'!F1270)</f>
        <v/>
      </c>
      <c r="E1270" s="38" t="str">
        <f>'Recálculo Confissão (85-B)'!N1270</f>
        <v/>
      </c>
      <c r="F1270" s="20" t="str">
        <f t="shared" si="38"/>
        <v/>
      </c>
      <c r="G1270" s="20" t="str">
        <f t="shared" si="39"/>
        <v/>
      </c>
    </row>
    <row r="1271" spans="2:7" x14ac:dyDescent="0.2">
      <c r="B1271" s="19" t="str">
        <f>IF('DDF Original'!B1271="","",'DDF Original'!B1271)</f>
        <v/>
      </c>
      <c r="C1271" s="20" t="str">
        <f>IF('DDF Original'!C1271="","",'DDF Original'!C1271)</f>
        <v/>
      </c>
      <c r="D1271" s="20" t="str">
        <f>IF('DDF Original'!F1271="","",'DDF Original'!F1271)</f>
        <v/>
      </c>
      <c r="E1271" s="38" t="str">
        <f>'Recálculo Confissão (85-B)'!N1271</f>
        <v/>
      </c>
      <c r="F1271" s="20" t="str">
        <f t="shared" si="38"/>
        <v/>
      </c>
      <c r="G1271" s="20" t="str">
        <f t="shared" si="39"/>
        <v/>
      </c>
    </row>
    <row r="1272" spans="2:7" x14ac:dyDescent="0.2">
      <c r="B1272" s="19" t="str">
        <f>IF('DDF Original'!B1272="","",'DDF Original'!B1272)</f>
        <v/>
      </c>
      <c r="C1272" s="20" t="str">
        <f>IF('DDF Original'!C1272="","",'DDF Original'!C1272)</f>
        <v/>
      </c>
      <c r="D1272" s="20" t="str">
        <f>IF('DDF Original'!F1272="","",'DDF Original'!F1272)</f>
        <v/>
      </c>
      <c r="E1272" s="38" t="str">
        <f>'Recálculo Confissão (85-B)'!N1272</f>
        <v/>
      </c>
      <c r="F1272" s="20" t="str">
        <f t="shared" si="38"/>
        <v/>
      </c>
      <c r="G1272" s="20" t="str">
        <f t="shared" si="39"/>
        <v/>
      </c>
    </row>
    <row r="1273" spans="2:7" x14ac:dyDescent="0.2">
      <c r="B1273" s="19" t="str">
        <f>IF('DDF Original'!B1273="","",'DDF Original'!B1273)</f>
        <v/>
      </c>
      <c r="C1273" s="20" t="str">
        <f>IF('DDF Original'!C1273="","",'DDF Original'!C1273)</f>
        <v/>
      </c>
      <c r="D1273" s="20" t="str">
        <f>IF('DDF Original'!F1273="","",'DDF Original'!F1273)</f>
        <v/>
      </c>
      <c r="E1273" s="38" t="str">
        <f>'Recálculo Confissão (85-B)'!N1273</f>
        <v/>
      </c>
      <c r="F1273" s="20" t="str">
        <f t="shared" si="38"/>
        <v/>
      </c>
      <c r="G1273" s="20" t="str">
        <f t="shared" si="39"/>
        <v/>
      </c>
    </row>
    <row r="1274" spans="2:7" x14ac:dyDescent="0.2">
      <c r="B1274" s="19" t="str">
        <f>IF('DDF Original'!B1274="","",'DDF Original'!B1274)</f>
        <v/>
      </c>
      <c r="C1274" s="20" t="str">
        <f>IF('DDF Original'!C1274="","",'DDF Original'!C1274)</f>
        <v/>
      </c>
      <c r="D1274" s="20" t="str">
        <f>IF('DDF Original'!F1274="","",'DDF Original'!F1274)</f>
        <v/>
      </c>
      <c r="E1274" s="38" t="str">
        <f>'Recálculo Confissão (85-B)'!N1274</f>
        <v/>
      </c>
      <c r="F1274" s="20" t="str">
        <f t="shared" si="38"/>
        <v/>
      </c>
      <c r="G1274" s="20" t="str">
        <f t="shared" si="39"/>
        <v/>
      </c>
    </row>
    <row r="1275" spans="2:7" x14ac:dyDescent="0.2">
      <c r="B1275" s="19" t="str">
        <f>IF('DDF Original'!B1275="","",'DDF Original'!B1275)</f>
        <v/>
      </c>
      <c r="C1275" s="20" t="str">
        <f>IF('DDF Original'!C1275="","",'DDF Original'!C1275)</f>
        <v/>
      </c>
      <c r="D1275" s="20" t="str">
        <f>IF('DDF Original'!F1275="","",'DDF Original'!F1275)</f>
        <v/>
      </c>
      <c r="E1275" s="38" t="str">
        <f>'Recálculo Confissão (85-B)'!N1275</f>
        <v/>
      </c>
      <c r="F1275" s="20" t="str">
        <f t="shared" si="38"/>
        <v/>
      </c>
      <c r="G1275" s="20" t="str">
        <f t="shared" si="39"/>
        <v/>
      </c>
    </row>
    <row r="1276" spans="2:7" x14ac:dyDescent="0.2">
      <c r="B1276" s="19" t="str">
        <f>IF('DDF Original'!B1276="","",'DDF Original'!B1276)</f>
        <v/>
      </c>
      <c r="C1276" s="20" t="str">
        <f>IF('DDF Original'!C1276="","",'DDF Original'!C1276)</f>
        <v/>
      </c>
      <c r="D1276" s="20" t="str">
        <f>IF('DDF Original'!F1276="","",'DDF Original'!F1276)</f>
        <v/>
      </c>
      <c r="E1276" s="38" t="str">
        <f>'Recálculo Confissão (85-B)'!N1276</f>
        <v/>
      </c>
      <c r="F1276" s="20" t="str">
        <f t="shared" si="38"/>
        <v/>
      </c>
      <c r="G1276" s="20" t="str">
        <f t="shared" si="39"/>
        <v/>
      </c>
    </row>
    <row r="1277" spans="2:7" x14ac:dyDescent="0.2">
      <c r="B1277" s="19" t="str">
        <f>IF('DDF Original'!B1277="","",'DDF Original'!B1277)</f>
        <v/>
      </c>
      <c r="C1277" s="20" t="str">
        <f>IF('DDF Original'!C1277="","",'DDF Original'!C1277)</f>
        <v/>
      </c>
      <c r="D1277" s="20" t="str">
        <f>IF('DDF Original'!F1277="","",'DDF Original'!F1277)</f>
        <v/>
      </c>
      <c r="E1277" s="38" t="str">
        <f>'Recálculo Confissão (85-B)'!N1277</f>
        <v/>
      </c>
      <c r="F1277" s="20" t="str">
        <f t="shared" ref="F1277:F1340" si="40">IF(E1277="","",ROUND(E1277*(1-70%),2))</f>
        <v/>
      </c>
      <c r="G1277" s="20" t="str">
        <f t="shared" ref="G1277:G1340" si="41">IF(E1277="","",ROUND(E1277*(1-60%),2))</f>
        <v/>
      </c>
    </row>
    <row r="1278" spans="2:7" x14ac:dyDescent="0.2">
      <c r="B1278" s="19" t="str">
        <f>IF('DDF Original'!B1278="","",'DDF Original'!B1278)</f>
        <v/>
      </c>
      <c r="C1278" s="20" t="str">
        <f>IF('DDF Original'!C1278="","",'DDF Original'!C1278)</f>
        <v/>
      </c>
      <c r="D1278" s="20" t="str">
        <f>IF('DDF Original'!F1278="","",'DDF Original'!F1278)</f>
        <v/>
      </c>
      <c r="E1278" s="38" t="str">
        <f>'Recálculo Confissão (85-B)'!N1278</f>
        <v/>
      </c>
      <c r="F1278" s="20" t="str">
        <f t="shared" si="40"/>
        <v/>
      </c>
      <c r="G1278" s="20" t="str">
        <f t="shared" si="41"/>
        <v/>
      </c>
    </row>
    <row r="1279" spans="2:7" x14ac:dyDescent="0.2">
      <c r="B1279" s="19" t="str">
        <f>IF('DDF Original'!B1279="","",'DDF Original'!B1279)</f>
        <v/>
      </c>
      <c r="C1279" s="20" t="str">
        <f>IF('DDF Original'!C1279="","",'DDF Original'!C1279)</f>
        <v/>
      </c>
      <c r="D1279" s="20" t="str">
        <f>IF('DDF Original'!F1279="","",'DDF Original'!F1279)</f>
        <v/>
      </c>
      <c r="E1279" s="38" t="str">
        <f>'Recálculo Confissão (85-B)'!N1279</f>
        <v/>
      </c>
      <c r="F1279" s="20" t="str">
        <f t="shared" si="40"/>
        <v/>
      </c>
      <c r="G1279" s="20" t="str">
        <f t="shared" si="41"/>
        <v/>
      </c>
    </row>
    <row r="1280" spans="2:7" x14ac:dyDescent="0.2">
      <c r="B1280" s="19" t="str">
        <f>IF('DDF Original'!B1280="","",'DDF Original'!B1280)</f>
        <v/>
      </c>
      <c r="C1280" s="20" t="str">
        <f>IF('DDF Original'!C1280="","",'DDF Original'!C1280)</f>
        <v/>
      </c>
      <c r="D1280" s="20" t="str">
        <f>IF('DDF Original'!F1280="","",'DDF Original'!F1280)</f>
        <v/>
      </c>
      <c r="E1280" s="38" t="str">
        <f>'Recálculo Confissão (85-B)'!N1280</f>
        <v/>
      </c>
      <c r="F1280" s="20" t="str">
        <f t="shared" si="40"/>
        <v/>
      </c>
      <c r="G1280" s="20" t="str">
        <f t="shared" si="41"/>
        <v/>
      </c>
    </row>
    <row r="1281" spans="2:7" x14ac:dyDescent="0.2">
      <c r="B1281" s="19" t="str">
        <f>IF('DDF Original'!B1281="","",'DDF Original'!B1281)</f>
        <v/>
      </c>
      <c r="C1281" s="20" t="str">
        <f>IF('DDF Original'!C1281="","",'DDF Original'!C1281)</f>
        <v/>
      </c>
      <c r="D1281" s="20" t="str">
        <f>IF('DDF Original'!F1281="","",'DDF Original'!F1281)</f>
        <v/>
      </c>
      <c r="E1281" s="38" t="str">
        <f>'Recálculo Confissão (85-B)'!N1281</f>
        <v/>
      </c>
      <c r="F1281" s="20" t="str">
        <f t="shared" si="40"/>
        <v/>
      </c>
      <c r="G1281" s="20" t="str">
        <f t="shared" si="41"/>
        <v/>
      </c>
    </row>
    <row r="1282" spans="2:7" x14ac:dyDescent="0.2">
      <c r="B1282" s="19" t="str">
        <f>IF('DDF Original'!B1282="","",'DDF Original'!B1282)</f>
        <v/>
      </c>
      <c r="C1282" s="20" t="str">
        <f>IF('DDF Original'!C1282="","",'DDF Original'!C1282)</f>
        <v/>
      </c>
      <c r="D1282" s="20" t="str">
        <f>IF('DDF Original'!F1282="","",'DDF Original'!F1282)</f>
        <v/>
      </c>
      <c r="E1282" s="38" t="str">
        <f>'Recálculo Confissão (85-B)'!N1282</f>
        <v/>
      </c>
      <c r="F1282" s="20" t="str">
        <f t="shared" si="40"/>
        <v/>
      </c>
      <c r="G1282" s="20" t="str">
        <f t="shared" si="41"/>
        <v/>
      </c>
    </row>
    <row r="1283" spans="2:7" x14ac:dyDescent="0.2">
      <c r="B1283" s="19" t="str">
        <f>IF('DDF Original'!B1283="","",'DDF Original'!B1283)</f>
        <v/>
      </c>
      <c r="C1283" s="20" t="str">
        <f>IF('DDF Original'!C1283="","",'DDF Original'!C1283)</f>
        <v/>
      </c>
      <c r="D1283" s="20" t="str">
        <f>IF('DDF Original'!F1283="","",'DDF Original'!F1283)</f>
        <v/>
      </c>
      <c r="E1283" s="38" t="str">
        <f>'Recálculo Confissão (85-B)'!N1283</f>
        <v/>
      </c>
      <c r="F1283" s="20" t="str">
        <f t="shared" si="40"/>
        <v/>
      </c>
      <c r="G1283" s="20" t="str">
        <f t="shared" si="41"/>
        <v/>
      </c>
    </row>
    <row r="1284" spans="2:7" x14ac:dyDescent="0.2">
      <c r="B1284" s="19" t="str">
        <f>IF('DDF Original'!B1284="","",'DDF Original'!B1284)</f>
        <v/>
      </c>
      <c r="C1284" s="20" t="str">
        <f>IF('DDF Original'!C1284="","",'DDF Original'!C1284)</f>
        <v/>
      </c>
      <c r="D1284" s="20" t="str">
        <f>IF('DDF Original'!F1284="","",'DDF Original'!F1284)</f>
        <v/>
      </c>
      <c r="E1284" s="38" t="str">
        <f>'Recálculo Confissão (85-B)'!N1284</f>
        <v/>
      </c>
      <c r="F1284" s="20" t="str">
        <f t="shared" si="40"/>
        <v/>
      </c>
      <c r="G1284" s="20" t="str">
        <f t="shared" si="41"/>
        <v/>
      </c>
    </row>
    <row r="1285" spans="2:7" x14ac:dyDescent="0.2">
      <c r="B1285" s="19" t="str">
        <f>IF('DDF Original'!B1285="","",'DDF Original'!B1285)</f>
        <v/>
      </c>
      <c r="C1285" s="20" t="str">
        <f>IF('DDF Original'!C1285="","",'DDF Original'!C1285)</f>
        <v/>
      </c>
      <c r="D1285" s="20" t="str">
        <f>IF('DDF Original'!F1285="","",'DDF Original'!F1285)</f>
        <v/>
      </c>
      <c r="E1285" s="38" t="str">
        <f>'Recálculo Confissão (85-B)'!N1285</f>
        <v/>
      </c>
      <c r="F1285" s="20" t="str">
        <f t="shared" si="40"/>
        <v/>
      </c>
      <c r="G1285" s="20" t="str">
        <f t="shared" si="41"/>
        <v/>
      </c>
    </row>
    <row r="1286" spans="2:7" x14ac:dyDescent="0.2">
      <c r="B1286" s="19" t="str">
        <f>IF('DDF Original'!B1286="","",'DDF Original'!B1286)</f>
        <v/>
      </c>
      <c r="C1286" s="20" t="str">
        <f>IF('DDF Original'!C1286="","",'DDF Original'!C1286)</f>
        <v/>
      </c>
      <c r="D1286" s="20" t="str">
        <f>IF('DDF Original'!F1286="","",'DDF Original'!F1286)</f>
        <v/>
      </c>
      <c r="E1286" s="38" t="str">
        <f>'Recálculo Confissão (85-B)'!N1286</f>
        <v/>
      </c>
      <c r="F1286" s="20" t="str">
        <f t="shared" si="40"/>
        <v/>
      </c>
      <c r="G1286" s="20" t="str">
        <f t="shared" si="41"/>
        <v/>
      </c>
    </row>
    <row r="1287" spans="2:7" x14ac:dyDescent="0.2">
      <c r="B1287" s="19" t="str">
        <f>IF('DDF Original'!B1287="","",'DDF Original'!B1287)</f>
        <v/>
      </c>
      <c r="C1287" s="20" t="str">
        <f>IF('DDF Original'!C1287="","",'DDF Original'!C1287)</f>
        <v/>
      </c>
      <c r="D1287" s="20" t="str">
        <f>IF('DDF Original'!F1287="","",'DDF Original'!F1287)</f>
        <v/>
      </c>
      <c r="E1287" s="38" t="str">
        <f>'Recálculo Confissão (85-B)'!N1287</f>
        <v/>
      </c>
      <c r="F1287" s="20" t="str">
        <f t="shared" si="40"/>
        <v/>
      </c>
      <c r="G1287" s="20" t="str">
        <f t="shared" si="41"/>
        <v/>
      </c>
    </row>
    <row r="1288" spans="2:7" x14ac:dyDescent="0.2">
      <c r="B1288" s="19" t="str">
        <f>IF('DDF Original'!B1288="","",'DDF Original'!B1288)</f>
        <v/>
      </c>
      <c r="C1288" s="20" t="str">
        <f>IF('DDF Original'!C1288="","",'DDF Original'!C1288)</f>
        <v/>
      </c>
      <c r="D1288" s="20" t="str">
        <f>IF('DDF Original'!F1288="","",'DDF Original'!F1288)</f>
        <v/>
      </c>
      <c r="E1288" s="38" t="str">
        <f>'Recálculo Confissão (85-B)'!N1288</f>
        <v/>
      </c>
      <c r="F1288" s="20" t="str">
        <f t="shared" si="40"/>
        <v/>
      </c>
      <c r="G1288" s="20" t="str">
        <f t="shared" si="41"/>
        <v/>
      </c>
    </row>
    <row r="1289" spans="2:7" x14ac:dyDescent="0.2">
      <c r="B1289" s="19" t="str">
        <f>IF('DDF Original'!B1289="","",'DDF Original'!B1289)</f>
        <v/>
      </c>
      <c r="C1289" s="20" t="str">
        <f>IF('DDF Original'!C1289="","",'DDF Original'!C1289)</f>
        <v/>
      </c>
      <c r="D1289" s="20" t="str">
        <f>IF('DDF Original'!F1289="","",'DDF Original'!F1289)</f>
        <v/>
      </c>
      <c r="E1289" s="38" t="str">
        <f>'Recálculo Confissão (85-B)'!N1289</f>
        <v/>
      </c>
      <c r="F1289" s="20" t="str">
        <f t="shared" si="40"/>
        <v/>
      </c>
      <c r="G1289" s="20" t="str">
        <f t="shared" si="41"/>
        <v/>
      </c>
    </row>
    <row r="1290" spans="2:7" x14ac:dyDescent="0.2">
      <c r="B1290" s="19" t="str">
        <f>IF('DDF Original'!B1290="","",'DDF Original'!B1290)</f>
        <v/>
      </c>
      <c r="C1290" s="20" t="str">
        <f>IF('DDF Original'!C1290="","",'DDF Original'!C1290)</f>
        <v/>
      </c>
      <c r="D1290" s="20" t="str">
        <f>IF('DDF Original'!F1290="","",'DDF Original'!F1290)</f>
        <v/>
      </c>
      <c r="E1290" s="38" t="str">
        <f>'Recálculo Confissão (85-B)'!N1290</f>
        <v/>
      </c>
      <c r="F1290" s="20" t="str">
        <f t="shared" si="40"/>
        <v/>
      </c>
      <c r="G1290" s="20" t="str">
        <f t="shared" si="41"/>
        <v/>
      </c>
    </row>
    <row r="1291" spans="2:7" x14ac:dyDescent="0.2">
      <c r="B1291" s="19" t="str">
        <f>IF('DDF Original'!B1291="","",'DDF Original'!B1291)</f>
        <v/>
      </c>
      <c r="C1291" s="20" t="str">
        <f>IF('DDF Original'!C1291="","",'DDF Original'!C1291)</f>
        <v/>
      </c>
      <c r="D1291" s="20" t="str">
        <f>IF('DDF Original'!F1291="","",'DDF Original'!F1291)</f>
        <v/>
      </c>
      <c r="E1291" s="38" t="str">
        <f>'Recálculo Confissão (85-B)'!N1291</f>
        <v/>
      </c>
      <c r="F1291" s="20" t="str">
        <f t="shared" si="40"/>
        <v/>
      </c>
      <c r="G1291" s="20" t="str">
        <f t="shared" si="41"/>
        <v/>
      </c>
    </row>
    <row r="1292" spans="2:7" x14ac:dyDescent="0.2">
      <c r="B1292" s="19" t="str">
        <f>IF('DDF Original'!B1292="","",'DDF Original'!B1292)</f>
        <v/>
      </c>
      <c r="C1292" s="20" t="str">
        <f>IF('DDF Original'!C1292="","",'DDF Original'!C1292)</f>
        <v/>
      </c>
      <c r="D1292" s="20" t="str">
        <f>IF('DDF Original'!F1292="","",'DDF Original'!F1292)</f>
        <v/>
      </c>
      <c r="E1292" s="38" t="str">
        <f>'Recálculo Confissão (85-B)'!N1292</f>
        <v/>
      </c>
      <c r="F1292" s="20" t="str">
        <f t="shared" si="40"/>
        <v/>
      </c>
      <c r="G1292" s="20" t="str">
        <f t="shared" si="41"/>
        <v/>
      </c>
    </row>
    <row r="1293" spans="2:7" x14ac:dyDescent="0.2">
      <c r="B1293" s="19" t="str">
        <f>IF('DDF Original'!B1293="","",'DDF Original'!B1293)</f>
        <v/>
      </c>
      <c r="C1293" s="20" t="str">
        <f>IF('DDF Original'!C1293="","",'DDF Original'!C1293)</f>
        <v/>
      </c>
      <c r="D1293" s="20" t="str">
        <f>IF('DDF Original'!F1293="","",'DDF Original'!F1293)</f>
        <v/>
      </c>
      <c r="E1293" s="38" t="str">
        <f>'Recálculo Confissão (85-B)'!N1293</f>
        <v/>
      </c>
      <c r="F1293" s="20" t="str">
        <f t="shared" si="40"/>
        <v/>
      </c>
      <c r="G1293" s="20" t="str">
        <f t="shared" si="41"/>
        <v/>
      </c>
    </row>
    <row r="1294" spans="2:7" x14ac:dyDescent="0.2">
      <c r="B1294" s="19" t="str">
        <f>IF('DDF Original'!B1294="","",'DDF Original'!B1294)</f>
        <v/>
      </c>
      <c r="C1294" s="20" t="str">
        <f>IF('DDF Original'!C1294="","",'DDF Original'!C1294)</f>
        <v/>
      </c>
      <c r="D1294" s="20" t="str">
        <f>IF('DDF Original'!F1294="","",'DDF Original'!F1294)</f>
        <v/>
      </c>
      <c r="E1294" s="38" t="str">
        <f>'Recálculo Confissão (85-B)'!N1294</f>
        <v/>
      </c>
      <c r="F1294" s="20" t="str">
        <f t="shared" si="40"/>
        <v/>
      </c>
      <c r="G1294" s="20" t="str">
        <f t="shared" si="41"/>
        <v/>
      </c>
    </row>
    <row r="1295" spans="2:7" x14ac:dyDescent="0.2">
      <c r="B1295" s="19" t="str">
        <f>IF('DDF Original'!B1295="","",'DDF Original'!B1295)</f>
        <v/>
      </c>
      <c r="C1295" s="20" t="str">
        <f>IF('DDF Original'!C1295="","",'DDF Original'!C1295)</f>
        <v/>
      </c>
      <c r="D1295" s="20" t="str">
        <f>IF('DDF Original'!F1295="","",'DDF Original'!F1295)</f>
        <v/>
      </c>
      <c r="E1295" s="38" t="str">
        <f>'Recálculo Confissão (85-B)'!N1295</f>
        <v/>
      </c>
      <c r="F1295" s="20" t="str">
        <f t="shared" si="40"/>
        <v/>
      </c>
      <c r="G1295" s="20" t="str">
        <f t="shared" si="41"/>
        <v/>
      </c>
    </row>
    <row r="1296" spans="2:7" x14ac:dyDescent="0.2">
      <c r="B1296" s="19" t="str">
        <f>IF('DDF Original'!B1296="","",'DDF Original'!B1296)</f>
        <v/>
      </c>
      <c r="C1296" s="20" t="str">
        <f>IF('DDF Original'!C1296="","",'DDF Original'!C1296)</f>
        <v/>
      </c>
      <c r="D1296" s="20" t="str">
        <f>IF('DDF Original'!F1296="","",'DDF Original'!F1296)</f>
        <v/>
      </c>
      <c r="E1296" s="38" t="str">
        <f>'Recálculo Confissão (85-B)'!N1296</f>
        <v/>
      </c>
      <c r="F1296" s="20" t="str">
        <f t="shared" si="40"/>
        <v/>
      </c>
      <c r="G1296" s="20" t="str">
        <f t="shared" si="41"/>
        <v/>
      </c>
    </row>
    <row r="1297" spans="2:7" x14ac:dyDescent="0.2">
      <c r="B1297" s="19" t="str">
        <f>IF('DDF Original'!B1297="","",'DDF Original'!B1297)</f>
        <v/>
      </c>
      <c r="C1297" s="20" t="str">
        <f>IF('DDF Original'!C1297="","",'DDF Original'!C1297)</f>
        <v/>
      </c>
      <c r="D1297" s="20" t="str">
        <f>IF('DDF Original'!F1297="","",'DDF Original'!F1297)</f>
        <v/>
      </c>
      <c r="E1297" s="38" t="str">
        <f>'Recálculo Confissão (85-B)'!N1297</f>
        <v/>
      </c>
      <c r="F1297" s="20" t="str">
        <f t="shared" si="40"/>
        <v/>
      </c>
      <c r="G1297" s="20" t="str">
        <f t="shared" si="41"/>
        <v/>
      </c>
    </row>
    <row r="1298" spans="2:7" x14ac:dyDescent="0.2">
      <c r="B1298" s="19" t="str">
        <f>IF('DDF Original'!B1298="","",'DDF Original'!B1298)</f>
        <v/>
      </c>
      <c r="C1298" s="20" t="str">
        <f>IF('DDF Original'!C1298="","",'DDF Original'!C1298)</f>
        <v/>
      </c>
      <c r="D1298" s="20" t="str">
        <f>IF('DDF Original'!F1298="","",'DDF Original'!F1298)</f>
        <v/>
      </c>
      <c r="E1298" s="38" t="str">
        <f>'Recálculo Confissão (85-B)'!N1298</f>
        <v/>
      </c>
      <c r="F1298" s="20" t="str">
        <f t="shared" si="40"/>
        <v/>
      </c>
      <c r="G1298" s="20" t="str">
        <f t="shared" si="41"/>
        <v/>
      </c>
    </row>
    <row r="1299" spans="2:7" x14ac:dyDescent="0.2">
      <c r="B1299" s="19" t="str">
        <f>IF('DDF Original'!B1299="","",'DDF Original'!B1299)</f>
        <v/>
      </c>
      <c r="C1299" s="20" t="str">
        <f>IF('DDF Original'!C1299="","",'DDF Original'!C1299)</f>
        <v/>
      </c>
      <c r="D1299" s="20" t="str">
        <f>IF('DDF Original'!F1299="","",'DDF Original'!F1299)</f>
        <v/>
      </c>
      <c r="E1299" s="38" t="str">
        <f>'Recálculo Confissão (85-B)'!N1299</f>
        <v/>
      </c>
      <c r="F1299" s="20" t="str">
        <f t="shared" si="40"/>
        <v/>
      </c>
      <c r="G1299" s="20" t="str">
        <f t="shared" si="41"/>
        <v/>
      </c>
    </row>
    <row r="1300" spans="2:7" x14ac:dyDescent="0.2">
      <c r="B1300" s="19" t="str">
        <f>IF('DDF Original'!B1300="","",'DDF Original'!B1300)</f>
        <v/>
      </c>
      <c r="C1300" s="20" t="str">
        <f>IF('DDF Original'!C1300="","",'DDF Original'!C1300)</f>
        <v/>
      </c>
      <c r="D1300" s="20" t="str">
        <f>IF('DDF Original'!F1300="","",'DDF Original'!F1300)</f>
        <v/>
      </c>
      <c r="E1300" s="38" t="str">
        <f>'Recálculo Confissão (85-B)'!N1300</f>
        <v/>
      </c>
      <c r="F1300" s="20" t="str">
        <f t="shared" si="40"/>
        <v/>
      </c>
      <c r="G1300" s="20" t="str">
        <f t="shared" si="41"/>
        <v/>
      </c>
    </row>
    <row r="1301" spans="2:7" x14ac:dyDescent="0.2">
      <c r="B1301" s="19" t="str">
        <f>IF('DDF Original'!B1301="","",'DDF Original'!B1301)</f>
        <v/>
      </c>
      <c r="C1301" s="20" t="str">
        <f>IF('DDF Original'!C1301="","",'DDF Original'!C1301)</f>
        <v/>
      </c>
      <c r="D1301" s="20" t="str">
        <f>IF('DDF Original'!F1301="","",'DDF Original'!F1301)</f>
        <v/>
      </c>
      <c r="E1301" s="38" t="str">
        <f>'Recálculo Confissão (85-B)'!N1301</f>
        <v/>
      </c>
      <c r="F1301" s="20" t="str">
        <f t="shared" si="40"/>
        <v/>
      </c>
      <c r="G1301" s="20" t="str">
        <f t="shared" si="41"/>
        <v/>
      </c>
    </row>
    <row r="1302" spans="2:7" x14ac:dyDescent="0.2">
      <c r="B1302" s="19" t="str">
        <f>IF('DDF Original'!B1302="","",'DDF Original'!B1302)</f>
        <v/>
      </c>
      <c r="C1302" s="20" t="str">
        <f>IF('DDF Original'!C1302="","",'DDF Original'!C1302)</f>
        <v/>
      </c>
      <c r="D1302" s="20" t="str">
        <f>IF('DDF Original'!F1302="","",'DDF Original'!F1302)</f>
        <v/>
      </c>
      <c r="E1302" s="38" t="str">
        <f>'Recálculo Confissão (85-B)'!N1302</f>
        <v/>
      </c>
      <c r="F1302" s="20" t="str">
        <f t="shared" si="40"/>
        <v/>
      </c>
      <c r="G1302" s="20" t="str">
        <f t="shared" si="41"/>
        <v/>
      </c>
    </row>
    <row r="1303" spans="2:7" x14ac:dyDescent="0.2">
      <c r="B1303" s="19" t="str">
        <f>IF('DDF Original'!B1303="","",'DDF Original'!B1303)</f>
        <v/>
      </c>
      <c r="C1303" s="20" t="str">
        <f>IF('DDF Original'!C1303="","",'DDF Original'!C1303)</f>
        <v/>
      </c>
      <c r="D1303" s="20" t="str">
        <f>IF('DDF Original'!F1303="","",'DDF Original'!F1303)</f>
        <v/>
      </c>
      <c r="E1303" s="38" t="str">
        <f>'Recálculo Confissão (85-B)'!N1303</f>
        <v/>
      </c>
      <c r="F1303" s="20" t="str">
        <f t="shared" si="40"/>
        <v/>
      </c>
      <c r="G1303" s="20" t="str">
        <f t="shared" si="41"/>
        <v/>
      </c>
    </row>
    <row r="1304" spans="2:7" x14ac:dyDescent="0.2">
      <c r="B1304" s="19" t="str">
        <f>IF('DDF Original'!B1304="","",'DDF Original'!B1304)</f>
        <v/>
      </c>
      <c r="C1304" s="20" t="str">
        <f>IF('DDF Original'!C1304="","",'DDF Original'!C1304)</f>
        <v/>
      </c>
      <c r="D1304" s="20" t="str">
        <f>IF('DDF Original'!F1304="","",'DDF Original'!F1304)</f>
        <v/>
      </c>
      <c r="E1304" s="38" t="str">
        <f>'Recálculo Confissão (85-B)'!N1304</f>
        <v/>
      </c>
      <c r="F1304" s="20" t="str">
        <f t="shared" si="40"/>
        <v/>
      </c>
      <c r="G1304" s="20" t="str">
        <f t="shared" si="41"/>
        <v/>
      </c>
    </row>
    <row r="1305" spans="2:7" x14ac:dyDescent="0.2">
      <c r="B1305" s="19" t="str">
        <f>IF('DDF Original'!B1305="","",'DDF Original'!B1305)</f>
        <v/>
      </c>
      <c r="C1305" s="20" t="str">
        <f>IF('DDF Original'!C1305="","",'DDF Original'!C1305)</f>
        <v/>
      </c>
      <c r="D1305" s="20" t="str">
        <f>IF('DDF Original'!F1305="","",'DDF Original'!F1305)</f>
        <v/>
      </c>
      <c r="E1305" s="38" t="str">
        <f>'Recálculo Confissão (85-B)'!N1305</f>
        <v/>
      </c>
      <c r="F1305" s="20" t="str">
        <f t="shared" si="40"/>
        <v/>
      </c>
      <c r="G1305" s="20" t="str">
        <f t="shared" si="41"/>
        <v/>
      </c>
    </row>
    <row r="1306" spans="2:7" x14ac:dyDescent="0.2">
      <c r="B1306" s="19" t="str">
        <f>IF('DDF Original'!B1306="","",'DDF Original'!B1306)</f>
        <v/>
      </c>
      <c r="C1306" s="20" t="str">
        <f>IF('DDF Original'!C1306="","",'DDF Original'!C1306)</f>
        <v/>
      </c>
      <c r="D1306" s="20" t="str">
        <f>IF('DDF Original'!F1306="","",'DDF Original'!F1306)</f>
        <v/>
      </c>
      <c r="E1306" s="38" t="str">
        <f>'Recálculo Confissão (85-B)'!N1306</f>
        <v/>
      </c>
      <c r="F1306" s="20" t="str">
        <f t="shared" si="40"/>
        <v/>
      </c>
      <c r="G1306" s="20" t="str">
        <f t="shared" si="41"/>
        <v/>
      </c>
    </row>
    <row r="1307" spans="2:7" x14ac:dyDescent="0.2">
      <c r="B1307" s="19" t="str">
        <f>IF('DDF Original'!B1307="","",'DDF Original'!B1307)</f>
        <v/>
      </c>
      <c r="C1307" s="20" t="str">
        <f>IF('DDF Original'!C1307="","",'DDF Original'!C1307)</f>
        <v/>
      </c>
      <c r="D1307" s="20" t="str">
        <f>IF('DDF Original'!F1307="","",'DDF Original'!F1307)</f>
        <v/>
      </c>
      <c r="E1307" s="38" t="str">
        <f>'Recálculo Confissão (85-B)'!N1307</f>
        <v/>
      </c>
      <c r="F1307" s="20" t="str">
        <f t="shared" si="40"/>
        <v/>
      </c>
      <c r="G1307" s="20" t="str">
        <f t="shared" si="41"/>
        <v/>
      </c>
    </row>
    <row r="1308" spans="2:7" x14ac:dyDescent="0.2">
      <c r="B1308" s="19" t="str">
        <f>IF('DDF Original'!B1308="","",'DDF Original'!B1308)</f>
        <v/>
      </c>
      <c r="C1308" s="20" t="str">
        <f>IF('DDF Original'!C1308="","",'DDF Original'!C1308)</f>
        <v/>
      </c>
      <c r="D1308" s="20" t="str">
        <f>IF('DDF Original'!F1308="","",'DDF Original'!F1308)</f>
        <v/>
      </c>
      <c r="E1308" s="38" t="str">
        <f>'Recálculo Confissão (85-B)'!N1308</f>
        <v/>
      </c>
      <c r="F1308" s="20" t="str">
        <f t="shared" si="40"/>
        <v/>
      </c>
      <c r="G1308" s="20" t="str">
        <f t="shared" si="41"/>
        <v/>
      </c>
    </row>
    <row r="1309" spans="2:7" x14ac:dyDescent="0.2">
      <c r="B1309" s="19" t="str">
        <f>IF('DDF Original'!B1309="","",'DDF Original'!B1309)</f>
        <v/>
      </c>
      <c r="C1309" s="20" t="str">
        <f>IF('DDF Original'!C1309="","",'DDF Original'!C1309)</f>
        <v/>
      </c>
      <c r="D1309" s="20" t="str">
        <f>IF('DDF Original'!F1309="","",'DDF Original'!F1309)</f>
        <v/>
      </c>
      <c r="E1309" s="38" t="str">
        <f>'Recálculo Confissão (85-B)'!N1309</f>
        <v/>
      </c>
      <c r="F1309" s="20" t="str">
        <f t="shared" si="40"/>
        <v/>
      </c>
      <c r="G1309" s="20" t="str">
        <f t="shared" si="41"/>
        <v/>
      </c>
    </row>
    <row r="1310" spans="2:7" x14ac:dyDescent="0.2">
      <c r="B1310" s="19" t="str">
        <f>IF('DDF Original'!B1310="","",'DDF Original'!B1310)</f>
        <v/>
      </c>
      <c r="C1310" s="20" t="str">
        <f>IF('DDF Original'!C1310="","",'DDF Original'!C1310)</f>
        <v/>
      </c>
      <c r="D1310" s="20" t="str">
        <f>IF('DDF Original'!F1310="","",'DDF Original'!F1310)</f>
        <v/>
      </c>
      <c r="E1310" s="38" t="str">
        <f>'Recálculo Confissão (85-B)'!N1310</f>
        <v/>
      </c>
      <c r="F1310" s="20" t="str">
        <f t="shared" si="40"/>
        <v/>
      </c>
      <c r="G1310" s="20" t="str">
        <f t="shared" si="41"/>
        <v/>
      </c>
    </row>
    <row r="1311" spans="2:7" x14ac:dyDescent="0.2">
      <c r="B1311" s="19" t="str">
        <f>IF('DDF Original'!B1311="","",'DDF Original'!B1311)</f>
        <v/>
      </c>
      <c r="C1311" s="20" t="str">
        <f>IF('DDF Original'!C1311="","",'DDF Original'!C1311)</f>
        <v/>
      </c>
      <c r="D1311" s="20" t="str">
        <f>IF('DDF Original'!F1311="","",'DDF Original'!F1311)</f>
        <v/>
      </c>
      <c r="E1311" s="38" t="str">
        <f>'Recálculo Confissão (85-B)'!N1311</f>
        <v/>
      </c>
      <c r="F1311" s="20" t="str">
        <f t="shared" si="40"/>
        <v/>
      </c>
      <c r="G1311" s="20" t="str">
        <f t="shared" si="41"/>
        <v/>
      </c>
    </row>
    <row r="1312" spans="2:7" x14ac:dyDescent="0.2">
      <c r="B1312" s="19" t="str">
        <f>IF('DDF Original'!B1312="","",'DDF Original'!B1312)</f>
        <v/>
      </c>
      <c r="C1312" s="20" t="str">
        <f>IF('DDF Original'!C1312="","",'DDF Original'!C1312)</f>
        <v/>
      </c>
      <c r="D1312" s="20" t="str">
        <f>IF('DDF Original'!F1312="","",'DDF Original'!F1312)</f>
        <v/>
      </c>
      <c r="E1312" s="38" t="str">
        <f>'Recálculo Confissão (85-B)'!N1312</f>
        <v/>
      </c>
      <c r="F1312" s="20" t="str">
        <f t="shared" si="40"/>
        <v/>
      </c>
      <c r="G1312" s="20" t="str">
        <f t="shared" si="41"/>
        <v/>
      </c>
    </row>
    <row r="1313" spans="2:7" x14ac:dyDescent="0.2">
      <c r="B1313" s="19" t="str">
        <f>IF('DDF Original'!B1313="","",'DDF Original'!B1313)</f>
        <v/>
      </c>
      <c r="C1313" s="20" t="str">
        <f>IF('DDF Original'!C1313="","",'DDF Original'!C1313)</f>
        <v/>
      </c>
      <c r="D1313" s="20" t="str">
        <f>IF('DDF Original'!F1313="","",'DDF Original'!F1313)</f>
        <v/>
      </c>
      <c r="E1313" s="38" t="str">
        <f>'Recálculo Confissão (85-B)'!N1313</f>
        <v/>
      </c>
      <c r="F1313" s="20" t="str">
        <f t="shared" si="40"/>
        <v/>
      </c>
      <c r="G1313" s="20" t="str">
        <f t="shared" si="41"/>
        <v/>
      </c>
    </row>
    <row r="1314" spans="2:7" x14ac:dyDescent="0.2">
      <c r="B1314" s="19" t="str">
        <f>IF('DDF Original'!B1314="","",'DDF Original'!B1314)</f>
        <v/>
      </c>
      <c r="C1314" s="20" t="str">
        <f>IF('DDF Original'!C1314="","",'DDF Original'!C1314)</f>
        <v/>
      </c>
      <c r="D1314" s="20" t="str">
        <f>IF('DDF Original'!F1314="","",'DDF Original'!F1314)</f>
        <v/>
      </c>
      <c r="E1314" s="38" t="str">
        <f>'Recálculo Confissão (85-B)'!N1314</f>
        <v/>
      </c>
      <c r="F1314" s="20" t="str">
        <f t="shared" si="40"/>
        <v/>
      </c>
      <c r="G1314" s="20" t="str">
        <f t="shared" si="41"/>
        <v/>
      </c>
    </row>
    <row r="1315" spans="2:7" x14ac:dyDescent="0.2">
      <c r="B1315" s="19" t="str">
        <f>IF('DDF Original'!B1315="","",'DDF Original'!B1315)</f>
        <v/>
      </c>
      <c r="C1315" s="20" t="str">
        <f>IF('DDF Original'!C1315="","",'DDF Original'!C1315)</f>
        <v/>
      </c>
      <c r="D1315" s="20" t="str">
        <f>IF('DDF Original'!F1315="","",'DDF Original'!F1315)</f>
        <v/>
      </c>
      <c r="E1315" s="38" t="str">
        <f>'Recálculo Confissão (85-B)'!N1315</f>
        <v/>
      </c>
      <c r="F1315" s="20" t="str">
        <f t="shared" si="40"/>
        <v/>
      </c>
      <c r="G1315" s="20" t="str">
        <f t="shared" si="41"/>
        <v/>
      </c>
    </row>
    <row r="1316" spans="2:7" x14ac:dyDescent="0.2">
      <c r="B1316" s="19" t="str">
        <f>IF('DDF Original'!B1316="","",'DDF Original'!B1316)</f>
        <v/>
      </c>
      <c r="C1316" s="20" t="str">
        <f>IF('DDF Original'!C1316="","",'DDF Original'!C1316)</f>
        <v/>
      </c>
      <c r="D1316" s="20" t="str">
        <f>IF('DDF Original'!F1316="","",'DDF Original'!F1316)</f>
        <v/>
      </c>
      <c r="E1316" s="38" t="str">
        <f>'Recálculo Confissão (85-B)'!N1316</f>
        <v/>
      </c>
      <c r="F1316" s="20" t="str">
        <f t="shared" si="40"/>
        <v/>
      </c>
      <c r="G1316" s="20" t="str">
        <f t="shared" si="41"/>
        <v/>
      </c>
    </row>
    <row r="1317" spans="2:7" x14ac:dyDescent="0.2">
      <c r="B1317" s="19" t="str">
        <f>IF('DDF Original'!B1317="","",'DDF Original'!B1317)</f>
        <v/>
      </c>
      <c r="C1317" s="20" t="str">
        <f>IF('DDF Original'!C1317="","",'DDF Original'!C1317)</f>
        <v/>
      </c>
      <c r="D1317" s="20" t="str">
        <f>IF('DDF Original'!F1317="","",'DDF Original'!F1317)</f>
        <v/>
      </c>
      <c r="E1317" s="38" t="str">
        <f>'Recálculo Confissão (85-B)'!N1317</f>
        <v/>
      </c>
      <c r="F1317" s="20" t="str">
        <f t="shared" si="40"/>
        <v/>
      </c>
      <c r="G1317" s="20" t="str">
        <f t="shared" si="41"/>
        <v/>
      </c>
    </row>
    <row r="1318" spans="2:7" x14ac:dyDescent="0.2">
      <c r="B1318" s="19" t="str">
        <f>IF('DDF Original'!B1318="","",'DDF Original'!B1318)</f>
        <v/>
      </c>
      <c r="C1318" s="20" t="str">
        <f>IF('DDF Original'!C1318="","",'DDF Original'!C1318)</f>
        <v/>
      </c>
      <c r="D1318" s="20" t="str">
        <f>IF('DDF Original'!F1318="","",'DDF Original'!F1318)</f>
        <v/>
      </c>
      <c r="E1318" s="38" t="str">
        <f>'Recálculo Confissão (85-B)'!N1318</f>
        <v/>
      </c>
      <c r="F1318" s="20" t="str">
        <f t="shared" si="40"/>
        <v/>
      </c>
      <c r="G1318" s="20" t="str">
        <f t="shared" si="41"/>
        <v/>
      </c>
    </row>
    <row r="1319" spans="2:7" x14ac:dyDescent="0.2">
      <c r="B1319" s="19" t="str">
        <f>IF('DDF Original'!B1319="","",'DDF Original'!B1319)</f>
        <v/>
      </c>
      <c r="C1319" s="20" t="str">
        <f>IF('DDF Original'!C1319="","",'DDF Original'!C1319)</f>
        <v/>
      </c>
      <c r="D1319" s="20" t="str">
        <f>IF('DDF Original'!F1319="","",'DDF Original'!F1319)</f>
        <v/>
      </c>
      <c r="E1319" s="38" t="str">
        <f>'Recálculo Confissão (85-B)'!N1319</f>
        <v/>
      </c>
      <c r="F1319" s="20" t="str">
        <f t="shared" si="40"/>
        <v/>
      </c>
      <c r="G1319" s="20" t="str">
        <f t="shared" si="41"/>
        <v/>
      </c>
    </row>
    <row r="1320" spans="2:7" x14ac:dyDescent="0.2">
      <c r="B1320" s="19" t="str">
        <f>IF('DDF Original'!B1320="","",'DDF Original'!B1320)</f>
        <v/>
      </c>
      <c r="C1320" s="20" t="str">
        <f>IF('DDF Original'!C1320="","",'DDF Original'!C1320)</f>
        <v/>
      </c>
      <c r="D1320" s="20" t="str">
        <f>IF('DDF Original'!F1320="","",'DDF Original'!F1320)</f>
        <v/>
      </c>
      <c r="E1320" s="38" t="str">
        <f>'Recálculo Confissão (85-B)'!N1320</f>
        <v/>
      </c>
      <c r="F1320" s="20" t="str">
        <f t="shared" si="40"/>
        <v/>
      </c>
      <c r="G1320" s="20" t="str">
        <f t="shared" si="41"/>
        <v/>
      </c>
    </row>
    <row r="1321" spans="2:7" x14ac:dyDescent="0.2">
      <c r="B1321" s="19" t="str">
        <f>IF('DDF Original'!B1321="","",'DDF Original'!B1321)</f>
        <v/>
      </c>
      <c r="C1321" s="20" t="str">
        <f>IF('DDF Original'!C1321="","",'DDF Original'!C1321)</f>
        <v/>
      </c>
      <c r="D1321" s="20" t="str">
        <f>IF('DDF Original'!F1321="","",'DDF Original'!F1321)</f>
        <v/>
      </c>
      <c r="E1321" s="38" t="str">
        <f>'Recálculo Confissão (85-B)'!N1321</f>
        <v/>
      </c>
      <c r="F1321" s="20" t="str">
        <f t="shared" si="40"/>
        <v/>
      </c>
      <c r="G1321" s="20" t="str">
        <f t="shared" si="41"/>
        <v/>
      </c>
    </row>
    <row r="1322" spans="2:7" x14ac:dyDescent="0.2">
      <c r="B1322" s="19" t="str">
        <f>IF('DDF Original'!B1322="","",'DDF Original'!B1322)</f>
        <v/>
      </c>
      <c r="C1322" s="20" t="str">
        <f>IF('DDF Original'!C1322="","",'DDF Original'!C1322)</f>
        <v/>
      </c>
      <c r="D1322" s="20" t="str">
        <f>IF('DDF Original'!F1322="","",'DDF Original'!F1322)</f>
        <v/>
      </c>
      <c r="E1322" s="38" t="str">
        <f>'Recálculo Confissão (85-B)'!N1322</f>
        <v/>
      </c>
      <c r="F1322" s="20" t="str">
        <f t="shared" si="40"/>
        <v/>
      </c>
      <c r="G1322" s="20" t="str">
        <f t="shared" si="41"/>
        <v/>
      </c>
    </row>
    <row r="1323" spans="2:7" x14ac:dyDescent="0.2">
      <c r="B1323" s="19" t="str">
        <f>IF('DDF Original'!B1323="","",'DDF Original'!B1323)</f>
        <v/>
      </c>
      <c r="C1323" s="20" t="str">
        <f>IF('DDF Original'!C1323="","",'DDF Original'!C1323)</f>
        <v/>
      </c>
      <c r="D1323" s="20" t="str">
        <f>IF('DDF Original'!F1323="","",'DDF Original'!F1323)</f>
        <v/>
      </c>
      <c r="E1323" s="38" t="str">
        <f>'Recálculo Confissão (85-B)'!N1323</f>
        <v/>
      </c>
      <c r="F1323" s="20" t="str">
        <f t="shared" si="40"/>
        <v/>
      </c>
      <c r="G1323" s="20" t="str">
        <f t="shared" si="41"/>
        <v/>
      </c>
    </row>
    <row r="1324" spans="2:7" x14ac:dyDescent="0.2">
      <c r="B1324" s="19" t="str">
        <f>IF('DDF Original'!B1324="","",'DDF Original'!B1324)</f>
        <v/>
      </c>
      <c r="C1324" s="20" t="str">
        <f>IF('DDF Original'!C1324="","",'DDF Original'!C1324)</f>
        <v/>
      </c>
      <c r="D1324" s="20" t="str">
        <f>IF('DDF Original'!F1324="","",'DDF Original'!F1324)</f>
        <v/>
      </c>
      <c r="E1324" s="38" t="str">
        <f>'Recálculo Confissão (85-B)'!N1324</f>
        <v/>
      </c>
      <c r="F1324" s="20" t="str">
        <f t="shared" si="40"/>
        <v/>
      </c>
      <c r="G1324" s="20" t="str">
        <f t="shared" si="41"/>
        <v/>
      </c>
    </row>
    <row r="1325" spans="2:7" x14ac:dyDescent="0.2">
      <c r="B1325" s="19" t="str">
        <f>IF('DDF Original'!B1325="","",'DDF Original'!B1325)</f>
        <v/>
      </c>
      <c r="C1325" s="20" t="str">
        <f>IF('DDF Original'!C1325="","",'DDF Original'!C1325)</f>
        <v/>
      </c>
      <c r="D1325" s="20" t="str">
        <f>IF('DDF Original'!F1325="","",'DDF Original'!F1325)</f>
        <v/>
      </c>
      <c r="E1325" s="38" t="str">
        <f>'Recálculo Confissão (85-B)'!N1325</f>
        <v/>
      </c>
      <c r="F1325" s="20" t="str">
        <f t="shared" si="40"/>
        <v/>
      </c>
      <c r="G1325" s="20" t="str">
        <f t="shared" si="41"/>
        <v/>
      </c>
    </row>
    <row r="1326" spans="2:7" x14ac:dyDescent="0.2">
      <c r="B1326" s="19" t="str">
        <f>IF('DDF Original'!B1326="","",'DDF Original'!B1326)</f>
        <v/>
      </c>
      <c r="C1326" s="20" t="str">
        <f>IF('DDF Original'!C1326="","",'DDF Original'!C1326)</f>
        <v/>
      </c>
      <c r="D1326" s="20" t="str">
        <f>IF('DDF Original'!F1326="","",'DDF Original'!F1326)</f>
        <v/>
      </c>
      <c r="E1326" s="38" t="str">
        <f>'Recálculo Confissão (85-B)'!N1326</f>
        <v/>
      </c>
      <c r="F1326" s="20" t="str">
        <f t="shared" si="40"/>
        <v/>
      </c>
      <c r="G1326" s="20" t="str">
        <f t="shared" si="41"/>
        <v/>
      </c>
    </row>
    <row r="1327" spans="2:7" x14ac:dyDescent="0.2">
      <c r="B1327" s="19" t="str">
        <f>IF('DDF Original'!B1327="","",'DDF Original'!B1327)</f>
        <v/>
      </c>
      <c r="C1327" s="20" t="str">
        <f>IF('DDF Original'!C1327="","",'DDF Original'!C1327)</f>
        <v/>
      </c>
      <c r="D1327" s="20" t="str">
        <f>IF('DDF Original'!F1327="","",'DDF Original'!F1327)</f>
        <v/>
      </c>
      <c r="E1327" s="38" t="str">
        <f>'Recálculo Confissão (85-B)'!N1327</f>
        <v/>
      </c>
      <c r="F1327" s="20" t="str">
        <f t="shared" si="40"/>
        <v/>
      </c>
      <c r="G1327" s="20" t="str">
        <f t="shared" si="41"/>
        <v/>
      </c>
    </row>
    <row r="1328" spans="2:7" x14ac:dyDescent="0.2">
      <c r="B1328" s="19" t="str">
        <f>IF('DDF Original'!B1328="","",'DDF Original'!B1328)</f>
        <v/>
      </c>
      <c r="C1328" s="20" t="str">
        <f>IF('DDF Original'!C1328="","",'DDF Original'!C1328)</f>
        <v/>
      </c>
      <c r="D1328" s="20" t="str">
        <f>IF('DDF Original'!F1328="","",'DDF Original'!F1328)</f>
        <v/>
      </c>
      <c r="E1328" s="38" t="str">
        <f>'Recálculo Confissão (85-B)'!N1328</f>
        <v/>
      </c>
      <c r="F1328" s="20" t="str">
        <f t="shared" si="40"/>
        <v/>
      </c>
      <c r="G1328" s="20" t="str">
        <f t="shared" si="41"/>
        <v/>
      </c>
    </row>
    <row r="1329" spans="2:7" x14ac:dyDescent="0.2">
      <c r="B1329" s="19" t="str">
        <f>IF('DDF Original'!B1329="","",'DDF Original'!B1329)</f>
        <v/>
      </c>
      <c r="C1329" s="20" t="str">
        <f>IF('DDF Original'!C1329="","",'DDF Original'!C1329)</f>
        <v/>
      </c>
      <c r="D1329" s="20" t="str">
        <f>IF('DDF Original'!F1329="","",'DDF Original'!F1329)</f>
        <v/>
      </c>
      <c r="E1329" s="38" t="str">
        <f>'Recálculo Confissão (85-B)'!N1329</f>
        <v/>
      </c>
      <c r="F1329" s="20" t="str">
        <f t="shared" si="40"/>
        <v/>
      </c>
      <c r="G1329" s="20" t="str">
        <f t="shared" si="41"/>
        <v/>
      </c>
    </row>
    <row r="1330" spans="2:7" x14ac:dyDescent="0.2">
      <c r="B1330" s="19" t="str">
        <f>IF('DDF Original'!B1330="","",'DDF Original'!B1330)</f>
        <v/>
      </c>
      <c r="C1330" s="20" t="str">
        <f>IF('DDF Original'!C1330="","",'DDF Original'!C1330)</f>
        <v/>
      </c>
      <c r="D1330" s="20" t="str">
        <f>IF('DDF Original'!F1330="","",'DDF Original'!F1330)</f>
        <v/>
      </c>
      <c r="E1330" s="38" t="str">
        <f>'Recálculo Confissão (85-B)'!N1330</f>
        <v/>
      </c>
      <c r="F1330" s="20" t="str">
        <f t="shared" si="40"/>
        <v/>
      </c>
      <c r="G1330" s="20" t="str">
        <f t="shared" si="41"/>
        <v/>
      </c>
    </row>
    <row r="1331" spans="2:7" x14ac:dyDescent="0.2">
      <c r="B1331" s="19" t="str">
        <f>IF('DDF Original'!B1331="","",'DDF Original'!B1331)</f>
        <v/>
      </c>
      <c r="C1331" s="20" t="str">
        <f>IF('DDF Original'!C1331="","",'DDF Original'!C1331)</f>
        <v/>
      </c>
      <c r="D1331" s="20" t="str">
        <f>IF('DDF Original'!F1331="","",'DDF Original'!F1331)</f>
        <v/>
      </c>
      <c r="E1331" s="38" t="str">
        <f>'Recálculo Confissão (85-B)'!N1331</f>
        <v/>
      </c>
      <c r="F1331" s="20" t="str">
        <f t="shared" si="40"/>
        <v/>
      </c>
      <c r="G1331" s="20" t="str">
        <f t="shared" si="41"/>
        <v/>
      </c>
    </row>
    <row r="1332" spans="2:7" x14ac:dyDescent="0.2">
      <c r="B1332" s="19" t="str">
        <f>IF('DDF Original'!B1332="","",'DDF Original'!B1332)</f>
        <v/>
      </c>
      <c r="C1332" s="20" t="str">
        <f>IF('DDF Original'!C1332="","",'DDF Original'!C1332)</f>
        <v/>
      </c>
      <c r="D1332" s="20" t="str">
        <f>IF('DDF Original'!F1332="","",'DDF Original'!F1332)</f>
        <v/>
      </c>
      <c r="E1332" s="38" t="str">
        <f>'Recálculo Confissão (85-B)'!N1332</f>
        <v/>
      </c>
      <c r="F1332" s="20" t="str">
        <f t="shared" si="40"/>
        <v/>
      </c>
      <c r="G1332" s="20" t="str">
        <f t="shared" si="41"/>
        <v/>
      </c>
    </row>
    <row r="1333" spans="2:7" x14ac:dyDescent="0.2">
      <c r="B1333" s="19" t="str">
        <f>IF('DDF Original'!B1333="","",'DDF Original'!B1333)</f>
        <v/>
      </c>
      <c r="C1333" s="20" t="str">
        <f>IF('DDF Original'!C1333="","",'DDF Original'!C1333)</f>
        <v/>
      </c>
      <c r="D1333" s="20" t="str">
        <f>IF('DDF Original'!F1333="","",'DDF Original'!F1333)</f>
        <v/>
      </c>
      <c r="E1333" s="38" t="str">
        <f>'Recálculo Confissão (85-B)'!N1333</f>
        <v/>
      </c>
      <c r="F1333" s="20" t="str">
        <f t="shared" si="40"/>
        <v/>
      </c>
      <c r="G1333" s="20" t="str">
        <f t="shared" si="41"/>
        <v/>
      </c>
    </row>
    <row r="1334" spans="2:7" x14ac:dyDescent="0.2">
      <c r="B1334" s="19" t="str">
        <f>IF('DDF Original'!B1334="","",'DDF Original'!B1334)</f>
        <v/>
      </c>
      <c r="C1334" s="20" t="str">
        <f>IF('DDF Original'!C1334="","",'DDF Original'!C1334)</f>
        <v/>
      </c>
      <c r="D1334" s="20" t="str">
        <f>IF('DDF Original'!F1334="","",'DDF Original'!F1334)</f>
        <v/>
      </c>
      <c r="E1334" s="38" t="str">
        <f>'Recálculo Confissão (85-B)'!N1334</f>
        <v/>
      </c>
      <c r="F1334" s="20" t="str">
        <f t="shared" si="40"/>
        <v/>
      </c>
      <c r="G1334" s="20" t="str">
        <f t="shared" si="41"/>
        <v/>
      </c>
    </row>
    <row r="1335" spans="2:7" x14ac:dyDescent="0.2">
      <c r="B1335" s="19" t="str">
        <f>IF('DDF Original'!B1335="","",'DDF Original'!B1335)</f>
        <v/>
      </c>
      <c r="C1335" s="20" t="str">
        <f>IF('DDF Original'!C1335="","",'DDF Original'!C1335)</f>
        <v/>
      </c>
      <c r="D1335" s="20" t="str">
        <f>IF('DDF Original'!F1335="","",'DDF Original'!F1335)</f>
        <v/>
      </c>
      <c r="E1335" s="38" t="str">
        <f>'Recálculo Confissão (85-B)'!N1335</f>
        <v/>
      </c>
      <c r="F1335" s="20" t="str">
        <f t="shared" si="40"/>
        <v/>
      </c>
      <c r="G1335" s="20" t="str">
        <f t="shared" si="41"/>
        <v/>
      </c>
    </row>
    <row r="1336" spans="2:7" x14ac:dyDescent="0.2">
      <c r="B1336" s="19" t="str">
        <f>IF('DDF Original'!B1336="","",'DDF Original'!B1336)</f>
        <v/>
      </c>
      <c r="C1336" s="20" t="str">
        <f>IF('DDF Original'!C1336="","",'DDF Original'!C1336)</f>
        <v/>
      </c>
      <c r="D1336" s="20" t="str">
        <f>IF('DDF Original'!F1336="","",'DDF Original'!F1336)</f>
        <v/>
      </c>
      <c r="E1336" s="38" t="str">
        <f>'Recálculo Confissão (85-B)'!N1336</f>
        <v/>
      </c>
      <c r="F1336" s="20" t="str">
        <f t="shared" si="40"/>
        <v/>
      </c>
      <c r="G1336" s="20" t="str">
        <f t="shared" si="41"/>
        <v/>
      </c>
    </row>
    <row r="1337" spans="2:7" x14ac:dyDescent="0.2">
      <c r="B1337" s="19" t="str">
        <f>IF('DDF Original'!B1337="","",'DDF Original'!B1337)</f>
        <v/>
      </c>
      <c r="C1337" s="20" t="str">
        <f>IF('DDF Original'!C1337="","",'DDF Original'!C1337)</f>
        <v/>
      </c>
      <c r="D1337" s="20" t="str">
        <f>IF('DDF Original'!F1337="","",'DDF Original'!F1337)</f>
        <v/>
      </c>
      <c r="E1337" s="38" t="str">
        <f>'Recálculo Confissão (85-B)'!N1337</f>
        <v/>
      </c>
      <c r="F1337" s="20" t="str">
        <f t="shared" si="40"/>
        <v/>
      </c>
      <c r="G1337" s="20" t="str">
        <f t="shared" si="41"/>
        <v/>
      </c>
    </row>
    <row r="1338" spans="2:7" x14ac:dyDescent="0.2">
      <c r="B1338" s="19" t="str">
        <f>IF('DDF Original'!B1338="","",'DDF Original'!B1338)</f>
        <v/>
      </c>
      <c r="C1338" s="20" t="str">
        <f>IF('DDF Original'!C1338="","",'DDF Original'!C1338)</f>
        <v/>
      </c>
      <c r="D1338" s="20" t="str">
        <f>IF('DDF Original'!F1338="","",'DDF Original'!F1338)</f>
        <v/>
      </c>
      <c r="E1338" s="38" t="str">
        <f>'Recálculo Confissão (85-B)'!N1338</f>
        <v/>
      </c>
      <c r="F1338" s="20" t="str">
        <f t="shared" si="40"/>
        <v/>
      </c>
      <c r="G1338" s="20" t="str">
        <f t="shared" si="41"/>
        <v/>
      </c>
    </row>
    <row r="1339" spans="2:7" x14ac:dyDescent="0.2">
      <c r="B1339" s="19" t="str">
        <f>IF('DDF Original'!B1339="","",'DDF Original'!B1339)</f>
        <v/>
      </c>
      <c r="C1339" s="20" t="str">
        <f>IF('DDF Original'!C1339="","",'DDF Original'!C1339)</f>
        <v/>
      </c>
      <c r="D1339" s="20" t="str">
        <f>IF('DDF Original'!F1339="","",'DDF Original'!F1339)</f>
        <v/>
      </c>
      <c r="E1339" s="38" t="str">
        <f>'Recálculo Confissão (85-B)'!N1339</f>
        <v/>
      </c>
      <c r="F1339" s="20" t="str">
        <f t="shared" si="40"/>
        <v/>
      </c>
      <c r="G1339" s="20" t="str">
        <f t="shared" si="41"/>
        <v/>
      </c>
    </row>
    <row r="1340" spans="2:7" x14ac:dyDescent="0.2">
      <c r="B1340" s="19" t="str">
        <f>IF('DDF Original'!B1340="","",'DDF Original'!B1340)</f>
        <v/>
      </c>
      <c r="C1340" s="20" t="str">
        <f>IF('DDF Original'!C1340="","",'DDF Original'!C1340)</f>
        <v/>
      </c>
      <c r="D1340" s="20" t="str">
        <f>IF('DDF Original'!F1340="","",'DDF Original'!F1340)</f>
        <v/>
      </c>
      <c r="E1340" s="38" t="str">
        <f>'Recálculo Confissão (85-B)'!N1340</f>
        <v/>
      </c>
      <c r="F1340" s="20" t="str">
        <f t="shared" si="40"/>
        <v/>
      </c>
      <c r="G1340" s="20" t="str">
        <f t="shared" si="41"/>
        <v/>
      </c>
    </row>
    <row r="1341" spans="2:7" x14ac:dyDescent="0.2">
      <c r="B1341" s="19" t="str">
        <f>IF('DDF Original'!B1341="","",'DDF Original'!B1341)</f>
        <v/>
      </c>
      <c r="C1341" s="20" t="str">
        <f>IF('DDF Original'!C1341="","",'DDF Original'!C1341)</f>
        <v/>
      </c>
      <c r="D1341" s="20" t="str">
        <f>IF('DDF Original'!F1341="","",'DDF Original'!F1341)</f>
        <v/>
      </c>
      <c r="E1341" s="38" t="str">
        <f>'Recálculo Confissão (85-B)'!N1341</f>
        <v/>
      </c>
      <c r="F1341" s="20" t="str">
        <f t="shared" ref="F1341:F1404" si="42">IF(E1341="","",ROUND(E1341*(1-70%),2))</f>
        <v/>
      </c>
      <c r="G1341" s="20" t="str">
        <f t="shared" ref="G1341:G1404" si="43">IF(E1341="","",ROUND(E1341*(1-60%),2))</f>
        <v/>
      </c>
    </row>
    <row r="1342" spans="2:7" x14ac:dyDescent="0.2">
      <c r="B1342" s="19" t="str">
        <f>IF('DDF Original'!B1342="","",'DDF Original'!B1342)</f>
        <v/>
      </c>
      <c r="C1342" s="20" t="str">
        <f>IF('DDF Original'!C1342="","",'DDF Original'!C1342)</f>
        <v/>
      </c>
      <c r="D1342" s="20" t="str">
        <f>IF('DDF Original'!F1342="","",'DDF Original'!F1342)</f>
        <v/>
      </c>
      <c r="E1342" s="38" t="str">
        <f>'Recálculo Confissão (85-B)'!N1342</f>
        <v/>
      </c>
      <c r="F1342" s="20" t="str">
        <f t="shared" si="42"/>
        <v/>
      </c>
      <c r="G1342" s="20" t="str">
        <f t="shared" si="43"/>
        <v/>
      </c>
    </row>
    <row r="1343" spans="2:7" x14ac:dyDescent="0.2">
      <c r="B1343" s="19" t="str">
        <f>IF('DDF Original'!B1343="","",'DDF Original'!B1343)</f>
        <v/>
      </c>
      <c r="C1343" s="20" t="str">
        <f>IF('DDF Original'!C1343="","",'DDF Original'!C1343)</f>
        <v/>
      </c>
      <c r="D1343" s="20" t="str">
        <f>IF('DDF Original'!F1343="","",'DDF Original'!F1343)</f>
        <v/>
      </c>
      <c r="E1343" s="38" t="str">
        <f>'Recálculo Confissão (85-B)'!N1343</f>
        <v/>
      </c>
      <c r="F1343" s="20" t="str">
        <f t="shared" si="42"/>
        <v/>
      </c>
      <c r="G1343" s="20" t="str">
        <f t="shared" si="43"/>
        <v/>
      </c>
    </row>
    <row r="1344" spans="2:7" x14ac:dyDescent="0.2">
      <c r="B1344" s="19" t="str">
        <f>IF('DDF Original'!B1344="","",'DDF Original'!B1344)</f>
        <v/>
      </c>
      <c r="C1344" s="20" t="str">
        <f>IF('DDF Original'!C1344="","",'DDF Original'!C1344)</f>
        <v/>
      </c>
      <c r="D1344" s="20" t="str">
        <f>IF('DDF Original'!F1344="","",'DDF Original'!F1344)</f>
        <v/>
      </c>
      <c r="E1344" s="38" t="str">
        <f>'Recálculo Confissão (85-B)'!N1344</f>
        <v/>
      </c>
      <c r="F1344" s="20" t="str">
        <f t="shared" si="42"/>
        <v/>
      </c>
      <c r="G1344" s="20" t="str">
        <f t="shared" si="43"/>
        <v/>
      </c>
    </row>
    <row r="1345" spans="2:7" x14ac:dyDescent="0.2">
      <c r="B1345" s="19" t="str">
        <f>IF('DDF Original'!B1345="","",'DDF Original'!B1345)</f>
        <v/>
      </c>
      <c r="C1345" s="20" t="str">
        <f>IF('DDF Original'!C1345="","",'DDF Original'!C1345)</f>
        <v/>
      </c>
      <c r="D1345" s="20" t="str">
        <f>IF('DDF Original'!F1345="","",'DDF Original'!F1345)</f>
        <v/>
      </c>
      <c r="E1345" s="38" t="str">
        <f>'Recálculo Confissão (85-B)'!N1345</f>
        <v/>
      </c>
      <c r="F1345" s="20" t="str">
        <f t="shared" si="42"/>
        <v/>
      </c>
      <c r="G1345" s="20" t="str">
        <f t="shared" si="43"/>
        <v/>
      </c>
    </row>
    <row r="1346" spans="2:7" x14ac:dyDescent="0.2">
      <c r="B1346" s="19" t="str">
        <f>IF('DDF Original'!B1346="","",'DDF Original'!B1346)</f>
        <v/>
      </c>
      <c r="C1346" s="20" t="str">
        <f>IF('DDF Original'!C1346="","",'DDF Original'!C1346)</f>
        <v/>
      </c>
      <c r="D1346" s="20" t="str">
        <f>IF('DDF Original'!F1346="","",'DDF Original'!F1346)</f>
        <v/>
      </c>
      <c r="E1346" s="38" t="str">
        <f>'Recálculo Confissão (85-B)'!N1346</f>
        <v/>
      </c>
      <c r="F1346" s="20" t="str">
        <f t="shared" si="42"/>
        <v/>
      </c>
      <c r="G1346" s="20" t="str">
        <f t="shared" si="43"/>
        <v/>
      </c>
    </row>
    <row r="1347" spans="2:7" x14ac:dyDescent="0.2">
      <c r="B1347" s="19" t="str">
        <f>IF('DDF Original'!B1347="","",'DDF Original'!B1347)</f>
        <v/>
      </c>
      <c r="C1347" s="20" t="str">
        <f>IF('DDF Original'!C1347="","",'DDF Original'!C1347)</f>
        <v/>
      </c>
      <c r="D1347" s="20" t="str">
        <f>IF('DDF Original'!F1347="","",'DDF Original'!F1347)</f>
        <v/>
      </c>
      <c r="E1347" s="38" t="str">
        <f>'Recálculo Confissão (85-B)'!N1347</f>
        <v/>
      </c>
      <c r="F1347" s="20" t="str">
        <f t="shared" si="42"/>
        <v/>
      </c>
      <c r="G1347" s="20" t="str">
        <f t="shared" si="43"/>
        <v/>
      </c>
    </row>
    <row r="1348" spans="2:7" x14ac:dyDescent="0.2">
      <c r="B1348" s="19" t="str">
        <f>IF('DDF Original'!B1348="","",'DDF Original'!B1348)</f>
        <v/>
      </c>
      <c r="C1348" s="20" t="str">
        <f>IF('DDF Original'!C1348="","",'DDF Original'!C1348)</f>
        <v/>
      </c>
      <c r="D1348" s="20" t="str">
        <f>IF('DDF Original'!F1348="","",'DDF Original'!F1348)</f>
        <v/>
      </c>
      <c r="E1348" s="38" t="str">
        <f>'Recálculo Confissão (85-B)'!N1348</f>
        <v/>
      </c>
      <c r="F1348" s="20" t="str">
        <f t="shared" si="42"/>
        <v/>
      </c>
      <c r="G1348" s="20" t="str">
        <f t="shared" si="43"/>
        <v/>
      </c>
    </row>
    <row r="1349" spans="2:7" x14ac:dyDescent="0.2">
      <c r="B1349" s="19" t="str">
        <f>IF('DDF Original'!B1349="","",'DDF Original'!B1349)</f>
        <v/>
      </c>
      <c r="C1349" s="20" t="str">
        <f>IF('DDF Original'!C1349="","",'DDF Original'!C1349)</f>
        <v/>
      </c>
      <c r="D1349" s="20" t="str">
        <f>IF('DDF Original'!F1349="","",'DDF Original'!F1349)</f>
        <v/>
      </c>
      <c r="E1349" s="38" t="str">
        <f>'Recálculo Confissão (85-B)'!N1349</f>
        <v/>
      </c>
      <c r="F1349" s="20" t="str">
        <f t="shared" si="42"/>
        <v/>
      </c>
      <c r="G1349" s="20" t="str">
        <f t="shared" si="43"/>
        <v/>
      </c>
    </row>
    <row r="1350" spans="2:7" x14ac:dyDescent="0.2">
      <c r="B1350" s="19" t="str">
        <f>IF('DDF Original'!B1350="","",'DDF Original'!B1350)</f>
        <v/>
      </c>
      <c r="C1350" s="20" t="str">
        <f>IF('DDF Original'!C1350="","",'DDF Original'!C1350)</f>
        <v/>
      </c>
      <c r="D1350" s="20" t="str">
        <f>IF('DDF Original'!F1350="","",'DDF Original'!F1350)</f>
        <v/>
      </c>
      <c r="E1350" s="38" t="str">
        <f>'Recálculo Confissão (85-B)'!N1350</f>
        <v/>
      </c>
      <c r="F1350" s="20" t="str">
        <f t="shared" si="42"/>
        <v/>
      </c>
      <c r="G1350" s="20" t="str">
        <f t="shared" si="43"/>
        <v/>
      </c>
    </row>
    <row r="1351" spans="2:7" x14ac:dyDescent="0.2">
      <c r="B1351" s="19" t="str">
        <f>IF('DDF Original'!B1351="","",'DDF Original'!B1351)</f>
        <v/>
      </c>
      <c r="C1351" s="20" t="str">
        <f>IF('DDF Original'!C1351="","",'DDF Original'!C1351)</f>
        <v/>
      </c>
      <c r="D1351" s="20" t="str">
        <f>IF('DDF Original'!F1351="","",'DDF Original'!F1351)</f>
        <v/>
      </c>
      <c r="E1351" s="38" t="str">
        <f>'Recálculo Confissão (85-B)'!N1351</f>
        <v/>
      </c>
      <c r="F1351" s="20" t="str">
        <f t="shared" si="42"/>
        <v/>
      </c>
      <c r="G1351" s="20" t="str">
        <f t="shared" si="43"/>
        <v/>
      </c>
    </row>
    <row r="1352" spans="2:7" x14ac:dyDescent="0.2">
      <c r="B1352" s="19" t="str">
        <f>IF('DDF Original'!B1352="","",'DDF Original'!B1352)</f>
        <v/>
      </c>
      <c r="C1352" s="20" t="str">
        <f>IF('DDF Original'!C1352="","",'DDF Original'!C1352)</f>
        <v/>
      </c>
      <c r="D1352" s="20" t="str">
        <f>IF('DDF Original'!F1352="","",'DDF Original'!F1352)</f>
        <v/>
      </c>
      <c r="E1352" s="38" t="str">
        <f>'Recálculo Confissão (85-B)'!N1352</f>
        <v/>
      </c>
      <c r="F1352" s="20" t="str">
        <f t="shared" si="42"/>
        <v/>
      </c>
      <c r="G1352" s="20" t="str">
        <f t="shared" si="43"/>
        <v/>
      </c>
    </row>
    <row r="1353" spans="2:7" x14ac:dyDescent="0.2">
      <c r="B1353" s="19" t="str">
        <f>IF('DDF Original'!B1353="","",'DDF Original'!B1353)</f>
        <v/>
      </c>
      <c r="C1353" s="20" t="str">
        <f>IF('DDF Original'!C1353="","",'DDF Original'!C1353)</f>
        <v/>
      </c>
      <c r="D1353" s="20" t="str">
        <f>IF('DDF Original'!F1353="","",'DDF Original'!F1353)</f>
        <v/>
      </c>
      <c r="E1353" s="38" t="str">
        <f>'Recálculo Confissão (85-B)'!N1353</f>
        <v/>
      </c>
      <c r="F1353" s="20" t="str">
        <f t="shared" si="42"/>
        <v/>
      </c>
      <c r="G1353" s="20" t="str">
        <f t="shared" si="43"/>
        <v/>
      </c>
    </row>
    <row r="1354" spans="2:7" x14ac:dyDescent="0.2">
      <c r="B1354" s="19" t="str">
        <f>IF('DDF Original'!B1354="","",'DDF Original'!B1354)</f>
        <v/>
      </c>
      <c r="C1354" s="20" t="str">
        <f>IF('DDF Original'!C1354="","",'DDF Original'!C1354)</f>
        <v/>
      </c>
      <c r="D1354" s="20" t="str">
        <f>IF('DDF Original'!F1354="","",'DDF Original'!F1354)</f>
        <v/>
      </c>
      <c r="E1354" s="38" t="str">
        <f>'Recálculo Confissão (85-B)'!N1354</f>
        <v/>
      </c>
      <c r="F1354" s="20" t="str">
        <f t="shared" si="42"/>
        <v/>
      </c>
      <c r="G1354" s="20" t="str">
        <f t="shared" si="43"/>
        <v/>
      </c>
    </row>
    <row r="1355" spans="2:7" x14ac:dyDescent="0.2">
      <c r="B1355" s="19" t="str">
        <f>IF('DDF Original'!B1355="","",'DDF Original'!B1355)</f>
        <v/>
      </c>
      <c r="C1355" s="20" t="str">
        <f>IF('DDF Original'!C1355="","",'DDF Original'!C1355)</f>
        <v/>
      </c>
      <c r="D1355" s="20" t="str">
        <f>IF('DDF Original'!F1355="","",'DDF Original'!F1355)</f>
        <v/>
      </c>
      <c r="E1355" s="38" t="str">
        <f>'Recálculo Confissão (85-B)'!N1355</f>
        <v/>
      </c>
      <c r="F1355" s="20" t="str">
        <f t="shared" si="42"/>
        <v/>
      </c>
      <c r="G1355" s="20" t="str">
        <f t="shared" si="43"/>
        <v/>
      </c>
    </row>
    <row r="1356" spans="2:7" x14ac:dyDescent="0.2">
      <c r="B1356" s="19" t="str">
        <f>IF('DDF Original'!B1356="","",'DDF Original'!B1356)</f>
        <v/>
      </c>
      <c r="C1356" s="20" t="str">
        <f>IF('DDF Original'!C1356="","",'DDF Original'!C1356)</f>
        <v/>
      </c>
      <c r="D1356" s="20" t="str">
        <f>IF('DDF Original'!F1356="","",'DDF Original'!F1356)</f>
        <v/>
      </c>
      <c r="E1356" s="38" t="str">
        <f>'Recálculo Confissão (85-B)'!N1356</f>
        <v/>
      </c>
      <c r="F1356" s="20" t="str">
        <f t="shared" si="42"/>
        <v/>
      </c>
      <c r="G1356" s="20" t="str">
        <f t="shared" si="43"/>
        <v/>
      </c>
    </row>
    <row r="1357" spans="2:7" x14ac:dyDescent="0.2">
      <c r="B1357" s="19" t="str">
        <f>IF('DDF Original'!B1357="","",'DDF Original'!B1357)</f>
        <v/>
      </c>
      <c r="C1357" s="20" t="str">
        <f>IF('DDF Original'!C1357="","",'DDF Original'!C1357)</f>
        <v/>
      </c>
      <c r="D1357" s="20" t="str">
        <f>IF('DDF Original'!F1357="","",'DDF Original'!F1357)</f>
        <v/>
      </c>
      <c r="E1357" s="38" t="str">
        <f>'Recálculo Confissão (85-B)'!N1357</f>
        <v/>
      </c>
      <c r="F1357" s="20" t="str">
        <f t="shared" si="42"/>
        <v/>
      </c>
      <c r="G1357" s="20" t="str">
        <f t="shared" si="43"/>
        <v/>
      </c>
    </row>
    <row r="1358" spans="2:7" x14ac:dyDescent="0.2">
      <c r="B1358" s="19" t="str">
        <f>IF('DDF Original'!B1358="","",'DDF Original'!B1358)</f>
        <v/>
      </c>
      <c r="C1358" s="20" t="str">
        <f>IF('DDF Original'!C1358="","",'DDF Original'!C1358)</f>
        <v/>
      </c>
      <c r="D1358" s="20" t="str">
        <f>IF('DDF Original'!F1358="","",'DDF Original'!F1358)</f>
        <v/>
      </c>
      <c r="E1358" s="38" t="str">
        <f>'Recálculo Confissão (85-B)'!N1358</f>
        <v/>
      </c>
      <c r="F1358" s="20" t="str">
        <f t="shared" si="42"/>
        <v/>
      </c>
      <c r="G1358" s="20" t="str">
        <f t="shared" si="43"/>
        <v/>
      </c>
    </row>
    <row r="1359" spans="2:7" x14ac:dyDescent="0.2">
      <c r="B1359" s="19" t="str">
        <f>IF('DDF Original'!B1359="","",'DDF Original'!B1359)</f>
        <v/>
      </c>
      <c r="C1359" s="20" t="str">
        <f>IF('DDF Original'!C1359="","",'DDF Original'!C1359)</f>
        <v/>
      </c>
      <c r="D1359" s="20" t="str">
        <f>IF('DDF Original'!F1359="","",'DDF Original'!F1359)</f>
        <v/>
      </c>
      <c r="E1359" s="38" t="str">
        <f>'Recálculo Confissão (85-B)'!N1359</f>
        <v/>
      </c>
      <c r="F1359" s="20" t="str">
        <f t="shared" si="42"/>
        <v/>
      </c>
      <c r="G1359" s="20" t="str">
        <f t="shared" si="43"/>
        <v/>
      </c>
    </row>
    <row r="1360" spans="2:7" x14ac:dyDescent="0.2">
      <c r="B1360" s="19" t="str">
        <f>IF('DDF Original'!B1360="","",'DDF Original'!B1360)</f>
        <v/>
      </c>
      <c r="C1360" s="20" t="str">
        <f>IF('DDF Original'!C1360="","",'DDF Original'!C1360)</f>
        <v/>
      </c>
      <c r="D1360" s="20" t="str">
        <f>IF('DDF Original'!F1360="","",'DDF Original'!F1360)</f>
        <v/>
      </c>
      <c r="E1360" s="38" t="str">
        <f>'Recálculo Confissão (85-B)'!N1360</f>
        <v/>
      </c>
      <c r="F1360" s="20" t="str">
        <f t="shared" si="42"/>
        <v/>
      </c>
      <c r="G1360" s="20" t="str">
        <f t="shared" si="43"/>
        <v/>
      </c>
    </row>
    <row r="1361" spans="2:7" x14ac:dyDescent="0.2">
      <c r="B1361" s="19" t="str">
        <f>IF('DDF Original'!B1361="","",'DDF Original'!B1361)</f>
        <v/>
      </c>
      <c r="C1361" s="20" t="str">
        <f>IF('DDF Original'!C1361="","",'DDF Original'!C1361)</f>
        <v/>
      </c>
      <c r="D1361" s="20" t="str">
        <f>IF('DDF Original'!F1361="","",'DDF Original'!F1361)</f>
        <v/>
      </c>
      <c r="E1361" s="38" t="str">
        <f>'Recálculo Confissão (85-B)'!N1361</f>
        <v/>
      </c>
      <c r="F1361" s="20" t="str">
        <f t="shared" si="42"/>
        <v/>
      </c>
      <c r="G1361" s="20" t="str">
        <f t="shared" si="43"/>
        <v/>
      </c>
    </row>
    <row r="1362" spans="2:7" x14ac:dyDescent="0.2">
      <c r="B1362" s="19" t="str">
        <f>IF('DDF Original'!B1362="","",'DDF Original'!B1362)</f>
        <v/>
      </c>
      <c r="C1362" s="20" t="str">
        <f>IF('DDF Original'!C1362="","",'DDF Original'!C1362)</f>
        <v/>
      </c>
      <c r="D1362" s="20" t="str">
        <f>IF('DDF Original'!F1362="","",'DDF Original'!F1362)</f>
        <v/>
      </c>
      <c r="E1362" s="38" t="str">
        <f>'Recálculo Confissão (85-B)'!N1362</f>
        <v/>
      </c>
      <c r="F1362" s="20" t="str">
        <f t="shared" si="42"/>
        <v/>
      </c>
      <c r="G1362" s="20" t="str">
        <f t="shared" si="43"/>
        <v/>
      </c>
    </row>
    <row r="1363" spans="2:7" x14ac:dyDescent="0.2">
      <c r="B1363" s="19" t="str">
        <f>IF('DDF Original'!B1363="","",'DDF Original'!B1363)</f>
        <v/>
      </c>
      <c r="C1363" s="20" t="str">
        <f>IF('DDF Original'!C1363="","",'DDF Original'!C1363)</f>
        <v/>
      </c>
      <c r="D1363" s="20" t="str">
        <f>IF('DDF Original'!F1363="","",'DDF Original'!F1363)</f>
        <v/>
      </c>
      <c r="E1363" s="38" t="str">
        <f>'Recálculo Confissão (85-B)'!N1363</f>
        <v/>
      </c>
      <c r="F1363" s="20" t="str">
        <f t="shared" si="42"/>
        <v/>
      </c>
      <c r="G1363" s="20" t="str">
        <f t="shared" si="43"/>
        <v/>
      </c>
    </row>
    <row r="1364" spans="2:7" x14ac:dyDescent="0.2">
      <c r="B1364" s="19" t="str">
        <f>IF('DDF Original'!B1364="","",'DDF Original'!B1364)</f>
        <v/>
      </c>
      <c r="C1364" s="20" t="str">
        <f>IF('DDF Original'!C1364="","",'DDF Original'!C1364)</f>
        <v/>
      </c>
      <c r="D1364" s="20" t="str">
        <f>IF('DDF Original'!F1364="","",'DDF Original'!F1364)</f>
        <v/>
      </c>
      <c r="E1364" s="38" t="str">
        <f>'Recálculo Confissão (85-B)'!N1364</f>
        <v/>
      </c>
      <c r="F1364" s="20" t="str">
        <f t="shared" si="42"/>
        <v/>
      </c>
      <c r="G1364" s="20" t="str">
        <f t="shared" si="43"/>
        <v/>
      </c>
    </row>
    <row r="1365" spans="2:7" x14ac:dyDescent="0.2">
      <c r="B1365" s="19" t="str">
        <f>IF('DDF Original'!B1365="","",'DDF Original'!B1365)</f>
        <v/>
      </c>
      <c r="C1365" s="20" t="str">
        <f>IF('DDF Original'!C1365="","",'DDF Original'!C1365)</f>
        <v/>
      </c>
      <c r="D1365" s="20" t="str">
        <f>IF('DDF Original'!F1365="","",'DDF Original'!F1365)</f>
        <v/>
      </c>
      <c r="E1365" s="38" t="str">
        <f>'Recálculo Confissão (85-B)'!N1365</f>
        <v/>
      </c>
      <c r="F1365" s="20" t="str">
        <f t="shared" si="42"/>
        <v/>
      </c>
      <c r="G1365" s="20" t="str">
        <f t="shared" si="43"/>
        <v/>
      </c>
    </row>
    <row r="1366" spans="2:7" x14ac:dyDescent="0.2">
      <c r="B1366" s="19" t="str">
        <f>IF('DDF Original'!B1366="","",'DDF Original'!B1366)</f>
        <v/>
      </c>
      <c r="C1366" s="20" t="str">
        <f>IF('DDF Original'!C1366="","",'DDF Original'!C1366)</f>
        <v/>
      </c>
      <c r="D1366" s="20" t="str">
        <f>IF('DDF Original'!F1366="","",'DDF Original'!F1366)</f>
        <v/>
      </c>
      <c r="E1366" s="38" t="str">
        <f>'Recálculo Confissão (85-B)'!N1366</f>
        <v/>
      </c>
      <c r="F1366" s="20" t="str">
        <f t="shared" si="42"/>
        <v/>
      </c>
      <c r="G1366" s="20" t="str">
        <f t="shared" si="43"/>
        <v/>
      </c>
    </row>
    <row r="1367" spans="2:7" x14ac:dyDescent="0.2">
      <c r="B1367" s="19" t="str">
        <f>IF('DDF Original'!B1367="","",'DDF Original'!B1367)</f>
        <v/>
      </c>
      <c r="C1367" s="20" t="str">
        <f>IF('DDF Original'!C1367="","",'DDF Original'!C1367)</f>
        <v/>
      </c>
      <c r="D1367" s="20" t="str">
        <f>IF('DDF Original'!F1367="","",'DDF Original'!F1367)</f>
        <v/>
      </c>
      <c r="E1367" s="38" t="str">
        <f>'Recálculo Confissão (85-B)'!N1367</f>
        <v/>
      </c>
      <c r="F1367" s="20" t="str">
        <f t="shared" si="42"/>
        <v/>
      </c>
      <c r="G1367" s="20" t="str">
        <f t="shared" si="43"/>
        <v/>
      </c>
    </row>
    <row r="1368" spans="2:7" x14ac:dyDescent="0.2">
      <c r="B1368" s="19" t="str">
        <f>IF('DDF Original'!B1368="","",'DDF Original'!B1368)</f>
        <v/>
      </c>
      <c r="C1368" s="20" t="str">
        <f>IF('DDF Original'!C1368="","",'DDF Original'!C1368)</f>
        <v/>
      </c>
      <c r="D1368" s="20" t="str">
        <f>IF('DDF Original'!F1368="","",'DDF Original'!F1368)</f>
        <v/>
      </c>
      <c r="E1368" s="38" t="str">
        <f>'Recálculo Confissão (85-B)'!N1368</f>
        <v/>
      </c>
      <c r="F1368" s="20" t="str">
        <f t="shared" si="42"/>
        <v/>
      </c>
      <c r="G1368" s="20" t="str">
        <f t="shared" si="43"/>
        <v/>
      </c>
    </row>
    <row r="1369" spans="2:7" x14ac:dyDescent="0.2">
      <c r="B1369" s="19" t="str">
        <f>IF('DDF Original'!B1369="","",'DDF Original'!B1369)</f>
        <v/>
      </c>
      <c r="C1369" s="20" t="str">
        <f>IF('DDF Original'!C1369="","",'DDF Original'!C1369)</f>
        <v/>
      </c>
      <c r="D1369" s="20" t="str">
        <f>IF('DDF Original'!F1369="","",'DDF Original'!F1369)</f>
        <v/>
      </c>
      <c r="E1369" s="38" t="str">
        <f>'Recálculo Confissão (85-B)'!N1369</f>
        <v/>
      </c>
      <c r="F1369" s="20" t="str">
        <f t="shared" si="42"/>
        <v/>
      </c>
      <c r="G1369" s="20" t="str">
        <f t="shared" si="43"/>
        <v/>
      </c>
    </row>
    <row r="1370" spans="2:7" x14ac:dyDescent="0.2">
      <c r="B1370" s="19" t="str">
        <f>IF('DDF Original'!B1370="","",'DDF Original'!B1370)</f>
        <v/>
      </c>
      <c r="C1370" s="20" t="str">
        <f>IF('DDF Original'!C1370="","",'DDF Original'!C1370)</f>
        <v/>
      </c>
      <c r="D1370" s="20" t="str">
        <f>IF('DDF Original'!F1370="","",'DDF Original'!F1370)</f>
        <v/>
      </c>
      <c r="E1370" s="38" t="str">
        <f>'Recálculo Confissão (85-B)'!N1370</f>
        <v/>
      </c>
      <c r="F1370" s="20" t="str">
        <f t="shared" si="42"/>
        <v/>
      </c>
      <c r="G1370" s="20" t="str">
        <f t="shared" si="43"/>
        <v/>
      </c>
    </row>
    <row r="1371" spans="2:7" x14ac:dyDescent="0.2">
      <c r="B1371" s="19" t="str">
        <f>IF('DDF Original'!B1371="","",'DDF Original'!B1371)</f>
        <v/>
      </c>
      <c r="C1371" s="20" t="str">
        <f>IF('DDF Original'!C1371="","",'DDF Original'!C1371)</f>
        <v/>
      </c>
      <c r="D1371" s="20" t="str">
        <f>IF('DDF Original'!F1371="","",'DDF Original'!F1371)</f>
        <v/>
      </c>
      <c r="E1371" s="38" t="str">
        <f>'Recálculo Confissão (85-B)'!N1371</f>
        <v/>
      </c>
      <c r="F1371" s="20" t="str">
        <f t="shared" si="42"/>
        <v/>
      </c>
      <c r="G1371" s="20" t="str">
        <f t="shared" si="43"/>
        <v/>
      </c>
    </row>
    <row r="1372" spans="2:7" x14ac:dyDescent="0.2">
      <c r="B1372" s="19" t="str">
        <f>IF('DDF Original'!B1372="","",'DDF Original'!B1372)</f>
        <v/>
      </c>
      <c r="C1372" s="20" t="str">
        <f>IF('DDF Original'!C1372="","",'DDF Original'!C1372)</f>
        <v/>
      </c>
      <c r="D1372" s="20" t="str">
        <f>IF('DDF Original'!F1372="","",'DDF Original'!F1372)</f>
        <v/>
      </c>
      <c r="E1372" s="38" t="str">
        <f>'Recálculo Confissão (85-B)'!N1372</f>
        <v/>
      </c>
      <c r="F1372" s="20" t="str">
        <f t="shared" si="42"/>
        <v/>
      </c>
      <c r="G1372" s="20" t="str">
        <f t="shared" si="43"/>
        <v/>
      </c>
    </row>
    <row r="1373" spans="2:7" x14ac:dyDescent="0.2">
      <c r="B1373" s="19" t="str">
        <f>IF('DDF Original'!B1373="","",'DDF Original'!B1373)</f>
        <v/>
      </c>
      <c r="C1373" s="20" t="str">
        <f>IF('DDF Original'!C1373="","",'DDF Original'!C1373)</f>
        <v/>
      </c>
      <c r="D1373" s="20" t="str">
        <f>IF('DDF Original'!F1373="","",'DDF Original'!F1373)</f>
        <v/>
      </c>
      <c r="E1373" s="38" t="str">
        <f>'Recálculo Confissão (85-B)'!N1373</f>
        <v/>
      </c>
      <c r="F1373" s="20" t="str">
        <f t="shared" si="42"/>
        <v/>
      </c>
      <c r="G1373" s="20" t="str">
        <f t="shared" si="43"/>
        <v/>
      </c>
    </row>
    <row r="1374" spans="2:7" x14ac:dyDescent="0.2">
      <c r="B1374" s="19" t="str">
        <f>IF('DDF Original'!B1374="","",'DDF Original'!B1374)</f>
        <v/>
      </c>
      <c r="C1374" s="20" t="str">
        <f>IF('DDF Original'!C1374="","",'DDF Original'!C1374)</f>
        <v/>
      </c>
      <c r="D1374" s="20" t="str">
        <f>IF('DDF Original'!F1374="","",'DDF Original'!F1374)</f>
        <v/>
      </c>
      <c r="E1374" s="38" t="str">
        <f>'Recálculo Confissão (85-B)'!N1374</f>
        <v/>
      </c>
      <c r="F1374" s="20" t="str">
        <f t="shared" si="42"/>
        <v/>
      </c>
      <c r="G1374" s="20" t="str">
        <f t="shared" si="43"/>
        <v/>
      </c>
    </row>
    <row r="1375" spans="2:7" x14ac:dyDescent="0.2">
      <c r="B1375" s="19" t="str">
        <f>IF('DDF Original'!B1375="","",'DDF Original'!B1375)</f>
        <v/>
      </c>
      <c r="C1375" s="20" t="str">
        <f>IF('DDF Original'!C1375="","",'DDF Original'!C1375)</f>
        <v/>
      </c>
      <c r="D1375" s="20" t="str">
        <f>IF('DDF Original'!F1375="","",'DDF Original'!F1375)</f>
        <v/>
      </c>
      <c r="E1375" s="38" t="str">
        <f>'Recálculo Confissão (85-B)'!N1375</f>
        <v/>
      </c>
      <c r="F1375" s="20" t="str">
        <f t="shared" si="42"/>
        <v/>
      </c>
      <c r="G1375" s="20" t="str">
        <f t="shared" si="43"/>
        <v/>
      </c>
    </row>
    <row r="1376" spans="2:7" x14ac:dyDescent="0.2">
      <c r="B1376" s="19" t="str">
        <f>IF('DDF Original'!B1376="","",'DDF Original'!B1376)</f>
        <v/>
      </c>
      <c r="C1376" s="20" t="str">
        <f>IF('DDF Original'!C1376="","",'DDF Original'!C1376)</f>
        <v/>
      </c>
      <c r="D1376" s="20" t="str">
        <f>IF('DDF Original'!F1376="","",'DDF Original'!F1376)</f>
        <v/>
      </c>
      <c r="E1376" s="38" t="str">
        <f>'Recálculo Confissão (85-B)'!N1376</f>
        <v/>
      </c>
      <c r="F1376" s="20" t="str">
        <f t="shared" si="42"/>
        <v/>
      </c>
      <c r="G1376" s="20" t="str">
        <f t="shared" si="43"/>
        <v/>
      </c>
    </row>
    <row r="1377" spans="2:7" x14ac:dyDescent="0.2">
      <c r="B1377" s="19" t="str">
        <f>IF('DDF Original'!B1377="","",'DDF Original'!B1377)</f>
        <v/>
      </c>
      <c r="C1377" s="20" t="str">
        <f>IF('DDF Original'!C1377="","",'DDF Original'!C1377)</f>
        <v/>
      </c>
      <c r="D1377" s="20" t="str">
        <f>IF('DDF Original'!F1377="","",'DDF Original'!F1377)</f>
        <v/>
      </c>
      <c r="E1377" s="38" t="str">
        <f>'Recálculo Confissão (85-B)'!N1377</f>
        <v/>
      </c>
      <c r="F1377" s="20" t="str">
        <f t="shared" si="42"/>
        <v/>
      </c>
      <c r="G1377" s="20" t="str">
        <f t="shared" si="43"/>
        <v/>
      </c>
    </row>
    <row r="1378" spans="2:7" x14ac:dyDescent="0.2">
      <c r="B1378" s="19" t="str">
        <f>IF('DDF Original'!B1378="","",'DDF Original'!B1378)</f>
        <v/>
      </c>
      <c r="C1378" s="20" t="str">
        <f>IF('DDF Original'!C1378="","",'DDF Original'!C1378)</f>
        <v/>
      </c>
      <c r="D1378" s="20" t="str">
        <f>IF('DDF Original'!F1378="","",'DDF Original'!F1378)</f>
        <v/>
      </c>
      <c r="E1378" s="38" t="str">
        <f>'Recálculo Confissão (85-B)'!N1378</f>
        <v/>
      </c>
      <c r="F1378" s="20" t="str">
        <f t="shared" si="42"/>
        <v/>
      </c>
      <c r="G1378" s="20" t="str">
        <f t="shared" si="43"/>
        <v/>
      </c>
    </row>
    <row r="1379" spans="2:7" x14ac:dyDescent="0.2">
      <c r="B1379" s="19" t="str">
        <f>IF('DDF Original'!B1379="","",'DDF Original'!B1379)</f>
        <v/>
      </c>
      <c r="C1379" s="20" t="str">
        <f>IF('DDF Original'!C1379="","",'DDF Original'!C1379)</f>
        <v/>
      </c>
      <c r="D1379" s="20" t="str">
        <f>IF('DDF Original'!F1379="","",'DDF Original'!F1379)</f>
        <v/>
      </c>
      <c r="E1379" s="38" t="str">
        <f>'Recálculo Confissão (85-B)'!N1379</f>
        <v/>
      </c>
      <c r="F1379" s="20" t="str">
        <f t="shared" si="42"/>
        <v/>
      </c>
      <c r="G1379" s="20" t="str">
        <f t="shared" si="43"/>
        <v/>
      </c>
    </row>
    <row r="1380" spans="2:7" x14ac:dyDescent="0.2">
      <c r="B1380" s="19" t="str">
        <f>IF('DDF Original'!B1380="","",'DDF Original'!B1380)</f>
        <v/>
      </c>
      <c r="C1380" s="20" t="str">
        <f>IF('DDF Original'!C1380="","",'DDF Original'!C1380)</f>
        <v/>
      </c>
      <c r="D1380" s="20" t="str">
        <f>IF('DDF Original'!F1380="","",'DDF Original'!F1380)</f>
        <v/>
      </c>
      <c r="E1380" s="38" t="str">
        <f>'Recálculo Confissão (85-B)'!N1380</f>
        <v/>
      </c>
      <c r="F1380" s="20" t="str">
        <f t="shared" si="42"/>
        <v/>
      </c>
      <c r="G1380" s="20" t="str">
        <f t="shared" si="43"/>
        <v/>
      </c>
    </row>
    <row r="1381" spans="2:7" x14ac:dyDescent="0.2">
      <c r="B1381" s="19" t="str">
        <f>IF('DDF Original'!B1381="","",'DDF Original'!B1381)</f>
        <v/>
      </c>
      <c r="C1381" s="20" t="str">
        <f>IF('DDF Original'!C1381="","",'DDF Original'!C1381)</f>
        <v/>
      </c>
      <c r="D1381" s="20" t="str">
        <f>IF('DDF Original'!F1381="","",'DDF Original'!F1381)</f>
        <v/>
      </c>
      <c r="E1381" s="38" t="str">
        <f>'Recálculo Confissão (85-B)'!N1381</f>
        <v/>
      </c>
      <c r="F1381" s="20" t="str">
        <f t="shared" si="42"/>
        <v/>
      </c>
      <c r="G1381" s="20" t="str">
        <f t="shared" si="43"/>
        <v/>
      </c>
    </row>
    <row r="1382" spans="2:7" x14ac:dyDescent="0.2">
      <c r="B1382" s="19" t="str">
        <f>IF('DDF Original'!B1382="","",'DDF Original'!B1382)</f>
        <v/>
      </c>
      <c r="C1382" s="20" t="str">
        <f>IF('DDF Original'!C1382="","",'DDF Original'!C1382)</f>
        <v/>
      </c>
      <c r="D1382" s="20" t="str">
        <f>IF('DDF Original'!F1382="","",'DDF Original'!F1382)</f>
        <v/>
      </c>
      <c r="E1382" s="38" t="str">
        <f>'Recálculo Confissão (85-B)'!N1382</f>
        <v/>
      </c>
      <c r="F1382" s="20" t="str">
        <f t="shared" si="42"/>
        <v/>
      </c>
      <c r="G1382" s="20" t="str">
        <f t="shared" si="43"/>
        <v/>
      </c>
    </row>
    <row r="1383" spans="2:7" x14ac:dyDescent="0.2">
      <c r="B1383" s="19" t="str">
        <f>IF('DDF Original'!B1383="","",'DDF Original'!B1383)</f>
        <v/>
      </c>
      <c r="C1383" s="20" t="str">
        <f>IF('DDF Original'!C1383="","",'DDF Original'!C1383)</f>
        <v/>
      </c>
      <c r="D1383" s="20" t="str">
        <f>IF('DDF Original'!F1383="","",'DDF Original'!F1383)</f>
        <v/>
      </c>
      <c r="E1383" s="38" t="str">
        <f>'Recálculo Confissão (85-B)'!N1383</f>
        <v/>
      </c>
      <c r="F1383" s="20" t="str">
        <f t="shared" si="42"/>
        <v/>
      </c>
      <c r="G1383" s="20" t="str">
        <f t="shared" si="43"/>
        <v/>
      </c>
    </row>
    <row r="1384" spans="2:7" x14ac:dyDescent="0.2">
      <c r="B1384" s="19" t="str">
        <f>IF('DDF Original'!B1384="","",'DDF Original'!B1384)</f>
        <v/>
      </c>
      <c r="C1384" s="20" t="str">
        <f>IF('DDF Original'!C1384="","",'DDF Original'!C1384)</f>
        <v/>
      </c>
      <c r="D1384" s="20" t="str">
        <f>IF('DDF Original'!F1384="","",'DDF Original'!F1384)</f>
        <v/>
      </c>
      <c r="E1384" s="38" t="str">
        <f>'Recálculo Confissão (85-B)'!N1384</f>
        <v/>
      </c>
      <c r="F1384" s="20" t="str">
        <f t="shared" si="42"/>
        <v/>
      </c>
      <c r="G1384" s="20" t="str">
        <f t="shared" si="43"/>
        <v/>
      </c>
    </row>
    <row r="1385" spans="2:7" x14ac:dyDescent="0.2">
      <c r="B1385" s="19" t="str">
        <f>IF('DDF Original'!B1385="","",'DDF Original'!B1385)</f>
        <v/>
      </c>
      <c r="C1385" s="20" t="str">
        <f>IF('DDF Original'!C1385="","",'DDF Original'!C1385)</f>
        <v/>
      </c>
      <c r="D1385" s="20" t="str">
        <f>IF('DDF Original'!F1385="","",'DDF Original'!F1385)</f>
        <v/>
      </c>
      <c r="E1385" s="38" t="str">
        <f>'Recálculo Confissão (85-B)'!N1385</f>
        <v/>
      </c>
      <c r="F1385" s="20" t="str">
        <f t="shared" si="42"/>
        <v/>
      </c>
      <c r="G1385" s="20" t="str">
        <f t="shared" si="43"/>
        <v/>
      </c>
    </row>
    <row r="1386" spans="2:7" x14ac:dyDescent="0.2">
      <c r="B1386" s="19" t="str">
        <f>IF('DDF Original'!B1386="","",'DDF Original'!B1386)</f>
        <v/>
      </c>
      <c r="C1386" s="20" t="str">
        <f>IF('DDF Original'!C1386="","",'DDF Original'!C1386)</f>
        <v/>
      </c>
      <c r="D1386" s="20" t="str">
        <f>IF('DDF Original'!F1386="","",'DDF Original'!F1386)</f>
        <v/>
      </c>
      <c r="E1386" s="38" t="str">
        <f>'Recálculo Confissão (85-B)'!N1386</f>
        <v/>
      </c>
      <c r="F1386" s="20" t="str">
        <f t="shared" si="42"/>
        <v/>
      </c>
      <c r="G1386" s="20" t="str">
        <f t="shared" si="43"/>
        <v/>
      </c>
    </row>
    <row r="1387" spans="2:7" x14ac:dyDescent="0.2">
      <c r="B1387" s="19" t="str">
        <f>IF('DDF Original'!B1387="","",'DDF Original'!B1387)</f>
        <v/>
      </c>
      <c r="C1387" s="20" t="str">
        <f>IF('DDF Original'!C1387="","",'DDF Original'!C1387)</f>
        <v/>
      </c>
      <c r="D1387" s="20" t="str">
        <f>IF('DDF Original'!F1387="","",'DDF Original'!F1387)</f>
        <v/>
      </c>
      <c r="E1387" s="38" t="str">
        <f>'Recálculo Confissão (85-B)'!N1387</f>
        <v/>
      </c>
      <c r="F1387" s="20" t="str">
        <f t="shared" si="42"/>
        <v/>
      </c>
      <c r="G1387" s="20" t="str">
        <f t="shared" si="43"/>
        <v/>
      </c>
    </row>
    <row r="1388" spans="2:7" x14ac:dyDescent="0.2">
      <c r="B1388" s="19" t="str">
        <f>IF('DDF Original'!B1388="","",'DDF Original'!B1388)</f>
        <v/>
      </c>
      <c r="C1388" s="20" t="str">
        <f>IF('DDF Original'!C1388="","",'DDF Original'!C1388)</f>
        <v/>
      </c>
      <c r="D1388" s="20" t="str">
        <f>IF('DDF Original'!F1388="","",'DDF Original'!F1388)</f>
        <v/>
      </c>
      <c r="E1388" s="38" t="str">
        <f>'Recálculo Confissão (85-B)'!N1388</f>
        <v/>
      </c>
      <c r="F1388" s="20" t="str">
        <f t="shared" si="42"/>
        <v/>
      </c>
      <c r="G1388" s="20" t="str">
        <f t="shared" si="43"/>
        <v/>
      </c>
    </row>
    <row r="1389" spans="2:7" x14ac:dyDescent="0.2">
      <c r="B1389" s="19" t="str">
        <f>IF('DDF Original'!B1389="","",'DDF Original'!B1389)</f>
        <v/>
      </c>
      <c r="C1389" s="20" t="str">
        <f>IF('DDF Original'!C1389="","",'DDF Original'!C1389)</f>
        <v/>
      </c>
      <c r="D1389" s="20" t="str">
        <f>IF('DDF Original'!F1389="","",'DDF Original'!F1389)</f>
        <v/>
      </c>
      <c r="E1389" s="38" t="str">
        <f>'Recálculo Confissão (85-B)'!N1389</f>
        <v/>
      </c>
      <c r="F1389" s="20" t="str">
        <f t="shared" si="42"/>
        <v/>
      </c>
      <c r="G1389" s="20" t="str">
        <f t="shared" si="43"/>
        <v/>
      </c>
    </row>
    <row r="1390" spans="2:7" x14ac:dyDescent="0.2">
      <c r="B1390" s="19" t="str">
        <f>IF('DDF Original'!B1390="","",'DDF Original'!B1390)</f>
        <v/>
      </c>
      <c r="C1390" s="20" t="str">
        <f>IF('DDF Original'!C1390="","",'DDF Original'!C1390)</f>
        <v/>
      </c>
      <c r="D1390" s="20" t="str">
        <f>IF('DDF Original'!F1390="","",'DDF Original'!F1390)</f>
        <v/>
      </c>
      <c r="E1390" s="38" t="str">
        <f>'Recálculo Confissão (85-B)'!N1390</f>
        <v/>
      </c>
      <c r="F1390" s="20" t="str">
        <f t="shared" si="42"/>
        <v/>
      </c>
      <c r="G1390" s="20" t="str">
        <f t="shared" si="43"/>
        <v/>
      </c>
    </row>
    <row r="1391" spans="2:7" x14ac:dyDescent="0.2">
      <c r="B1391" s="19" t="str">
        <f>IF('DDF Original'!B1391="","",'DDF Original'!B1391)</f>
        <v/>
      </c>
      <c r="C1391" s="20" t="str">
        <f>IF('DDF Original'!C1391="","",'DDF Original'!C1391)</f>
        <v/>
      </c>
      <c r="D1391" s="20" t="str">
        <f>IF('DDF Original'!F1391="","",'DDF Original'!F1391)</f>
        <v/>
      </c>
      <c r="E1391" s="38" t="str">
        <f>'Recálculo Confissão (85-B)'!N1391</f>
        <v/>
      </c>
      <c r="F1391" s="20" t="str">
        <f t="shared" si="42"/>
        <v/>
      </c>
      <c r="G1391" s="20" t="str">
        <f t="shared" si="43"/>
        <v/>
      </c>
    </row>
    <row r="1392" spans="2:7" x14ac:dyDescent="0.2">
      <c r="B1392" s="19" t="str">
        <f>IF('DDF Original'!B1392="","",'DDF Original'!B1392)</f>
        <v/>
      </c>
      <c r="C1392" s="20" t="str">
        <f>IF('DDF Original'!C1392="","",'DDF Original'!C1392)</f>
        <v/>
      </c>
      <c r="D1392" s="20" t="str">
        <f>IF('DDF Original'!F1392="","",'DDF Original'!F1392)</f>
        <v/>
      </c>
      <c r="E1392" s="38" t="str">
        <f>'Recálculo Confissão (85-B)'!N1392</f>
        <v/>
      </c>
      <c r="F1392" s="20" t="str">
        <f t="shared" si="42"/>
        <v/>
      </c>
      <c r="G1392" s="20" t="str">
        <f t="shared" si="43"/>
        <v/>
      </c>
    </row>
    <row r="1393" spans="2:7" x14ac:dyDescent="0.2">
      <c r="B1393" s="19" t="str">
        <f>IF('DDF Original'!B1393="","",'DDF Original'!B1393)</f>
        <v/>
      </c>
      <c r="C1393" s="20" t="str">
        <f>IF('DDF Original'!C1393="","",'DDF Original'!C1393)</f>
        <v/>
      </c>
      <c r="D1393" s="20" t="str">
        <f>IF('DDF Original'!F1393="","",'DDF Original'!F1393)</f>
        <v/>
      </c>
      <c r="E1393" s="38" t="str">
        <f>'Recálculo Confissão (85-B)'!N1393</f>
        <v/>
      </c>
      <c r="F1393" s="20" t="str">
        <f t="shared" si="42"/>
        <v/>
      </c>
      <c r="G1393" s="20" t="str">
        <f t="shared" si="43"/>
        <v/>
      </c>
    </row>
    <row r="1394" spans="2:7" x14ac:dyDescent="0.2">
      <c r="B1394" s="19" t="str">
        <f>IF('DDF Original'!B1394="","",'DDF Original'!B1394)</f>
        <v/>
      </c>
      <c r="C1394" s="20" t="str">
        <f>IF('DDF Original'!C1394="","",'DDF Original'!C1394)</f>
        <v/>
      </c>
      <c r="D1394" s="20" t="str">
        <f>IF('DDF Original'!F1394="","",'DDF Original'!F1394)</f>
        <v/>
      </c>
      <c r="E1394" s="38" t="str">
        <f>'Recálculo Confissão (85-B)'!N1394</f>
        <v/>
      </c>
      <c r="F1394" s="20" t="str">
        <f t="shared" si="42"/>
        <v/>
      </c>
      <c r="G1394" s="20" t="str">
        <f t="shared" si="43"/>
        <v/>
      </c>
    </row>
    <row r="1395" spans="2:7" x14ac:dyDescent="0.2">
      <c r="B1395" s="19" t="str">
        <f>IF('DDF Original'!B1395="","",'DDF Original'!B1395)</f>
        <v/>
      </c>
      <c r="C1395" s="20" t="str">
        <f>IF('DDF Original'!C1395="","",'DDF Original'!C1395)</f>
        <v/>
      </c>
      <c r="D1395" s="20" t="str">
        <f>IF('DDF Original'!F1395="","",'DDF Original'!F1395)</f>
        <v/>
      </c>
      <c r="E1395" s="38" t="str">
        <f>'Recálculo Confissão (85-B)'!N1395</f>
        <v/>
      </c>
      <c r="F1395" s="20" t="str">
        <f t="shared" si="42"/>
        <v/>
      </c>
      <c r="G1395" s="20" t="str">
        <f t="shared" si="43"/>
        <v/>
      </c>
    </row>
    <row r="1396" spans="2:7" x14ac:dyDescent="0.2">
      <c r="B1396" s="19" t="str">
        <f>IF('DDF Original'!B1396="","",'DDF Original'!B1396)</f>
        <v/>
      </c>
      <c r="C1396" s="20" t="str">
        <f>IF('DDF Original'!C1396="","",'DDF Original'!C1396)</f>
        <v/>
      </c>
      <c r="D1396" s="20" t="str">
        <f>IF('DDF Original'!F1396="","",'DDF Original'!F1396)</f>
        <v/>
      </c>
      <c r="E1396" s="38" t="str">
        <f>'Recálculo Confissão (85-B)'!N1396</f>
        <v/>
      </c>
      <c r="F1396" s="20" t="str">
        <f t="shared" si="42"/>
        <v/>
      </c>
      <c r="G1396" s="20" t="str">
        <f t="shared" si="43"/>
        <v/>
      </c>
    </row>
    <row r="1397" spans="2:7" x14ac:dyDescent="0.2">
      <c r="B1397" s="19" t="str">
        <f>IF('DDF Original'!B1397="","",'DDF Original'!B1397)</f>
        <v/>
      </c>
      <c r="C1397" s="20" t="str">
        <f>IF('DDF Original'!C1397="","",'DDF Original'!C1397)</f>
        <v/>
      </c>
      <c r="D1397" s="20" t="str">
        <f>IF('DDF Original'!F1397="","",'DDF Original'!F1397)</f>
        <v/>
      </c>
      <c r="E1397" s="38" t="str">
        <f>'Recálculo Confissão (85-B)'!N1397</f>
        <v/>
      </c>
      <c r="F1397" s="20" t="str">
        <f t="shared" si="42"/>
        <v/>
      </c>
      <c r="G1397" s="20" t="str">
        <f t="shared" si="43"/>
        <v/>
      </c>
    </row>
    <row r="1398" spans="2:7" x14ac:dyDescent="0.2">
      <c r="B1398" s="19" t="str">
        <f>IF('DDF Original'!B1398="","",'DDF Original'!B1398)</f>
        <v/>
      </c>
      <c r="C1398" s="20" t="str">
        <f>IF('DDF Original'!C1398="","",'DDF Original'!C1398)</f>
        <v/>
      </c>
      <c r="D1398" s="20" t="str">
        <f>IF('DDF Original'!F1398="","",'DDF Original'!F1398)</f>
        <v/>
      </c>
      <c r="E1398" s="38" t="str">
        <f>'Recálculo Confissão (85-B)'!N1398</f>
        <v/>
      </c>
      <c r="F1398" s="20" t="str">
        <f t="shared" si="42"/>
        <v/>
      </c>
      <c r="G1398" s="20" t="str">
        <f t="shared" si="43"/>
        <v/>
      </c>
    </row>
    <row r="1399" spans="2:7" x14ac:dyDescent="0.2">
      <c r="B1399" s="19" t="str">
        <f>IF('DDF Original'!B1399="","",'DDF Original'!B1399)</f>
        <v/>
      </c>
      <c r="C1399" s="20" t="str">
        <f>IF('DDF Original'!C1399="","",'DDF Original'!C1399)</f>
        <v/>
      </c>
      <c r="D1399" s="20" t="str">
        <f>IF('DDF Original'!F1399="","",'DDF Original'!F1399)</f>
        <v/>
      </c>
      <c r="E1399" s="38" t="str">
        <f>'Recálculo Confissão (85-B)'!N1399</f>
        <v/>
      </c>
      <c r="F1399" s="20" t="str">
        <f t="shared" si="42"/>
        <v/>
      </c>
      <c r="G1399" s="20" t="str">
        <f t="shared" si="43"/>
        <v/>
      </c>
    </row>
    <row r="1400" spans="2:7" x14ac:dyDescent="0.2">
      <c r="B1400" s="19" t="str">
        <f>IF('DDF Original'!B1400="","",'DDF Original'!B1400)</f>
        <v/>
      </c>
      <c r="C1400" s="20" t="str">
        <f>IF('DDF Original'!C1400="","",'DDF Original'!C1400)</f>
        <v/>
      </c>
      <c r="D1400" s="20" t="str">
        <f>IF('DDF Original'!F1400="","",'DDF Original'!F1400)</f>
        <v/>
      </c>
      <c r="E1400" s="38" t="str">
        <f>'Recálculo Confissão (85-B)'!N1400</f>
        <v/>
      </c>
      <c r="F1400" s="20" t="str">
        <f t="shared" si="42"/>
        <v/>
      </c>
      <c r="G1400" s="20" t="str">
        <f t="shared" si="43"/>
        <v/>
      </c>
    </row>
    <row r="1401" spans="2:7" x14ac:dyDescent="0.2">
      <c r="B1401" s="19" t="str">
        <f>IF('DDF Original'!B1401="","",'DDF Original'!B1401)</f>
        <v/>
      </c>
      <c r="C1401" s="20" t="str">
        <f>IF('DDF Original'!C1401="","",'DDF Original'!C1401)</f>
        <v/>
      </c>
      <c r="D1401" s="20" t="str">
        <f>IF('DDF Original'!F1401="","",'DDF Original'!F1401)</f>
        <v/>
      </c>
      <c r="E1401" s="38" t="str">
        <f>'Recálculo Confissão (85-B)'!N1401</f>
        <v/>
      </c>
      <c r="F1401" s="20" t="str">
        <f t="shared" si="42"/>
        <v/>
      </c>
      <c r="G1401" s="20" t="str">
        <f t="shared" si="43"/>
        <v/>
      </c>
    </row>
    <row r="1402" spans="2:7" x14ac:dyDescent="0.2">
      <c r="B1402" s="19" t="str">
        <f>IF('DDF Original'!B1402="","",'DDF Original'!B1402)</f>
        <v/>
      </c>
      <c r="C1402" s="20" t="str">
        <f>IF('DDF Original'!C1402="","",'DDF Original'!C1402)</f>
        <v/>
      </c>
      <c r="D1402" s="20" t="str">
        <f>IF('DDF Original'!F1402="","",'DDF Original'!F1402)</f>
        <v/>
      </c>
      <c r="E1402" s="38" t="str">
        <f>'Recálculo Confissão (85-B)'!N1402</f>
        <v/>
      </c>
      <c r="F1402" s="20" t="str">
        <f t="shared" si="42"/>
        <v/>
      </c>
      <c r="G1402" s="20" t="str">
        <f t="shared" si="43"/>
        <v/>
      </c>
    </row>
    <row r="1403" spans="2:7" x14ac:dyDescent="0.2">
      <c r="B1403" s="19" t="str">
        <f>IF('DDF Original'!B1403="","",'DDF Original'!B1403)</f>
        <v/>
      </c>
      <c r="C1403" s="20" t="str">
        <f>IF('DDF Original'!C1403="","",'DDF Original'!C1403)</f>
        <v/>
      </c>
      <c r="D1403" s="20" t="str">
        <f>IF('DDF Original'!F1403="","",'DDF Original'!F1403)</f>
        <v/>
      </c>
      <c r="E1403" s="38" t="str">
        <f>'Recálculo Confissão (85-B)'!N1403</f>
        <v/>
      </c>
      <c r="F1403" s="20" t="str">
        <f t="shared" si="42"/>
        <v/>
      </c>
      <c r="G1403" s="20" t="str">
        <f t="shared" si="43"/>
        <v/>
      </c>
    </row>
    <row r="1404" spans="2:7" x14ac:dyDescent="0.2">
      <c r="B1404" s="19" t="str">
        <f>IF('DDF Original'!B1404="","",'DDF Original'!B1404)</f>
        <v/>
      </c>
      <c r="C1404" s="20" t="str">
        <f>IF('DDF Original'!C1404="","",'DDF Original'!C1404)</f>
        <v/>
      </c>
      <c r="D1404" s="20" t="str">
        <f>IF('DDF Original'!F1404="","",'DDF Original'!F1404)</f>
        <v/>
      </c>
      <c r="E1404" s="38" t="str">
        <f>'Recálculo Confissão (85-B)'!N1404</f>
        <v/>
      </c>
      <c r="F1404" s="20" t="str">
        <f t="shared" si="42"/>
        <v/>
      </c>
      <c r="G1404" s="20" t="str">
        <f t="shared" si="43"/>
        <v/>
      </c>
    </row>
    <row r="1405" spans="2:7" x14ac:dyDescent="0.2">
      <c r="B1405" s="19" t="str">
        <f>IF('DDF Original'!B1405="","",'DDF Original'!B1405)</f>
        <v/>
      </c>
      <c r="C1405" s="20" t="str">
        <f>IF('DDF Original'!C1405="","",'DDF Original'!C1405)</f>
        <v/>
      </c>
      <c r="D1405" s="20" t="str">
        <f>IF('DDF Original'!F1405="","",'DDF Original'!F1405)</f>
        <v/>
      </c>
      <c r="E1405" s="38" t="str">
        <f>'Recálculo Confissão (85-B)'!N1405</f>
        <v/>
      </c>
      <c r="F1405" s="20" t="str">
        <f t="shared" ref="F1405:F1468" si="44">IF(E1405="","",ROUND(E1405*(1-70%),2))</f>
        <v/>
      </c>
      <c r="G1405" s="20" t="str">
        <f t="shared" ref="G1405:G1468" si="45">IF(E1405="","",ROUND(E1405*(1-60%),2))</f>
        <v/>
      </c>
    </row>
    <row r="1406" spans="2:7" x14ac:dyDescent="0.2">
      <c r="B1406" s="19" t="str">
        <f>IF('DDF Original'!B1406="","",'DDF Original'!B1406)</f>
        <v/>
      </c>
      <c r="C1406" s="20" t="str">
        <f>IF('DDF Original'!C1406="","",'DDF Original'!C1406)</f>
        <v/>
      </c>
      <c r="D1406" s="20" t="str">
        <f>IF('DDF Original'!F1406="","",'DDF Original'!F1406)</f>
        <v/>
      </c>
      <c r="E1406" s="38" t="str">
        <f>'Recálculo Confissão (85-B)'!N1406</f>
        <v/>
      </c>
      <c r="F1406" s="20" t="str">
        <f t="shared" si="44"/>
        <v/>
      </c>
      <c r="G1406" s="20" t="str">
        <f t="shared" si="45"/>
        <v/>
      </c>
    </row>
    <row r="1407" spans="2:7" x14ac:dyDescent="0.2">
      <c r="B1407" s="19" t="str">
        <f>IF('DDF Original'!B1407="","",'DDF Original'!B1407)</f>
        <v/>
      </c>
      <c r="C1407" s="20" t="str">
        <f>IF('DDF Original'!C1407="","",'DDF Original'!C1407)</f>
        <v/>
      </c>
      <c r="D1407" s="20" t="str">
        <f>IF('DDF Original'!F1407="","",'DDF Original'!F1407)</f>
        <v/>
      </c>
      <c r="E1407" s="38" t="str">
        <f>'Recálculo Confissão (85-B)'!N1407</f>
        <v/>
      </c>
      <c r="F1407" s="20" t="str">
        <f t="shared" si="44"/>
        <v/>
      </c>
      <c r="G1407" s="20" t="str">
        <f t="shared" si="45"/>
        <v/>
      </c>
    </row>
    <row r="1408" spans="2:7" x14ac:dyDescent="0.2">
      <c r="B1408" s="19" t="str">
        <f>IF('DDF Original'!B1408="","",'DDF Original'!B1408)</f>
        <v/>
      </c>
      <c r="C1408" s="20" t="str">
        <f>IF('DDF Original'!C1408="","",'DDF Original'!C1408)</f>
        <v/>
      </c>
      <c r="D1408" s="20" t="str">
        <f>IF('DDF Original'!F1408="","",'DDF Original'!F1408)</f>
        <v/>
      </c>
      <c r="E1408" s="38" t="str">
        <f>'Recálculo Confissão (85-B)'!N1408</f>
        <v/>
      </c>
      <c r="F1408" s="20" t="str">
        <f t="shared" si="44"/>
        <v/>
      </c>
      <c r="G1408" s="20" t="str">
        <f t="shared" si="45"/>
        <v/>
      </c>
    </row>
    <row r="1409" spans="2:7" x14ac:dyDescent="0.2">
      <c r="B1409" s="19" t="str">
        <f>IF('DDF Original'!B1409="","",'DDF Original'!B1409)</f>
        <v/>
      </c>
      <c r="C1409" s="20" t="str">
        <f>IF('DDF Original'!C1409="","",'DDF Original'!C1409)</f>
        <v/>
      </c>
      <c r="D1409" s="20" t="str">
        <f>IF('DDF Original'!F1409="","",'DDF Original'!F1409)</f>
        <v/>
      </c>
      <c r="E1409" s="38" t="str">
        <f>'Recálculo Confissão (85-B)'!N1409</f>
        <v/>
      </c>
      <c r="F1409" s="20" t="str">
        <f t="shared" si="44"/>
        <v/>
      </c>
      <c r="G1409" s="20" t="str">
        <f t="shared" si="45"/>
        <v/>
      </c>
    </row>
    <row r="1410" spans="2:7" x14ac:dyDescent="0.2">
      <c r="B1410" s="19" t="str">
        <f>IF('DDF Original'!B1410="","",'DDF Original'!B1410)</f>
        <v/>
      </c>
      <c r="C1410" s="20" t="str">
        <f>IF('DDF Original'!C1410="","",'DDF Original'!C1410)</f>
        <v/>
      </c>
      <c r="D1410" s="20" t="str">
        <f>IF('DDF Original'!F1410="","",'DDF Original'!F1410)</f>
        <v/>
      </c>
      <c r="E1410" s="38" t="str">
        <f>'Recálculo Confissão (85-B)'!N1410</f>
        <v/>
      </c>
      <c r="F1410" s="20" t="str">
        <f t="shared" si="44"/>
        <v/>
      </c>
      <c r="G1410" s="20" t="str">
        <f t="shared" si="45"/>
        <v/>
      </c>
    </row>
    <row r="1411" spans="2:7" x14ac:dyDescent="0.2">
      <c r="B1411" s="19" t="str">
        <f>IF('DDF Original'!B1411="","",'DDF Original'!B1411)</f>
        <v/>
      </c>
      <c r="C1411" s="20" t="str">
        <f>IF('DDF Original'!C1411="","",'DDF Original'!C1411)</f>
        <v/>
      </c>
      <c r="D1411" s="20" t="str">
        <f>IF('DDF Original'!F1411="","",'DDF Original'!F1411)</f>
        <v/>
      </c>
      <c r="E1411" s="38" t="str">
        <f>'Recálculo Confissão (85-B)'!N1411</f>
        <v/>
      </c>
      <c r="F1411" s="20" t="str">
        <f t="shared" si="44"/>
        <v/>
      </c>
      <c r="G1411" s="20" t="str">
        <f t="shared" si="45"/>
        <v/>
      </c>
    </row>
    <row r="1412" spans="2:7" x14ac:dyDescent="0.2">
      <c r="B1412" s="19" t="str">
        <f>IF('DDF Original'!B1412="","",'DDF Original'!B1412)</f>
        <v/>
      </c>
      <c r="C1412" s="20" t="str">
        <f>IF('DDF Original'!C1412="","",'DDF Original'!C1412)</f>
        <v/>
      </c>
      <c r="D1412" s="20" t="str">
        <f>IF('DDF Original'!F1412="","",'DDF Original'!F1412)</f>
        <v/>
      </c>
      <c r="E1412" s="38" t="str">
        <f>'Recálculo Confissão (85-B)'!N1412</f>
        <v/>
      </c>
      <c r="F1412" s="20" t="str">
        <f t="shared" si="44"/>
        <v/>
      </c>
      <c r="G1412" s="20" t="str">
        <f t="shared" si="45"/>
        <v/>
      </c>
    </row>
    <row r="1413" spans="2:7" x14ac:dyDescent="0.2">
      <c r="B1413" s="19" t="str">
        <f>IF('DDF Original'!B1413="","",'DDF Original'!B1413)</f>
        <v/>
      </c>
      <c r="C1413" s="20" t="str">
        <f>IF('DDF Original'!C1413="","",'DDF Original'!C1413)</f>
        <v/>
      </c>
      <c r="D1413" s="20" t="str">
        <f>IF('DDF Original'!F1413="","",'DDF Original'!F1413)</f>
        <v/>
      </c>
      <c r="E1413" s="38" t="str">
        <f>'Recálculo Confissão (85-B)'!N1413</f>
        <v/>
      </c>
      <c r="F1413" s="20" t="str">
        <f t="shared" si="44"/>
        <v/>
      </c>
      <c r="G1413" s="20" t="str">
        <f t="shared" si="45"/>
        <v/>
      </c>
    </row>
    <row r="1414" spans="2:7" x14ac:dyDescent="0.2">
      <c r="B1414" s="19" t="str">
        <f>IF('DDF Original'!B1414="","",'DDF Original'!B1414)</f>
        <v/>
      </c>
      <c r="C1414" s="20" t="str">
        <f>IF('DDF Original'!C1414="","",'DDF Original'!C1414)</f>
        <v/>
      </c>
      <c r="D1414" s="20" t="str">
        <f>IF('DDF Original'!F1414="","",'DDF Original'!F1414)</f>
        <v/>
      </c>
      <c r="E1414" s="38" t="str">
        <f>'Recálculo Confissão (85-B)'!N1414</f>
        <v/>
      </c>
      <c r="F1414" s="20" t="str">
        <f t="shared" si="44"/>
        <v/>
      </c>
      <c r="G1414" s="20" t="str">
        <f t="shared" si="45"/>
        <v/>
      </c>
    </row>
    <row r="1415" spans="2:7" x14ac:dyDescent="0.2">
      <c r="B1415" s="19" t="str">
        <f>IF('DDF Original'!B1415="","",'DDF Original'!B1415)</f>
        <v/>
      </c>
      <c r="C1415" s="20" t="str">
        <f>IF('DDF Original'!C1415="","",'DDF Original'!C1415)</f>
        <v/>
      </c>
      <c r="D1415" s="20" t="str">
        <f>IF('DDF Original'!F1415="","",'DDF Original'!F1415)</f>
        <v/>
      </c>
      <c r="E1415" s="38" t="str">
        <f>'Recálculo Confissão (85-B)'!N1415</f>
        <v/>
      </c>
      <c r="F1415" s="20" t="str">
        <f t="shared" si="44"/>
        <v/>
      </c>
      <c r="G1415" s="20" t="str">
        <f t="shared" si="45"/>
        <v/>
      </c>
    </row>
    <row r="1416" spans="2:7" x14ac:dyDescent="0.2">
      <c r="B1416" s="19" t="str">
        <f>IF('DDF Original'!B1416="","",'DDF Original'!B1416)</f>
        <v/>
      </c>
      <c r="C1416" s="20" t="str">
        <f>IF('DDF Original'!C1416="","",'DDF Original'!C1416)</f>
        <v/>
      </c>
      <c r="D1416" s="20" t="str">
        <f>IF('DDF Original'!F1416="","",'DDF Original'!F1416)</f>
        <v/>
      </c>
      <c r="E1416" s="38" t="str">
        <f>'Recálculo Confissão (85-B)'!N1416</f>
        <v/>
      </c>
      <c r="F1416" s="20" t="str">
        <f t="shared" si="44"/>
        <v/>
      </c>
      <c r="G1416" s="20" t="str">
        <f t="shared" si="45"/>
        <v/>
      </c>
    </row>
    <row r="1417" spans="2:7" x14ac:dyDescent="0.2">
      <c r="B1417" s="19" t="str">
        <f>IF('DDF Original'!B1417="","",'DDF Original'!B1417)</f>
        <v/>
      </c>
      <c r="C1417" s="20" t="str">
        <f>IF('DDF Original'!C1417="","",'DDF Original'!C1417)</f>
        <v/>
      </c>
      <c r="D1417" s="20" t="str">
        <f>IF('DDF Original'!F1417="","",'DDF Original'!F1417)</f>
        <v/>
      </c>
      <c r="E1417" s="38" t="str">
        <f>'Recálculo Confissão (85-B)'!N1417</f>
        <v/>
      </c>
      <c r="F1417" s="20" t="str">
        <f t="shared" si="44"/>
        <v/>
      </c>
      <c r="G1417" s="20" t="str">
        <f t="shared" si="45"/>
        <v/>
      </c>
    </row>
    <row r="1418" spans="2:7" x14ac:dyDescent="0.2">
      <c r="B1418" s="19" t="str">
        <f>IF('DDF Original'!B1418="","",'DDF Original'!B1418)</f>
        <v/>
      </c>
      <c r="C1418" s="20" t="str">
        <f>IF('DDF Original'!C1418="","",'DDF Original'!C1418)</f>
        <v/>
      </c>
      <c r="D1418" s="20" t="str">
        <f>IF('DDF Original'!F1418="","",'DDF Original'!F1418)</f>
        <v/>
      </c>
      <c r="E1418" s="38" t="str">
        <f>'Recálculo Confissão (85-B)'!N1418</f>
        <v/>
      </c>
      <c r="F1418" s="20" t="str">
        <f t="shared" si="44"/>
        <v/>
      </c>
      <c r="G1418" s="20" t="str">
        <f t="shared" si="45"/>
        <v/>
      </c>
    </row>
    <row r="1419" spans="2:7" x14ac:dyDescent="0.2">
      <c r="B1419" s="19" t="str">
        <f>IF('DDF Original'!B1419="","",'DDF Original'!B1419)</f>
        <v/>
      </c>
      <c r="C1419" s="20" t="str">
        <f>IF('DDF Original'!C1419="","",'DDF Original'!C1419)</f>
        <v/>
      </c>
      <c r="D1419" s="20" t="str">
        <f>IF('DDF Original'!F1419="","",'DDF Original'!F1419)</f>
        <v/>
      </c>
      <c r="E1419" s="38" t="str">
        <f>'Recálculo Confissão (85-B)'!N1419</f>
        <v/>
      </c>
      <c r="F1419" s="20" t="str">
        <f t="shared" si="44"/>
        <v/>
      </c>
      <c r="G1419" s="20" t="str">
        <f t="shared" si="45"/>
        <v/>
      </c>
    </row>
    <row r="1420" spans="2:7" x14ac:dyDescent="0.2">
      <c r="B1420" s="19" t="str">
        <f>IF('DDF Original'!B1420="","",'DDF Original'!B1420)</f>
        <v/>
      </c>
      <c r="C1420" s="20" t="str">
        <f>IF('DDF Original'!C1420="","",'DDF Original'!C1420)</f>
        <v/>
      </c>
      <c r="D1420" s="20" t="str">
        <f>IF('DDF Original'!F1420="","",'DDF Original'!F1420)</f>
        <v/>
      </c>
      <c r="E1420" s="38" t="str">
        <f>'Recálculo Confissão (85-B)'!N1420</f>
        <v/>
      </c>
      <c r="F1420" s="20" t="str">
        <f t="shared" si="44"/>
        <v/>
      </c>
      <c r="G1420" s="20" t="str">
        <f t="shared" si="45"/>
        <v/>
      </c>
    </row>
    <row r="1421" spans="2:7" x14ac:dyDescent="0.2">
      <c r="B1421" s="19" t="str">
        <f>IF('DDF Original'!B1421="","",'DDF Original'!B1421)</f>
        <v/>
      </c>
      <c r="C1421" s="20" t="str">
        <f>IF('DDF Original'!C1421="","",'DDF Original'!C1421)</f>
        <v/>
      </c>
      <c r="D1421" s="20" t="str">
        <f>IF('DDF Original'!F1421="","",'DDF Original'!F1421)</f>
        <v/>
      </c>
      <c r="E1421" s="38" t="str">
        <f>'Recálculo Confissão (85-B)'!N1421</f>
        <v/>
      </c>
      <c r="F1421" s="20" t="str">
        <f t="shared" si="44"/>
        <v/>
      </c>
      <c r="G1421" s="20" t="str">
        <f t="shared" si="45"/>
        <v/>
      </c>
    </row>
    <row r="1422" spans="2:7" x14ac:dyDescent="0.2">
      <c r="B1422" s="19" t="str">
        <f>IF('DDF Original'!B1422="","",'DDF Original'!B1422)</f>
        <v/>
      </c>
      <c r="C1422" s="20" t="str">
        <f>IF('DDF Original'!C1422="","",'DDF Original'!C1422)</f>
        <v/>
      </c>
      <c r="D1422" s="20" t="str">
        <f>IF('DDF Original'!F1422="","",'DDF Original'!F1422)</f>
        <v/>
      </c>
      <c r="E1422" s="38" t="str">
        <f>'Recálculo Confissão (85-B)'!N1422</f>
        <v/>
      </c>
      <c r="F1422" s="20" t="str">
        <f t="shared" si="44"/>
        <v/>
      </c>
      <c r="G1422" s="20" t="str">
        <f t="shared" si="45"/>
        <v/>
      </c>
    </row>
    <row r="1423" spans="2:7" x14ac:dyDescent="0.2">
      <c r="B1423" s="19" t="str">
        <f>IF('DDF Original'!B1423="","",'DDF Original'!B1423)</f>
        <v/>
      </c>
      <c r="C1423" s="20" t="str">
        <f>IF('DDF Original'!C1423="","",'DDF Original'!C1423)</f>
        <v/>
      </c>
      <c r="D1423" s="20" t="str">
        <f>IF('DDF Original'!F1423="","",'DDF Original'!F1423)</f>
        <v/>
      </c>
      <c r="E1423" s="38" t="str">
        <f>'Recálculo Confissão (85-B)'!N1423</f>
        <v/>
      </c>
      <c r="F1423" s="20" t="str">
        <f t="shared" si="44"/>
        <v/>
      </c>
      <c r="G1423" s="20" t="str">
        <f t="shared" si="45"/>
        <v/>
      </c>
    </row>
    <row r="1424" spans="2:7" x14ac:dyDescent="0.2">
      <c r="B1424" s="19" t="str">
        <f>IF('DDF Original'!B1424="","",'DDF Original'!B1424)</f>
        <v/>
      </c>
      <c r="C1424" s="20" t="str">
        <f>IF('DDF Original'!C1424="","",'DDF Original'!C1424)</f>
        <v/>
      </c>
      <c r="D1424" s="20" t="str">
        <f>IF('DDF Original'!F1424="","",'DDF Original'!F1424)</f>
        <v/>
      </c>
      <c r="E1424" s="38" t="str">
        <f>'Recálculo Confissão (85-B)'!N1424</f>
        <v/>
      </c>
      <c r="F1424" s="20" t="str">
        <f t="shared" si="44"/>
        <v/>
      </c>
      <c r="G1424" s="20" t="str">
        <f t="shared" si="45"/>
        <v/>
      </c>
    </row>
    <row r="1425" spans="2:7" x14ac:dyDescent="0.2">
      <c r="B1425" s="19" t="str">
        <f>IF('DDF Original'!B1425="","",'DDF Original'!B1425)</f>
        <v/>
      </c>
      <c r="C1425" s="20" t="str">
        <f>IF('DDF Original'!C1425="","",'DDF Original'!C1425)</f>
        <v/>
      </c>
      <c r="D1425" s="20" t="str">
        <f>IF('DDF Original'!F1425="","",'DDF Original'!F1425)</f>
        <v/>
      </c>
      <c r="E1425" s="38" t="str">
        <f>'Recálculo Confissão (85-B)'!N1425</f>
        <v/>
      </c>
      <c r="F1425" s="20" t="str">
        <f t="shared" si="44"/>
        <v/>
      </c>
      <c r="G1425" s="20" t="str">
        <f t="shared" si="45"/>
        <v/>
      </c>
    </row>
    <row r="1426" spans="2:7" x14ac:dyDescent="0.2">
      <c r="B1426" s="19" t="str">
        <f>IF('DDF Original'!B1426="","",'DDF Original'!B1426)</f>
        <v/>
      </c>
      <c r="C1426" s="20" t="str">
        <f>IF('DDF Original'!C1426="","",'DDF Original'!C1426)</f>
        <v/>
      </c>
      <c r="D1426" s="20" t="str">
        <f>IF('DDF Original'!F1426="","",'DDF Original'!F1426)</f>
        <v/>
      </c>
      <c r="E1426" s="38" t="str">
        <f>'Recálculo Confissão (85-B)'!N1426</f>
        <v/>
      </c>
      <c r="F1426" s="20" t="str">
        <f t="shared" si="44"/>
        <v/>
      </c>
      <c r="G1426" s="20" t="str">
        <f t="shared" si="45"/>
        <v/>
      </c>
    </row>
    <row r="1427" spans="2:7" x14ac:dyDescent="0.2">
      <c r="B1427" s="19" t="str">
        <f>IF('DDF Original'!B1427="","",'DDF Original'!B1427)</f>
        <v/>
      </c>
      <c r="C1427" s="20" t="str">
        <f>IF('DDF Original'!C1427="","",'DDF Original'!C1427)</f>
        <v/>
      </c>
      <c r="D1427" s="20" t="str">
        <f>IF('DDF Original'!F1427="","",'DDF Original'!F1427)</f>
        <v/>
      </c>
      <c r="E1427" s="38" t="str">
        <f>'Recálculo Confissão (85-B)'!N1427</f>
        <v/>
      </c>
      <c r="F1427" s="20" t="str">
        <f t="shared" si="44"/>
        <v/>
      </c>
      <c r="G1427" s="20" t="str">
        <f t="shared" si="45"/>
        <v/>
      </c>
    </row>
    <row r="1428" spans="2:7" x14ac:dyDescent="0.2">
      <c r="B1428" s="19" t="str">
        <f>IF('DDF Original'!B1428="","",'DDF Original'!B1428)</f>
        <v/>
      </c>
      <c r="C1428" s="20" t="str">
        <f>IF('DDF Original'!C1428="","",'DDF Original'!C1428)</f>
        <v/>
      </c>
      <c r="D1428" s="20" t="str">
        <f>IF('DDF Original'!F1428="","",'DDF Original'!F1428)</f>
        <v/>
      </c>
      <c r="E1428" s="38" t="str">
        <f>'Recálculo Confissão (85-B)'!N1428</f>
        <v/>
      </c>
      <c r="F1428" s="20" t="str">
        <f t="shared" si="44"/>
        <v/>
      </c>
      <c r="G1428" s="20" t="str">
        <f t="shared" si="45"/>
        <v/>
      </c>
    </row>
    <row r="1429" spans="2:7" x14ac:dyDescent="0.2">
      <c r="B1429" s="19" t="str">
        <f>IF('DDF Original'!B1429="","",'DDF Original'!B1429)</f>
        <v/>
      </c>
      <c r="C1429" s="20" t="str">
        <f>IF('DDF Original'!C1429="","",'DDF Original'!C1429)</f>
        <v/>
      </c>
      <c r="D1429" s="20" t="str">
        <f>IF('DDF Original'!F1429="","",'DDF Original'!F1429)</f>
        <v/>
      </c>
      <c r="E1429" s="38" t="str">
        <f>'Recálculo Confissão (85-B)'!N1429</f>
        <v/>
      </c>
      <c r="F1429" s="20" t="str">
        <f t="shared" si="44"/>
        <v/>
      </c>
      <c r="G1429" s="20" t="str">
        <f t="shared" si="45"/>
        <v/>
      </c>
    </row>
    <row r="1430" spans="2:7" x14ac:dyDescent="0.2">
      <c r="B1430" s="19" t="str">
        <f>IF('DDF Original'!B1430="","",'DDF Original'!B1430)</f>
        <v/>
      </c>
      <c r="C1430" s="20" t="str">
        <f>IF('DDF Original'!C1430="","",'DDF Original'!C1430)</f>
        <v/>
      </c>
      <c r="D1430" s="20" t="str">
        <f>IF('DDF Original'!F1430="","",'DDF Original'!F1430)</f>
        <v/>
      </c>
      <c r="E1430" s="38" t="str">
        <f>'Recálculo Confissão (85-B)'!N1430</f>
        <v/>
      </c>
      <c r="F1430" s="20" t="str">
        <f t="shared" si="44"/>
        <v/>
      </c>
      <c r="G1430" s="20" t="str">
        <f t="shared" si="45"/>
        <v/>
      </c>
    </row>
    <row r="1431" spans="2:7" x14ac:dyDescent="0.2">
      <c r="B1431" s="19" t="str">
        <f>IF('DDF Original'!B1431="","",'DDF Original'!B1431)</f>
        <v/>
      </c>
      <c r="C1431" s="20" t="str">
        <f>IF('DDF Original'!C1431="","",'DDF Original'!C1431)</f>
        <v/>
      </c>
      <c r="D1431" s="20" t="str">
        <f>IF('DDF Original'!F1431="","",'DDF Original'!F1431)</f>
        <v/>
      </c>
      <c r="E1431" s="38" t="str">
        <f>'Recálculo Confissão (85-B)'!N1431</f>
        <v/>
      </c>
      <c r="F1431" s="20" t="str">
        <f t="shared" si="44"/>
        <v/>
      </c>
      <c r="G1431" s="20" t="str">
        <f t="shared" si="45"/>
        <v/>
      </c>
    </row>
    <row r="1432" spans="2:7" x14ac:dyDescent="0.2">
      <c r="B1432" s="19" t="str">
        <f>IF('DDF Original'!B1432="","",'DDF Original'!B1432)</f>
        <v/>
      </c>
      <c r="C1432" s="20" t="str">
        <f>IF('DDF Original'!C1432="","",'DDF Original'!C1432)</f>
        <v/>
      </c>
      <c r="D1432" s="20" t="str">
        <f>IF('DDF Original'!F1432="","",'DDF Original'!F1432)</f>
        <v/>
      </c>
      <c r="E1432" s="38" t="str">
        <f>'Recálculo Confissão (85-B)'!N1432</f>
        <v/>
      </c>
      <c r="F1432" s="20" t="str">
        <f t="shared" si="44"/>
        <v/>
      </c>
      <c r="G1432" s="20" t="str">
        <f t="shared" si="45"/>
        <v/>
      </c>
    </row>
    <row r="1433" spans="2:7" x14ac:dyDescent="0.2">
      <c r="B1433" s="19" t="str">
        <f>IF('DDF Original'!B1433="","",'DDF Original'!B1433)</f>
        <v/>
      </c>
      <c r="C1433" s="20" t="str">
        <f>IF('DDF Original'!C1433="","",'DDF Original'!C1433)</f>
        <v/>
      </c>
      <c r="D1433" s="20" t="str">
        <f>IF('DDF Original'!F1433="","",'DDF Original'!F1433)</f>
        <v/>
      </c>
      <c r="E1433" s="38" t="str">
        <f>'Recálculo Confissão (85-B)'!N1433</f>
        <v/>
      </c>
      <c r="F1433" s="20" t="str">
        <f t="shared" si="44"/>
        <v/>
      </c>
      <c r="G1433" s="20" t="str">
        <f t="shared" si="45"/>
        <v/>
      </c>
    </row>
    <row r="1434" spans="2:7" x14ac:dyDescent="0.2">
      <c r="B1434" s="19" t="str">
        <f>IF('DDF Original'!B1434="","",'DDF Original'!B1434)</f>
        <v/>
      </c>
      <c r="C1434" s="20" t="str">
        <f>IF('DDF Original'!C1434="","",'DDF Original'!C1434)</f>
        <v/>
      </c>
      <c r="D1434" s="20" t="str">
        <f>IF('DDF Original'!F1434="","",'DDF Original'!F1434)</f>
        <v/>
      </c>
      <c r="E1434" s="38" t="str">
        <f>'Recálculo Confissão (85-B)'!N1434</f>
        <v/>
      </c>
      <c r="F1434" s="20" t="str">
        <f t="shared" si="44"/>
        <v/>
      </c>
      <c r="G1434" s="20" t="str">
        <f t="shared" si="45"/>
        <v/>
      </c>
    </row>
    <row r="1435" spans="2:7" x14ac:dyDescent="0.2">
      <c r="B1435" s="19" t="str">
        <f>IF('DDF Original'!B1435="","",'DDF Original'!B1435)</f>
        <v/>
      </c>
      <c r="C1435" s="20" t="str">
        <f>IF('DDF Original'!C1435="","",'DDF Original'!C1435)</f>
        <v/>
      </c>
      <c r="D1435" s="20" t="str">
        <f>IF('DDF Original'!F1435="","",'DDF Original'!F1435)</f>
        <v/>
      </c>
      <c r="E1435" s="38" t="str">
        <f>'Recálculo Confissão (85-B)'!N1435</f>
        <v/>
      </c>
      <c r="F1435" s="20" t="str">
        <f t="shared" si="44"/>
        <v/>
      </c>
      <c r="G1435" s="20" t="str">
        <f t="shared" si="45"/>
        <v/>
      </c>
    </row>
    <row r="1436" spans="2:7" x14ac:dyDescent="0.2">
      <c r="B1436" s="19" t="str">
        <f>IF('DDF Original'!B1436="","",'DDF Original'!B1436)</f>
        <v/>
      </c>
      <c r="C1436" s="20" t="str">
        <f>IF('DDF Original'!C1436="","",'DDF Original'!C1436)</f>
        <v/>
      </c>
      <c r="D1436" s="20" t="str">
        <f>IF('DDF Original'!F1436="","",'DDF Original'!F1436)</f>
        <v/>
      </c>
      <c r="E1436" s="38" t="str">
        <f>'Recálculo Confissão (85-B)'!N1436</f>
        <v/>
      </c>
      <c r="F1436" s="20" t="str">
        <f t="shared" si="44"/>
        <v/>
      </c>
      <c r="G1436" s="20" t="str">
        <f t="shared" si="45"/>
        <v/>
      </c>
    </row>
    <row r="1437" spans="2:7" x14ac:dyDescent="0.2">
      <c r="B1437" s="19" t="str">
        <f>IF('DDF Original'!B1437="","",'DDF Original'!B1437)</f>
        <v/>
      </c>
      <c r="C1437" s="20" t="str">
        <f>IF('DDF Original'!C1437="","",'DDF Original'!C1437)</f>
        <v/>
      </c>
      <c r="D1437" s="20" t="str">
        <f>IF('DDF Original'!F1437="","",'DDF Original'!F1437)</f>
        <v/>
      </c>
      <c r="E1437" s="38" t="str">
        <f>'Recálculo Confissão (85-B)'!N1437</f>
        <v/>
      </c>
      <c r="F1437" s="20" t="str">
        <f t="shared" si="44"/>
        <v/>
      </c>
      <c r="G1437" s="20" t="str">
        <f t="shared" si="45"/>
        <v/>
      </c>
    </row>
    <row r="1438" spans="2:7" x14ac:dyDescent="0.2">
      <c r="B1438" s="19" t="str">
        <f>IF('DDF Original'!B1438="","",'DDF Original'!B1438)</f>
        <v/>
      </c>
      <c r="C1438" s="20" t="str">
        <f>IF('DDF Original'!C1438="","",'DDF Original'!C1438)</f>
        <v/>
      </c>
      <c r="D1438" s="20" t="str">
        <f>IF('DDF Original'!F1438="","",'DDF Original'!F1438)</f>
        <v/>
      </c>
      <c r="E1438" s="38" t="str">
        <f>'Recálculo Confissão (85-B)'!N1438</f>
        <v/>
      </c>
      <c r="F1438" s="20" t="str">
        <f t="shared" si="44"/>
        <v/>
      </c>
      <c r="G1438" s="20" t="str">
        <f t="shared" si="45"/>
        <v/>
      </c>
    </row>
    <row r="1439" spans="2:7" x14ac:dyDescent="0.2">
      <c r="B1439" s="19" t="str">
        <f>IF('DDF Original'!B1439="","",'DDF Original'!B1439)</f>
        <v/>
      </c>
      <c r="C1439" s="20" t="str">
        <f>IF('DDF Original'!C1439="","",'DDF Original'!C1439)</f>
        <v/>
      </c>
      <c r="D1439" s="20" t="str">
        <f>IF('DDF Original'!F1439="","",'DDF Original'!F1439)</f>
        <v/>
      </c>
      <c r="E1439" s="38" t="str">
        <f>'Recálculo Confissão (85-B)'!N1439</f>
        <v/>
      </c>
      <c r="F1439" s="20" t="str">
        <f t="shared" si="44"/>
        <v/>
      </c>
      <c r="G1439" s="20" t="str">
        <f t="shared" si="45"/>
        <v/>
      </c>
    </row>
    <row r="1440" spans="2:7" x14ac:dyDescent="0.2">
      <c r="B1440" s="19" t="str">
        <f>IF('DDF Original'!B1440="","",'DDF Original'!B1440)</f>
        <v/>
      </c>
      <c r="C1440" s="20" t="str">
        <f>IF('DDF Original'!C1440="","",'DDF Original'!C1440)</f>
        <v/>
      </c>
      <c r="D1440" s="20" t="str">
        <f>IF('DDF Original'!F1440="","",'DDF Original'!F1440)</f>
        <v/>
      </c>
      <c r="E1440" s="38" t="str">
        <f>'Recálculo Confissão (85-B)'!N1440</f>
        <v/>
      </c>
      <c r="F1440" s="20" t="str">
        <f t="shared" si="44"/>
        <v/>
      </c>
      <c r="G1440" s="20" t="str">
        <f t="shared" si="45"/>
        <v/>
      </c>
    </row>
    <row r="1441" spans="2:7" x14ac:dyDescent="0.2">
      <c r="B1441" s="19" t="str">
        <f>IF('DDF Original'!B1441="","",'DDF Original'!B1441)</f>
        <v/>
      </c>
      <c r="C1441" s="20" t="str">
        <f>IF('DDF Original'!C1441="","",'DDF Original'!C1441)</f>
        <v/>
      </c>
      <c r="D1441" s="20" t="str">
        <f>IF('DDF Original'!F1441="","",'DDF Original'!F1441)</f>
        <v/>
      </c>
      <c r="E1441" s="38" t="str">
        <f>'Recálculo Confissão (85-B)'!N1441</f>
        <v/>
      </c>
      <c r="F1441" s="20" t="str">
        <f t="shared" si="44"/>
        <v/>
      </c>
      <c r="G1441" s="20" t="str">
        <f t="shared" si="45"/>
        <v/>
      </c>
    </row>
    <row r="1442" spans="2:7" x14ac:dyDescent="0.2">
      <c r="B1442" s="19" t="str">
        <f>IF('DDF Original'!B1442="","",'DDF Original'!B1442)</f>
        <v/>
      </c>
      <c r="C1442" s="20" t="str">
        <f>IF('DDF Original'!C1442="","",'DDF Original'!C1442)</f>
        <v/>
      </c>
      <c r="D1442" s="20" t="str">
        <f>IF('DDF Original'!F1442="","",'DDF Original'!F1442)</f>
        <v/>
      </c>
      <c r="E1442" s="38" t="str">
        <f>'Recálculo Confissão (85-B)'!N1442</f>
        <v/>
      </c>
      <c r="F1442" s="20" t="str">
        <f t="shared" si="44"/>
        <v/>
      </c>
      <c r="G1442" s="20" t="str">
        <f t="shared" si="45"/>
        <v/>
      </c>
    </row>
    <row r="1443" spans="2:7" x14ac:dyDescent="0.2">
      <c r="B1443" s="19" t="str">
        <f>IF('DDF Original'!B1443="","",'DDF Original'!B1443)</f>
        <v/>
      </c>
      <c r="C1443" s="20" t="str">
        <f>IF('DDF Original'!C1443="","",'DDF Original'!C1443)</f>
        <v/>
      </c>
      <c r="D1443" s="20" t="str">
        <f>IF('DDF Original'!F1443="","",'DDF Original'!F1443)</f>
        <v/>
      </c>
      <c r="E1443" s="38" t="str">
        <f>'Recálculo Confissão (85-B)'!N1443</f>
        <v/>
      </c>
      <c r="F1443" s="20" t="str">
        <f t="shared" si="44"/>
        <v/>
      </c>
      <c r="G1443" s="20" t="str">
        <f t="shared" si="45"/>
        <v/>
      </c>
    </row>
    <row r="1444" spans="2:7" x14ac:dyDescent="0.2">
      <c r="B1444" s="19" t="str">
        <f>IF('DDF Original'!B1444="","",'DDF Original'!B1444)</f>
        <v/>
      </c>
      <c r="C1444" s="20" t="str">
        <f>IF('DDF Original'!C1444="","",'DDF Original'!C1444)</f>
        <v/>
      </c>
      <c r="D1444" s="20" t="str">
        <f>IF('DDF Original'!F1444="","",'DDF Original'!F1444)</f>
        <v/>
      </c>
      <c r="E1444" s="38" t="str">
        <f>'Recálculo Confissão (85-B)'!N1444</f>
        <v/>
      </c>
      <c r="F1444" s="20" t="str">
        <f t="shared" si="44"/>
        <v/>
      </c>
      <c r="G1444" s="20" t="str">
        <f t="shared" si="45"/>
        <v/>
      </c>
    </row>
    <row r="1445" spans="2:7" x14ac:dyDescent="0.2">
      <c r="B1445" s="19" t="str">
        <f>IF('DDF Original'!B1445="","",'DDF Original'!B1445)</f>
        <v/>
      </c>
      <c r="C1445" s="20" t="str">
        <f>IF('DDF Original'!C1445="","",'DDF Original'!C1445)</f>
        <v/>
      </c>
      <c r="D1445" s="20" t="str">
        <f>IF('DDF Original'!F1445="","",'DDF Original'!F1445)</f>
        <v/>
      </c>
      <c r="E1445" s="38" t="str">
        <f>'Recálculo Confissão (85-B)'!N1445</f>
        <v/>
      </c>
      <c r="F1445" s="20" t="str">
        <f t="shared" si="44"/>
        <v/>
      </c>
      <c r="G1445" s="20" t="str">
        <f t="shared" si="45"/>
        <v/>
      </c>
    </row>
    <row r="1446" spans="2:7" x14ac:dyDescent="0.2">
      <c r="B1446" s="19" t="str">
        <f>IF('DDF Original'!B1446="","",'DDF Original'!B1446)</f>
        <v/>
      </c>
      <c r="C1446" s="20" t="str">
        <f>IF('DDF Original'!C1446="","",'DDF Original'!C1446)</f>
        <v/>
      </c>
      <c r="D1446" s="20" t="str">
        <f>IF('DDF Original'!F1446="","",'DDF Original'!F1446)</f>
        <v/>
      </c>
      <c r="E1446" s="38" t="str">
        <f>'Recálculo Confissão (85-B)'!N1446</f>
        <v/>
      </c>
      <c r="F1446" s="20" t="str">
        <f t="shared" si="44"/>
        <v/>
      </c>
      <c r="G1446" s="20" t="str">
        <f t="shared" si="45"/>
        <v/>
      </c>
    </row>
    <row r="1447" spans="2:7" x14ac:dyDescent="0.2">
      <c r="B1447" s="19" t="str">
        <f>IF('DDF Original'!B1447="","",'DDF Original'!B1447)</f>
        <v/>
      </c>
      <c r="C1447" s="20" t="str">
        <f>IF('DDF Original'!C1447="","",'DDF Original'!C1447)</f>
        <v/>
      </c>
      <c r="D1447" s="20" t="str">
        <f>IF('DDF Original'!F1447="","",'DDF Original'!F1447)</f>
        <v/>
      </c>
      <c r="E1447" s="38" t="str">
        <f>'Recálculo Confissão (85-B)'!N1447</f>
        <v/>
      </c>
      <c r="F1447" s="20" t="str">
        <f t="shared" si="44"/>
        <v/>
      </c>
      <c r="G1447" s="20" t="str">
        <f t="shared" si="45"/>
        <v/>
      </c>
    </row>
    <row r="1448" spans="2:7" x14ac:dyDescent="0.2">
      <c r="B1448" s="19" t="str">
        <f>IF('DDF Original'!B1448="","",'DDF Original'!B1448)</f>
        <v/>
      </c>
      <c r="C1448" s="20" t="str">
        <f>IF('DDF Original'!C1448="","",'DDF Original'!C1448)</f>
        <v/>
      </c>
      <c r="D1448" s="20" t="str">
        <f>IF('DDF Original'!F1448="","",'DDF Original'!F1448)</f>
        <v/>
      </c>
      <c r="E1448" s="38" t="str">
        <f>'Recálculo Confissão (85-B)'!N1448</f>
        <v/>
      </c>
      <c r="F1448" s="20" t="str">
        <f t="shared" si="44"/>
        <v/>
      </c>
      <c r="G1448" s="20" t="str">
        <f t="shared" si="45"/>
        <v/>
      </c>
    </row>
    <row r="1449" spans="2:7" x14ac:dyDescent="0.2">
      <c r="B1449" s="19" t="str">
        <f>IF('DDF Original'!B1449="","",'DDF Original'!B1449)</f>
        <v/>
      </c>
      <c r="C1449" s="20" t="str">
        <f>IF('DDF Original'!C1449="","",'DDF Original'!C1449)</f>
        <v/>
      </c>
      <c r="D1449" s="20" t="str">
        <f>IF('DDF Original'!F1449="","",'DDF Original'!F1449)</f>
        <v/>
      </c>
      <c r="E1449" s="38" t="str">
        <f>'Recálculo Confissão (85-B)'!N1449</f>
        <v/>
      </c>
      <c r="F1449" s="20" t="str">
        <f t="shared" si="44"/>
        <v/>
      </c>
      <c r="G1449" s="20" t="str">
        <f t="shared" si="45"/>
        <v/>
      </c>
    </row>
    <row r="1450" spans="2:7" x14ac:dyDescent="0.2">
      <c r="B1450" s="19" t="str">
        <f>IF('DDF Original'!B1450="","",'DDF Original'!B1450)</f>
        <v/>
      </c>
      <c r="C1450" s="20" t="str">
        <f>IF('DDF Original'!C1450="","",'DDF Original'!C1450)</f>
        <v/>
      </c>
      <c r="D1450" s="20" t="str">
        <f>IF('DDF Original'!F1450="","",'DDF Original'!F1450)</f>
        <v/>
      </c>
      <c r="E1450" s="38" t="str">
        <f>'Recálculo Confissão (85-B)'!N1450</f>
        <v/>
      </c>
      <c r="F1450" s="20" t="str">
        <f t="shared" si="44"/>
        <v/>
      </c>
      <c r="G1450" s="20" t="str">
        <f t="shared" si="45"/>
        <v/>
      </c>
    </row>
    <row r="1451" spans="2:7" x14ac:dyDescent="0.2">
      <c r="B1451" s="19" t="str">
        <f>IF('DDF Original'!B1451="","",'DDF Original'!B1451)</f>
        <v/>
      </c>
      <c r="C1451" s="20" t="str">
        <f>IF('DDF Original'!C1451="","",'DDF Original'!C1451)</f>
        <v/>
      </c>
      <c r="D1451" s="20" t="str">
        <f>IF('DDF Original'!F1451="","",'DDF Original'!F1451)</f>
        <v/>
      </c>
      <c r="E1451" s="38" t="str">
        <f>'Recálculo Confissão (85-B)'!N1451</f>
        <v/>
      </c>
      <c r="F1451" s="20" t="str">
        <f t="shared" si="44"/>
        <v/>
      </c>
      <c r="G1451" s="20" t="str">
        <f t="shared" si="45"/>
        <v/>
      </c>
    </row>
    <row r="1452" spans="2:7" x14ac:dyDescent="0.2">
      <c r="B1452" s="19" t="str">
        <f>IF('DDF Original'!B1452="","",'DDF Original'!B1452)</f>
        <v/>
      </c>
      <c r="C1452" s="20" t="str">
        <f>IF('DDF Original'!C1452="","",'DDF Original'!C1452)</f>
        <v/>
      </c>
      <c r="D1452" s="20" t="str">
        <f>IF('DDF Original'!F1452="","",'DDF Original'!F1452)</f>
        <v/>
      </c>
      <c r="E1452" s="38" t="str">
        <f>'Recálculo Confissão (85-B)'!N1452</f>
        <v/>
      </c>
      <c r="F1452" s="20" t="str">
        <f t="shared" si="44"/>
        <v/>
      </c>
      <c r="G1452" s="20" t="str">
        <f t="shared" si="45"/>
        <v/>
      </c>
    </row>
    <row r="1453" spans="2:7" x14ac:dyDescent="0.2">
      <c r="B1453" s="19" t="str">
        <f>IF('DDF Original'!B1453="","",'DDF Original'!B1453)</f>
        <v/>
      </c>
      <c r="C1453" s="20" t="str">
        <f>IF('DDF Original'!C1453="","",'DDF Original'!C1453)</f>
        <v/>
      </c>
      <c r="D1453" s="20" t="str">
        <f>IF('DDF Original'!F1453="","",'DDF Original'!F1453)</f>
        <v/>
      </c>
      <c r="E1453" s="38" t="str">
        <f>'Recálculo Confissão (85-B)'!N1453</f>
        <v/>
      </c>
      <c r="F1453" s="20" t="str">
        <f t="shared" si="44"/>
        <v/>
      </c>
      <c r="G1453" s="20" t="str">
        <f t="shared" si="45"/>
        <v/>
      </c>
    </row>
    <row r="1454" spans="2:7" x14ac:dyDescent="0.2">
      <c r="B1454" s="19" t="str">
        <f>IF('DDF Original'!B1454="","",'DDF Original'!B1454)</f>
        <v/>
      </c>
      <c r="C1454" s="20" t="str">
        <f>IF('DDF Original'!C1454="","",'DDF Original'!C1454)</f>
        <v/>
      </c>
      <c r="D1454" s="20" t="str">
        <f>IF('DDF Original'!F1454="","",'DDF Original'!F1454)</f>
        <v/>
      </c>
      <c r="E1454" s="38" t="str">
        <f>'Recálculo Confissão (85-B)'!N1454</f>
        <v/>
      </c>
      <c r="F1454" s="20" t="str">
        <f t="shared" si="44"/>
        <v/>
      </c>
      <c r="G1454" s="20" t="str">
        <f t="shared" si="45"/>
        <v/>
      </c>
    </row>
    <row r="1455" spans="2:7" x14ac:dyDescent="0.2">
      <c r="B1455" s="19" t="str">
        <f>IF('DDF Original'!B1455="","",'DDF Original'!B1455)</f>
        <v/>
      </c>
      <c r="C1455" s="20" t="str">
        <f>IF('DDF Original'!C1455="","",'DDF Original'!C1455)</f>
        <v/>
      </c>
      <c r="D1455" s="20" t="str">
        <f>IF('DDF Original'!F1455="","",'DDF Original'!F1455)</f>
        <v/>
      </c>
      <c r="E1455" s="38" t="str">
        <f>'Recálculo Confissão (85-B)'!N1455</f>
        <v/>
      </c>
      <c r="F1455" s="20" t="str">
        <f t="shared" si="44"/>
        <v/>
      </c>
      <c r="G1455" s="20" t="str">
        <f t="shared" si="45"/>
        <v/>
      </c>
    </row>
    <row r="1456" spans="2:7" x14ac:dyDescent="0.2">
      <c r="B1456" s="19" t="str">
        <f>IF('DDF Original'!B1456="","",'DDF Original'!B1456)</f>
        <v/>
      </c>
      <c r="C1456" s="20" t="str">
        <f>IF('DDF Original'!C1456="","",'DDF Original'!C1456)</f>
        <v/>
      </c>
      <c r="D1456" s="20" t="str">
        <f>IF('DDF Original'!F1456="","",'DDF Original'!F1456)</f>
        <v/>
      </c>
      <c r="E1456" s="38" t="str">
        <f>'Recálculo Confissão (85-B)'!N1456</f>
        <v/>
      </c>
      <c r="F1456" s="20" t="str">
        <f t="shared" si="44"/>
        <v/>
      </c>
      <c r="G1456" s="20" t="str">
        <f t="shared" si="45"/>
        <v/>
      </c>
    </row>
    <row r="1457" spans="2:7" x14ac:dyDescent="0.2">
      <c r="B1457" s="19" t="str">
        <f>IF('DDF Original'!B1457="","",'DDF Original'!B1457)</f>
        <v/>
      </c>
      <c r="C1457" s="20" t="str">
        <f>IF('DDF Original'!C1457="","",'DDF Original'!C1457)</f>
        <v/>
      </c>
      <c r="D1457" s="20" t="str">
        <f>IF('DDF Original'!F1457="","",'DDF Original'!F1457)</f>
        <v/>
      </c>
      <c r="E1457" s="38" t="str">
        <f>'Recálculo Confissão (85-B)'!N1457</f>
        <v/>
      </c>
      <c r="F1457" s="20" t="str">
        <f t="shared" si="44"/>
        <v/>
      </c>
      <c r="G1457" s="20" t="str">
        <f t="shared" si="45"/>
        <v/>
      </c>
    </row>
    <row r="1458" spans="2:7" x14ac:dyDescent="0.2">
      <c r="B1458" s="19" t="str">
        <f>IF('DDF Original'!B1458="","",'DDF Original'!B1458)</f>
        <v/>
      </c>
      <c r="C1458" s="20" t="str">
        <f>IF('DDF Original'!C1458="","",'DDF Original'!C1458)</f>
        <v/>
      </c>
      <c r="D1458" s="20" t="str">
        <f>IF('DDF Original'!F1458="","",'DDF Original'!F1458)</f>
        <v/>
      </c>
      <c r="E1458" s="38" t="str">
        <f>'Recálculo Confissão (85-B)'!N1458</f>
        <v/>
      </c>
      <c r="F1458" s="20" t="str">
        <f t="shared" si="44"/>
        <v/>
      </c>
      <c r="G1458" s="20" t="str">
        <f t="shared" si="45"/>
        <v/>
      </c>
    </row>
    <row r="1459" spans="2:7" x14ac:dyDescent="0.2">
      <c r="B1459" s="19" t="str">
        <f>IF('DDF Original'!B1459="","",'DDF Original'!B1459)</f>
        <v/>
      </c>
      <c r="C1459" s="20" t="str">
        <f>IF('DDF Original'!C1459="","",'DDF Original'!C1459)</f>
        <v/>
      </c>
      <c r="D1459" s="20" t="str">
        <f>IF('DDF Original'!F1459="","",'DDF Original'!F1459)</f>
        <v/>
      </c>
      <c r="E1459" s="38" t="str">
        <f>'Recálculo Confissão (85-B)'!N1459</f>
        <v/>
      </c>
      <c r="F1459" s="20" t="str">
        <f t="shared" si="44"/>
        <v/>
      </c>
      <c r="G1459" s="20" t="str">
        <f t="shared" si="45"/>
        <v/>
      </c>
    </row>
    <row r="1460" spans="2:7" x14ac:dyDescent="0.2">
      <c r="B1460" s="19" t="str">
        <f>IF('DDF Original'!B1460="","",'DDF Original'!B1460)</f>
        <v/>
      </c>
      <c r="C1460" s="20" t="str">
        <f>IF('DDF Original'!C1460="","",'DDF Original'!C1460)</f>
        <v/>
      </c>
      <c r="D1460" s="20" t="str">
        <f>IF('DDF Original'!F1460="","",'DDF Original'!F1460)</f>
        <v/>
      </c>
      <c r="E1460" s="38" t="str">
        <f>'Recálculo Confissão (85-B)'!N1460</f>
        <v/>
      </c>
      <c r="F1460" s="20" t="str">
        <f t="shared" si="44"/>
        <v/>
      </c>
      <c r="G1460" s="20" t="str">
        <f t="shared" si="45"/>
        <v/>
      </c>
    </row>
    <row r="1461" spans="2:7" x14ac:dyDescent="0.2">
      <c r="B1461" s="19" t="str">
        <f>IF('DDF Original'!B1461="","",'DDF Original'!B1461)</f>
        <v/>
      </c>
      <c r="C1461" s="20" t="str">
        <f>IF('DDF Original'!C1461="","",'DDF Original'!C1461)</f>
        <v/>
      </c>
      <c r="D1461" s="20" t="str">
        <f>IF('DDF Original'!F1461="","",'DDF Original'!F1461)</f>
        <v/>
      </c>
      <c r="E1461" s="38" t="str">
        <f>'Recálculo Confissão (85-B)'!N1461</f>
        <v/>
      </c>
      <c r="F1461" s="20" t="str">
        <f t="shared" si="44"/>
        <v/>
      </c>
      <c r="G1461" s="20" t="str">
        <f t="shared" si="45"/>
        <v/>
      </c>
    </row>
    <row r="1462" spans="2:7" x14ac:dyDescent="0.2">
      <c r="B1462" s="19" t="str">
        <f>IF('DDF Original'!B1462="","",'DDF Original'!B1462)</f>
        <v/>
      </c>
      <c r="C1462" s="20" t="str">
        <f>IF('DDF Original'!C1462="","",'DDF Original'!C1462)</f>
        <v/>
      </c>
      <c r="D1462" s="20" t="str">
        <f>IF('DDF Original'!F1462="","",'DDF Original'!F1462)</f>
        <v/>
      </c>
      <c r="E1462" s="38" t="str">
        <f>'Recálculo Confissão (85-B)'!N1462</f>
        <v/>
      </c>
      <c r="F1462" s="20" t="str">
        <f t="shared" si="44"/>
        <v/>
      </c>
      <c r="G1462" s="20" t="str">
        <f t="shared" si="45"/>
        <v/>
      </c>
    </row>
    <row r="1463" spans="2:7" x14ac:dyDescent="0.2">
      <c r="B1463" s="19" t="str">
        <f>IF('DDF Original'!B1463="","",'DDF Original'!B1463)</f>
        <v/>
      </c>
      <c r="C1463" s="20" t="str">
        <f>IF('DDF Original'!C1463="","",'DDF Original'!C1463)</f>
        <v/>
      </c>
      <c r="D1463" s="20" t="str">
        <f>IF('DDF Original'!F1463="","",'DDF Original'!F1463)</f>
        <v/>
      </c>
      <c r="E1463" s="38" t="str">
        <f>'Recálculo Confissão (85-B)'!N1463</f>
        <v/>
      </c>
      <c r="F1463" s="20" t="str">
        <f t="shared" si="44"/>
        <v/>
      </c>
      <c r="G1463" s="20" t="str">
        <f t="shared" si="45"/>
        <v/>
      </c>
    </row>
    <row r="1464" spans="2:7" x14ac:dyDescent="0.2">
      <c r="B1464" s="19" t="str">
        <f>IF('DDF Original'!B1464="","",'DDF Original'!B1464)</f>
        <v/>
      </c>
      <c r="C1464" s="20" t="str">
        <f>IF('DDF Original'!C1464="","",'DDF Original'!C1464)</f>
        <v/>
      </c>
      <c r="D1464" s="20" t="str">
        <f>IF('DDF Original'!F1464="","",'DDF Original'!F1464)</f>
        <v/>
      </c>
      <c r="E1464" s="38" t="str">
        <f>'Recálculo Confissão (85-B)'!N1464</f>
        <v/>
      </c>
      <c r="F1464" s="20" t="str">
        <f t="shared" si="44"/>
        <v/>
      </c>
      <c r="G1464" s="20" t="str">
        <f t="shared" si="45"/>
        <v/>
      </c>
    </row>
    <row r="1465" spans="2:7" x14ac:dyDescent="0.2">
      <c r="B1465" s="19" t="str">
        <f>IF('DDF Original'!B1465="","",'DDF Original'!B1465)</f>
        <v/>
      </c>
      <c r="C1465" s="20" t="str">
        <f>IF('DDF Original'!C1465="","",'DDF Original'!C1465)</f>
        <v/>
      </c>
      <c r="D1465" s="20" t="str">
        <f>IF('DDF Original'!F1465="","",'DDF Original'!F1465)</f>
        <v/>
      </c>
      <c r="E1465" s="38" t="str">
        <f>'Recálculo Confissão (85-B)'!N1465</f>
        <v/>
      </c>
      <c r="F1465" s="20" t="str">
        <f t="shared" si="44"/>
        <v/>
      </c>
      <c r="G1465" s="20" t="str">
        <f t="shared" si="45"/>
        <v/>
      </c>
    </row>
    <row r="1466" spans="2:7" x14ac:dyDescent="0.2">
      <c r="B1466" s="19" t="str">
        <f>IF('DDF Original'!B1466="","",'DDF Original'!B1466)</f>
        <v/>
      </c>
      <c r="C1466" s="20" t="str">
        <f>IF('DDF Original'!C1466="","",'DDF Original'!C1466)</f>
        <v/>
      </c>
      <c r="D1466" s="20" t="str">
        <f>IF('DDF Original'!F1466="","",'DDF Original'!F1466)</f>
        <v/>
      </c>
      <c r="E1466" s="38" t="str">
        <f>'Recálculo Confissão (85-B)'!N1466</f>
        <v/>
      </c>
      <c r="F1466" s="20" t="str">
        <f t="shared" si="44"/>
        <v/>
      </c>
      <c r="G1466" s="20" t="str">
        <f t="shared" si="45"/>
        <v/>
      </c>
    </row>
    <row r="1467" spans="2:7" x14ac:dyDescent="0.2">
      <c r="B1467" s="19" t="str">
        <f>IF('DDF Original'!B1467="","",'DDF Original'!B1467)</f>
        <v/>
      </c>
      <c r="C1467" s="20" t="str">
        <f>IF('DDF Original'!C1467="","",'DDF Original'!C1467)</f>
        <v/>
      </c>
      <c r="D1467" s="20" t="str">
        <f>IF('DDF Original'!F1467="","",'DDF Original'!F1467)</f>
        <v/>
      </c>
      <c r="E1467" s="38" t="str">
        <f>'Recálculo Confissão (85-B)'!N1467</f>
        <v/>
      </c>
      <c r="F1467" s="20" t="str">
        <f t="shared" si="44"/>
        <v/>
      </c>
      <c r="G1467" s="20" t="str">
        <f t="shared" si="45"/>
        <v/>
      </c>
    </row>
    <row r="1468" spans="2:7" x14ac:dyDescent="0.2">
      <c r="B1468" s="19" t="str">
        <f>IF('DDF Original'!B1468="","",'DDF Original'!B1468)</f>
        <v/>
      </c>
      <c r="C1468" s="20" t="str">
        <f>IF('DDF Original'!C1468="","",'DDF Original'!C1468)</f>
        <v/>
      </c>
      <c r="D1468" s="20" t="str">
        <f>IF('DDF Original'!F1468="","",'DDF Original'!F1468)</f>
        <v/>
      </c>
      <c r="E1468" s="38" t="str">
        <f>'Recálculo Confissão (85-B)'!N1468</f>
        <v/>
      </c>
      <c r="F1468" s="20" t="str">
        <f t="shared" si="44"/>
        <v/>
      </c>
      <c r="G1468" s="20" t="str">
        <f t="shared" si="45"/>
        <v/>
      </c>
    </row>
    <row r="1469" spans="2:7" x14ac:dyDescent="0.2">
      <c r="B1469" s="19" t="str">
        <f>IF('DDF Original'!B1469="","",'DDF Original'!B1469)</f>
        <v/>
      </c>
      <c r="C1469" s="20" t="str">
        <f>IF('DDF Original'!C1469="","",'DDF Original'!C1469)</f>
        <v/>
      </c>
      <c r="D1469" s="20" t="str">
        <f>IF('DDF Original'!F1469="","",'DDF Original'!F1469)</f>
        <v/>
      </c>
      <c r="E1469" s="38" t="str">
        <f>'Recálculo Confissão (85-B)'!N1469</f>
        <v/>
      </c>
      <c r="F1469" s="20" t="str">
        <f t="shared" ref="F1469:F1508" si="46">IF(E1469="","",ROUND(E1469*(1-70%),2))</f>
        <v/>
      </c>
      <c r="G1469" s="20" t="str">
        <f t="shared" ref="G1469:G1508" si="47">IF(E1469="","",ROUND(E1469*(1-60%),2))</f>
        <v/>
      </c>
    </row>
    <row r="1470" spans="2:7" x14ac:dyDescent="0.2">
      <c r="B1470" s="19" t="str">
        <f>IF('DDF Original'!B1470="","",'DDF Original'!B1470)</f>
        <v/>
      </c>
      <c r="C1470" s="20" t="str">
        <f>IF('DDF Original'!C1470="","",'DDF Original'!C1470)</f>
        <v/>
      </c>
      <c r="D1470" s="20" t="str">
        <f>IF('DDF Original'!F1470="","",'DDF Original'!F1470)</f>
        <v/>
      </c>
      <c r="E1470" s="38" t="str">
        <f>'Recálculo Confissão (85-B)'!N1470</f>
        <v/>
      </c>
      <c r="F1470" s="20" t="str">
        <f t="shared" si="46"/>
        <v/>
      </c>
      <c r="G1470" s="20" t="str">
        <f t="shared" si="47"/>
        <v/>
      </c>
    </row>
    <row r="1471" spans="2:7" x14ac:dyDescent="0.2">
      <c r="B1471" s="19" t="str">
        <f>IF('DDF Original'!B1471="","",'DDF Original'!B1471)</f>
        <v/>
      </c>
      <c r="C1471" s="20" t="str">
        <f>IF('DDF Original'!C1471="","",'DDF Original'!C1471)</f>
        <v/>
      </c>
      <c r="D1471" s="20" t="str">
        <f>IF('DDF Original'!F1471="","",'DDF Original'!F1471)</f>
        <v/>
      </c>
      <c r="E1471" s="38" t="str">
        <f>'Recálculo Confissão (85-B)'!N1471</f>
        <v/>
      </c>
      <c r="F1471" s="20" t="str">
        <f t="shared" si="46"/>
        <v/>
      </c>
      <c r="G1471" s="20" t="str">
        <f t="shared" si="47"/>
        <v/>
      </c>
    </row>
    <row r="1472" spans="2:7" x14ac:dyDescent="0.2">
      <c r="B1472" s="19" t="str">
        <f>IF('DDF Original'!B1472="","",'DDF Original'!B1472)</f>
        <v/>
      </c>
      <c r="C1472" s="20" t="str">
        <f>IF('DDF Original'!C1472="","",'DDF Original'!C1472)</f>
        <v/>
      </c>
      <c r="D1472" s="20" t="str">
        <f>IF('DDF Original'!F1472="","",'DDF Original'!F1472)</f>
        <v/>
      </c>
      <c r="E1472" s="38" t="str">
        <f>'Recálculo Confissão (85-B)'!N1472</f>
        <v/>
      </c>
      <c r="F1472" s="20" t="str">
        <f t="shared" si="46"/>
        <v/>
      </c>
      <c r="G1472" s="20" t="str">
        <f t="shared" si="47"/>
        <v/>
      </c>
    </row>
    <row r="1473" spans="2:7" x14ac:dyDescent="0.2">
      <c r="B1473" s="19" t="str">
        <f>IF('DDF Original'!B1473="","",'DDF Original'!B1473)</f>
        <v/>
      </c>
      <c r="C1473" s="20" t="str">
        <f>IF('DDF Original'!C1473="","",'DDF Original'!C1473)</f>
        <v/>
      </c>
      <c r="D1473" s="20" t="str">
        <f>IF('DDF Original'!F1473="","",'DDF Original'!F1473)</f>
        <v/>
      </c>
      <c r="E1473" s="38" t="str">
        <f>'Recálculo Confissão (85-B)'!N1473</f>
        <v/>
      </c>
      <c r="F1473" s="20" t="str">
        <f t="shared" si="46"/>
        <v/>
      </c>
      <c r="G1473" s="20" t="str">
        <f t="shared" si="47"/>
        <v/>
      </c>
    </row>
    <row r="1474" spans="2:7" x14ac:dyDescent="0.2">
      <c r="B1474" s="19" t="str">
        <f>IF('DDF Original'!B1474="","",'DDF Original'!B1474)</f>
        <v/>
      </c>
      <c r="C1474" s="20" t="str">
        <f>IF('DDF Original'!C1474="","",'DDF Original'!C1474)</f>
        <v/>
      </c>
      <c r="D1474" s="20" t="str">
        <f>IF('DDF Original'!F1474="","",'DDF Original'!F1474)</f>
        <v/>
      </c>
      <c r="E1474" s="38" t="str">
        <f>'Recálculo Confissão (85-B)'!N1474</f>
        <v/>
      </c>
      <c r="F1474" s="20" t="str">
        <f t="shared" si="46"/>
        <v/>
      </c>
      <c r="G1474" s="20" t="str">
        <f t="shared" si="47"/>
        <v/>
      </c>
    </row>
    <row r="1475" spans="2:7" x14ac:dyDescent="0.2">
      <c r="B1475" s="19" t="str">
        <f>IF('DDF Original'!B1475="","",'DDF Original'!B1475)</f>
        <v/>
      </c>
      <c r="C1475" s="20" t="str">
        <f>IF('DDF Original'!C1475="","",'DDF Original'!C1475)</f>
        <v/>
      </c>
      <c r="D1475" s="20" t="str">
        <f>IF('DDF Original'!F1475="","",'DDF Original'!F1475)</f>
        <v/>
      </c>
      <c r="E1475" s="38" t="str">
        <f>'Recálculo Confissão (85-B)'!N1475</f>
        <v/>
      </c>
      <c r="F1475" s="20" t="str">
        <f t="shared" si="46"/>
        <v/>
      </c>
      <c r="G1475" s="20" t="str">
        <f t="shared" si="47"/>
        <v/>
      </c>
    </row>
    <row r="1476" spans="2:7" x14ac:dyDescent="0.2">
      <c r="B1476" s="19" t="str">
        <f>IF('DDF Original'!B1476="","",'DDF Original'!B1476)</f>
        <v/>
      </c>
      <c r="C1476" s="20" t="str">
        <f>IF('DDF Original'!C1476="","",'DDF Original'!C1476)</f>
        <v/>
      </c>
      <c r="D1476" s="20" t="str">
        <f>IF('DDF Original'!F1476="","",'DDF Original'!F1476)</f>
        <v/>
      </c>
      <c r="E1476" s="38" t="str">
        <f>'Recálculo Confissão (85-B)'!N1476</f>
        <v/>
      </c>
      <c r="F1476" s="20" t="str">
        <f t="shared" si="46"/>
        <v/>
      </c>
      <c r="G1476" s="20" t="str">
        <f t="shared" si="47"/>
        <v/>
      </c>
    </row>
    <row r="1477" spans="2:7" x14ac:dyDescent="0.2">
      <c r="B1477" s="19" t="str">
        <f>IF('DDF Original'!B1477="","",'DDF Original'!B1477)</f>
        <v/>
      </c>
      <c r="C1477" s="20" t="str">
        <f>IF('DDF Original'!C1477="","",'DDF Original'!C1477)</f>
        <v/>
      </c>
      <c r="D1477" s="20" t="str">
        <f>IF('DDF Original'!F1477="","",'DDF Original'!F1477)</f>
        <v/>
      </c>
      <c r="E1477" s="38" t="str">
        <f>'Recálculo Confissão (85-B)'!N1477</f>
        <v/>
      </c>
      <c r="F1477" s="20" t="str">
        <f t="shared" si="46"/>
        <v/>
      </c>
      <c r="G1477" s="20" t="str">
        <f t="shared" si="47"/>
        <v/>
      </c>
    </row>
    <row r="1478" spans="2:7" x14ac:dyDescent="0.2">
      <c r="B1478" s="19" t="str">
        <f>IF('DDF Original'!B1478="","",'DDF Original'!B1478)</f>
        <v/>
      </c>
      <c r="C1478" s="20" t="str">
        <f>IF('DDF Original'!C1478="","",'DDF Original'!C1478)</f>
        <v/>
      </c>
      <c r="D1478" s="20" t="str">
        <f>IF('DDF Original'!F1478="","",'DDF Original'!F1478)</f>
        <v/>
      </c>
      <c r="E1478" s="38" t="str">
        <f>'Recálculo Confissão (85-B)'!N1478</f>
        <v/>
      </c>
      <c r="F1478" s="20" t="str">
        <f t="shared" si="46"/>
        <v/>
      </c>
      <c r="G1478" s="20" t="str">
        <f t="shared" si="47"/>
        <v/>
      </c>
    </row>
    <row r="1479" spans="2:7" x14ac:dyDescent="0.2">
      <c r="B1479" s="19" t="str">
        <f>IF('DDF Original'!B1479="","",'DDF Original'!B1479)</f>
        <v/>
      </c>
      <c r="C1479" s="20" t="str">
        <f>IF('DDF Original'!C1479="","",'DDF Original'!C1479)</f>
        <v/>
      </c>
      <c r="D1479" s="20" t="str">
        <f>IF('DDF Original'!F1479="","",'DDF Original'!F1479)</f>
        <v/>
      </c>
      <c r="E1479" s="38" t="str">
        <f>'Recálculo Confissão (85-B)'!N1479</f>
        <v/>
      </c>
      <c r="F1479" s="20" t="str">
        <f t="shared" si="46"/>
        <v/>
      </c>
      <c r="G1479" s="20" t="str">
        <f t="shared" si="47"/>
        <v/>
      </c>
    </row>
    <row r="1480" spans="2:7" x14ac:dyDescent="0.2">
      <c r="B1480" s="19" t="str">
        <f>IF('DDF Original'!B1480="","",'DDF Original'!B1480)</f>
        <v/>
      </c>
      <c r="C1480" s="20" t="str">
        <f>IF('DDF Original'!C1480="","",'DDF Original'!C1480)</f>
        <v/>
      </c>
      <c r="D1480" s="20" t="str">
        <f>IF('DDF Original'!F1480="","",'DDF Original'!F1480)</f>
        <v/>
      </c>
      <c r="E1480" s="38" t="str">
        <f>'Recálculo Confissão (85-B)'!N1480</f>
        <v/>
      </c>
      <c r="F1480" s="20" t="str">
        <f t="shared" si="46"/>
        <v/>
      </c>
      <c r="G1480" s="20" t="str">
        <f t="shared" si="47"/>
        <v/>
      </c>
    </row>
    <row r="1481" spans="2:7" x14ac:dyDescent="0.2">
      <c r="B1481" s="19" t="str">
        <f>IF('DDF Original'!B1481="","",'DDF Original'!B1481)</f>
        <v/>
      </c>
      <c r="C1481" s="20" t="str">
        <f>IF('DDF Original'!C1481="","",'DDF Original'!C1481)</f>
        <v/>
      </c>
      <c r="D1481" s="20" t="str">
        <f>IF('DDF Original'!F1481="","",'DDF Original'!F1481)</f>
        <v/>
      </c>
      <c r="E1481" s="38" t="str">
        <f>'Recálculo Confissão (85-B)'!N1481</f>
        <v/>
      </c>
      <c r="F1481" s="20" t="str">
        <f t="shared" si="46"/>
        <v/>
      </c>
      <c r="G1481" s="20" t="str">
        <f t="shared" si="47"/>
        <v/>
      </c>
    </row>
    <row r="1482" spans="2:7" x14ac:dyDescent="0.2">
      <c r="B1482" s="19" t="str">
        <f>IF('DDF Original'!B1482="","",'DDF Original'!B1482)</f>
        <v/>
      </c>
      <c r="C1482" s="20" t="str">
        <f>IF('DDF Original'!C1482="","",'DDF Original'!C1482)</f>
        <v/>
      </c>
      <c r="D1482" s="20" t="str">
        <f>IF('DDF Original'!F1482="","",'DDF Original'!F1482)</f>
        <v/>
      </c>
      <c r="E1482" s="38" t="str">
        <f>'Recálculo Confissão (85-B)'!N1482</f>
        <v/>
      </c>
      <c r="F1482" s="20" t="str">
        <f t="shared" si="46"/>
        <v/>
      </c>
      <c r="G1482" s="20" t="str">
        <f t="shared" si="47"/>
        <v/>
      </c>
    </row>
    <row r="1483" spans="2:7" x14ac:dyDescent="0.2">
      <c r="B1483" s="19" t="str">
        <f>IF('DDF Original'!B1483="","",'DDF Original'!B1483)</f>
        <v/>
      </c>
      <c r="C1483" s="20" t="str">
        <f>IF('DDF Original'!C1483="","",'DDF Original'!C1483)</f>
        <v/>
      </c>
      <c r="D1483" s="20" t="str">
        <f>IF('DDF Original'!F1483="","",'DDF Original'!F1483)</f>
        <v/>
      </c>
      <c r="E1483" s="38" t="str">
        <f>'Recálculo Confissão (85-B)'!N1483</f>
        <v/>
      </c>
      <c r="F1483" s="20" t="str">
        <f t="shared" si="46"/>
        <v/>
      </c>
      <c r="G1483" s="20" t="str">
        <f t="shared" si="47"/>
        <v/>
      </c>
    </row>
    <row r="1484" spans="2:7" x14ac:dyDescent="0.2">
      <c r="B1484" s="19" t="str">
        <f>IF('DDF Original'!B1484="","",'DDF Original'!B1484)</f>
        <v/>
      </c>
      <c r="C1484" s="20" t="str">
        <f>IF('DDF Original'!C1484="","",'DDF Original'!C1484)</f>
        <v/>
      </c>
      <c r="D1484" s="20" t="str">
        <f>IF('DDF Original'!F1484="","",'DDF Original'!F1484)</f>
        <v/>
      </c>
      <c r="E1484" s="38" t="str">
        <f>'Recálculo Confissão (85-B)'!N1484</f>
        <v/>
      </c>
      <c r="F1484" s="20" t="str">
        <f t="shared" si="46"/>
        <v/>
      </c>
      <c r="G1484" s="20" t="str">
        <f t="shared" si="47"/>
        <v/>
      </c>
    </row>
    <row r="1485" spans="2:7" x14ac:dyDescent="0.2">
      <c r="B1485" s="19" t="str">
        <f>IF('DDF Original'!B1485="","",'DDF Original'!B1485)</f>
        <v/>
      </c>
      <c r="C1485" s="20" t="str">
        <f>IF('DDF Original'!C1485="","",'DDF Original'!C1485)</f>
        <v/>
      </c>
      <c r="D1485" s="20" t="str">
        <f>IF('DDF Original'!F1485="","",'DDF Original'!F1485)</f>
        <v/>
      </c>
      <c r="E1485" s="38" t="str">
        <f>'Recálculo Confissão (85-B)'!N1485</f>
        <v/>
      </c>
      <c r="F1485" s="20" t="str">
        <f t="shared" si="46"/>
        <v/>
      </c>
      <c r="G1485" s="20" t="str">
        <f t="shared" si="47"/>
        <v/>
      </c>
    </row>
    <row r="1486" spans="2:7" x14ac:dyDescent="0.2">
      <c r="B1486" s="19" t="str">
        <f>IF('DDF Original'!B1486="","",'DDF Original'!B1486)</f>
        <v/>
      </c>
      <c r="C1486" s="20" t="str">
        <f>IF('DDF Original'!C1486="","",'DDF Original'!C1486)</f>
        <v/>
      </c>
      <c r="D1486" s="20" t="str">
        <f>IF('DDF Original'!F1486="","",'DDF Original'!F1486)</f>
        <v/>
      </c>
      <c r="E1486" s="38" t="str">
        <f>'Recálculo Confissão (85-B)'!N1486</f>
        <v/>
      </c>
      <c r="F1486" s="20" t="str">
        <f t="shared" si="46"/>
        <v/>
      </c>
      <c r="G1486" s="20" t="str">
        <f t="shared" si="47"/>
        <v/>
      </c>
    </row>
    <row r="1487" spans="2:7" x14ac:dyDescent="0.2">
      <c r="B1487" s="19" t="str">
        <f>IF('DDF Original'!B1487="","",'DDF Original'!B1487)</f>
        <v/>
      </c>
      <c r="C1487" s="20" t="str">
        <f>IF('DDF Original'!C1487="","",'DDF Original'!C1487)</f>
        <v/>
      </c>
      <c r="D1487" s="20" t="str">
        <f>IF('DDF Original'!F1487="","",'DDF Original'!F1487)</f>
        <v/>
      </c>
      <c r="E1487" s="38" t="str">
        <f>'Recálculo Confissão (85-B)'!N1487</f>
        <v/>
      </c>
      <c r="F1487" s="20" t="str">
        <f t="shared" si="46"/>
        <v/>
      </c>
      <c r="G1487" s="20" t="str">
        <f t="shared" si="47"/>
        <v/>
      </c>
    </row>
    <row r="1488" spans="2:7" x14ac:dyDescent="0.2">
      <c r="B1488" s="19" t="str">
        <f>IF('DDF Original'!B1488="","",'DDF Original'!B1488)</f>
        <v/>
      </c>
      <c r="C1488" s="20" t="str">
        <f>IF('DDF Original'!C1488="","",'DDF Original'!C1488)</f>
        <v/>
      </c>
      <c r="D1488" s="20" t="str">
        <f>IF('DDF Original'!F1488="","",'DDF Original'!F1488)</f>
        <v/>
      </c>
      <c r="E1488" s="38" t="str">
        <f>'Recálculo Confissão (85-B)'!N1488</f>
        <v/>
      </c>
      <c r="F1488" s="20" t="str">
        <f t="shared" si="46"/>
        <v/>
      </c>
      <c r="G1488" s="20" t="str">
        <f t="shared" si="47"/>
        <v/>
      </c>
    </row>
    <row r="1489" spans="2:7" x14ac:dyDescent="0.2">
      <c r="B1489" s="19" t="str">
        <f>IF('DDF Original'!B1489="","",'DDF Original'!B1489)</f>
        <v/>
      </c>
      <c r="C1489" s="20" t="str">
        <f>IF('DDF Original'!C1489="","",'DDF Original'!C1489)</f>
        <v/>
      </c>
      <c r="D1489" s="20" t="str">
        <f>IF('DDF Original'!F1489="","",'DDF Original'!F1489)</f>
        <v/>
      </c>
      <c r="E1489" s="38" t="str">
        <f>'Recálculo Confissão (85-B)'!N1489</f>
        <v/>
      </c>
      <c r="F1489" s="20" t="str">
        <f t="shared" si="46"/>
        <v/>
      </c>
      <c r="G1489" s="20" t="str">
        <f t="shared" si="47"/>
        <v/>
      </c>
    </row>
    <row r="1490" spans="2:7" x14ac:dyDescent="0.2">
      <c r="B1490" s="19" t="str">
        <f>IF('DDF Original'!B1490="","",'DDF Original'!B1490)</f>
        <v/>
      </c>
      <c r="C1490" s="20" t="str">
        <f>IF('DDF Original'!C1490="","",'DDF Original'!C1490)</f>
        <v/>
      </c>
      <c r="D1490" s="20" t="str">
        <f>IF('DDF Original'!F1490="","",'DDF Original'!F1490)</f>
        <v/>
      </c>
      <c r="E1490" s="38" t="str">
        <f>'Recálculo Confissão (85-B)'!N1490</f>
        <v/>
      </c>
      <c r="F1490" s="20" t="str">
        <f t="shared" si="46"/>
        <v/>
      </c>
      <c r="G1490" s="20" t="str">
        <f t="shared" si="47"/>
        <v/>
      </c>
    </row>
    <row r="1491" spans="2:7" x14ac:dyDescent="0.2">
      <c r="B1491" s="19" t="str">
        <f>IF('DDF Original'!B1491="","",'DDF Original'!B1491)</f>
        <v/>
      </c>
      <c r="C1491" s="20" t="str">
        <f>IF('DDF Original'!C1491="","",'DDF Original'!C1491)</f>
        <v/>
      </c>
      <c r="D1491" s="20" t="str">
        <f>IF('DDF Original'!F1491="","",'DDF Original'!F1491)</f>
        <v/>
      </c>
      <c r="E1491" s="38" t="str">
        <f>'Recálculo Confissão (85-B)'!N1491</f>
        <v/>
      </c>
      <c r="F1491" s="20" t="str">
        <f t="shared" si="46"/>
        <v/>
      </c>
      <c r="G1491" s="20" t="str">
        <f t="shared" si="47"/>
        <v/>
      </c>
    </row>
    <row r="1492" spans="2:7" x14ac:dyDescent="0.2">
      <c r="B1492" s="19" t="str">
        <f>IF('DDF Original'!B1492="","",'DDF Original'!B1492)</f>
        <v/>
      </c>
      <c r="C1492" s="20" t="str">
        <f>IF('DDF Original'!C1492="","",'DDF Original'!C1492)</f>
        <v/>
      </c>
      <c r="D1492" s="20" t="str">
        <f>IF('DDF Original'!F1492="","",'DDF Original'!F1492)</f>
        <v/>
      </c>
      <c r="E1492" s="38" t="str">
        <f>'Recálculo Confissão (85-B)'!N1492</f>
        <v/>
      </c>
      <c r="F1492" s="20" t="str">
        <f t="shared" si="46"/>
        <v/>
      </c>
      <c r="G1492" s="20" t="str">
        <f t="shared" si="47"/>
        <v/>
      </c>
    </row>
    <row r="1493" spans="2:7" x14ac:dyDescent="0.2">
      <c r="B1493" s="19" t="str">
        <f>IF('DDF Original'!B1493="","",'DDF Original'!B1493)</f>
        <v/>
      </c>
      <c r="C1493" s="20" t="str">
        <f>IF('DDF Original'!C1493="","",'DDF Original'!C1493)</f>
        <v/>
      </c>
      <c r="D1493" s="20" t="str">
        <f>IF('DDF Original'!F1493="","",'DDF Original'!F1493)</f>
        <v/>
      </c>
      <c r="E1493" s="38" t="str">
        <f>'Recálculo Confissão (85-B)'!N1493</f>
        <v/>
      </c>
      <c r="F1493" s="20" t="str">
        <f t="shared" si="46"/>
        <v/>
      </c>
      <c r="G1493" s="20" t="str">
        <f t="shared" si="47"/>
        <v/>
      </c>
    </row>
    <row r="1494" spans="2:7" x14ac:dyDescent="0.2">
      <c r="B1494" s="19" t="str">
        <f>IF('DDF Original'!B1494="","",'DDF Original'!B1494)</f>
        <v/>
      </c>
      <c r="C1494" s="20" t="str">
        <f>IF('DDF Original'!C1494="","",'DDF Original'!C1494)</f>
        <v/>
      </c>
      <c r="D1494" s="20" t="str">
        <f>IF('DDF Original'!F1494="","",'DDF Original'!F1494)</f>
        <v/>
      </c>
      <c r="E1494" s="38" t="str">
        <f>'Recálculo Confissão (85-B)'!N1494</f>
        <v/>
      </c>
      <c r="F1494" s="20" t="str">
        <f t="shared" si="46"/>
        <v/>
      </c>
      <c r="G1494" s="20" t="str">
        <f t="shared" si="47"/>
        <v/>
      </c>
    </row>
    <row r="1495" spans="2:7" x14ac:dyDescent="0.2">
      <c r="B1495" s="19" t="str">
        <f>IF('DDF Original'!B1495="","",'DDF Original'!B1495)</f>
        <v/>
      </c>
      <c r="C1495" s="20" t="str">
        <f>IF('DDF Original'!C1495="","",'DDF Original'!C1495)</f>
        <v/>
      </c>
      <c r="D1495" s="20" t="str">
        <f>IF('DDF Original'!F1495="","",'DDF Original'!F1495)</f>
        <v/>
      </c>
      <c r="E1495" s="38" t="str">
        <f>'Recálculo Confissão (85-B)'!N1495</f>
        <v/>
      </c>
      <c r="F1495" s="20" t="str">
        <f t="shared" si="46"/>
        <v/>
      </c>
      <c r="G1495" s="20" t="str">
        <f t="shared" si="47"/>
        <v/>
      </c>
    </row>
    <row r="1496" spans="2:7" x14ac:dyDescent="0.2">
      <c r="B1496" s="19" t="str">
        <f>IF('DDF Original'!B1496="","",'DDF Original'!B1496)</f>
        <v/>
      </c>
      <c r="C1496" s="20" t="str">
        <f>IF('DDF Original'!C1496="","",'DDF Original'!C1496)</f>
        <v/>
      </c>
      <c r="D1496" s="20" t="str">
        <f>IF('DDF Original'!F1496="","",'DDF Original'!F1496)</f>
        <v/>
      </c>
      <c r="E1496" s="38" t="str">
        <f>'Recálculo Confissão (85-B)'!N1496</f>
        <v/>
      </c>
      <c r="F1496" s="20" t="str">
        <f t="shared" si="46"/>
        <v/>
      </c>
      <c r="G1496" s="20" t="str">
        <f t="shared" si="47"/>
        <v/>
      </c>
    </row>
    <row r="1497" spans="2:7" x14ac:dyDescent="0.2">
      <c r="B1497" s="19" t="str">
        <f>IF('DDF Original'!B1497="","",'DDF Original'!B1497)</f>
        <v/>
      </c>
      <c r="C1497" s="20" t="str">
        <f>IF('DDF Original'!C1497="","",'DDF Original'!C1497)</f>
        <v/>
      </c>
      <c r="D1497" s="20" t="str">
        <f>IF('DDF Original'!F1497="","",'DDF Original'!F1497)</f>
        <v/>
      </c>
      <c r="E1497" s="38" t="str">
        <f>'Recálculo Confissão (85-B)'!N1497</f>
        <v/>
      </c>
      <c r="F1497" s="20" t="str">
        <f t="shared" si="46"/>
        <v/>
      </c>
      <c r="G1497" s="20" t="str">
        <f t="shared" si="47"/>
        <v/>
      </c>
    </row>
    <row r="1498" spans="2:7" x14ac:dyDescent="0.2">
      <c r="B1498" s="19" t="str">
        <f>IF('DDF Original'!B1498="","",'DDF Original'!B1498)</f>
        <v/>
      </c>
      <c r="C1498" s="20" t="str">
        <f>IF('DDF Original'!C1498="","",'DDF Original'!C1498)</f>
        <v/>
      </c>
      <c r="D1498" s="20" t="str">
        <f>IF('DDF Original'!F1498="","",'DDF Original'!F1498)</f>
        <v/>
      </c>
      <c r="E1498" s="38" t="str">
        <f>'Recálculo Confissão (85-B)'!N1498</f>
        <v/>
      </c>
      <c r="F1498" s="20" t="str">
        <f t="shared" si="46"/>
        <v/>
      </c>
      <c r="G1498" s="20" t="str">
        <f t="shared" si="47"/>
        <v/>
      </c>
    </row>
    <row r="1499" spans="2:7" x14ac:dyDescent="0.2">
      <c r="B1499" s="19" t="str">
        <f>IF('DDF Original'!B1499="","",'DDF Original'!B1499)</f>
        <v/>
      </c>
      <c r="C1499" s="20" t="str">
        <f>IF('DDF Original'!C1499="","",'DDF Original'!C1499)</f>
        <v/>
      </c>
      <c r="D1499" s="20" t="str">
        <f>IF('DDF Original'!F1499="","",'DDF Original'!F1499)</f>
        <v/>
      </c>
      <c r="E1499" s="38" t="str">
        <f>'Recálculo Confissão (85-B)'!N1499</f>
        <v/>
      </c>
      <c r="F1499" s="20" t="str">
        <f t="shared" si="46"/>
        <v/>
      </c>
      <c r="G1499" s="20" t="str">
        <f t="shared" si="47"/>
        <v/>
      </c>
    </row>
    <row r="1500" spans="2:7" x14ac:dyDescent="0.2">
      <c r="B1500" s="19" t="str">
        <f>IF('DDF Original'!B1500="","",'DDF Original'!B1500)</f>
        <v/>
      </c>
      <c r="C1500" s="20" t="str">
        <f>IF('DDF Original'!C1500="","",'DDF Original'!C1500)</f>
        <v/>
      </c>
      <c r="D1500" s="20" t="str">
        <f>IF('DDF Original'!F1500="","",'DDF Original'!F1500)</f>
        <v/>
      </c>
      <c r="E1500" s="38" t="str">
        <f>'Recálculo Confissão (85-B)'!N1500</f>
        <v/>
      </c>
      <c r="F1500" s="20" t="str">
        <f t="shared" si="46"/>
        <v/>
      </c>
      <c r="G1500" s="20" t="str">
        <f t="shared" si="47"/>
        <v/>
      </c>
    </row>
    <row r="1501" spans="2:7" x14ac:dyDescent="0.2">
      <c r="B1501" s="19" t="str">
        <f>IF('DDF Original'!B1501="","",'DDF Original'!B1501)</f>
        <v/>
      </c>
      <c r="C1501" s="20" t="str">
        <f>IF('DDF Original'!C1501="","",'DDF Original'!C1501)</f>
        <v/>
      </c>
      <c r="D1501" s="20" t="str">
        <f>IF('DDF Original'!F1501="","",'DDF Original'!F1501)</f>
        <v/>
      </c>
      <c r="E1501" s="38" t="str">
        <f>'Recálculo Confissão (85-B)'!N1501</f>
        <v/>
      </c>
      <c r="F1501" s="20" t="str">
        <f t="shared" si="46"/>
        <v/>
      </c>
      <c r="G1501" s="20" t="str">
        <f t="shared" si="47"/>
        <v/>
      </c>
    </row>
    <row r="1502" spans="2:7" x14ac:dyDescent="0.2">
      <c r="B1502" s="19" t="str">
        <f>IF('DDF Original'!B1502="","",'DDF Original'!B1502)</f>
        <v/>
      </c>
      <c r="C1502" s="20" t="str">
        <f>IF('DDF Original'!C1502="","",'DDF Original'!C1502)</f>
        <v/>
      </c>
      <c r="D1502" s="20" t="str">
        <f>IF('DDF Original'!F1502="","",'DDF Original'!F1502)</f>
        <v/>
      </c>
      <c r="E1502" s="38" t="str">
        <f>'Recálculo Confissão (85-B)'!N1502</f>
        <v/>
      </c>
      <c r="F1502" s="20" t="str">
        <f t="shared" si="46"/>
        <v/>
      </c>
      <c r="G1502" s="20" t="str">
        <f t="shared" si="47"/>
        <v/>
      </c>
    </row>
    <row r="1503" spans="2:7" x14ac:dyDescent="0.2">
      <c r="B1503" s="19" t="str">
        <f>IF('DDF Original'!B1503="","",'DDF Original'!B1503)</f>
        <v/>
      </c>
      <c r="C1503" s="20" t="str">
        <f>IF('DDF Original'!C1503="","",'DDF Original'!C1503)</f>
        <v/>
      </c>
      <c r="D1503" s="20" t="str">
        <f>IF('DDF Original'!F1503="","",'DDF Original'!F1503)</f>
        <v/>
      </c>
      <c r="E1503" s="38" t="str">
        <f>'Recálculo Confissão (85-B)'!N1503</f>
        <v/>
      </c>
      <c r="F1503" s="20" t="str">
        <f t="shared" si="46"/>
        <v/>
      </c>
      <c r="G1503" s="20" t="str">
        <f t="shared" si="47"/>
        <v/>
      </c>
    </row>
    <row r="1504" spans="2:7" x14ac:dyDescent="0.2">
      <c r="B1504" s="19" t="str">
        <f>IF('DDF Original'!B1504="","",'DDF Original'!B1504)</f>
        <v/>
      </c>
      <c r="C1504" s="20" t="str">
        <f>IF('DDF Original'!C1504="","",'DDF Original'!C1504)</f>
        <v/>
      </c>
      <c r="D1504" s="20" t="str">
        <f>IF('DDF Original'!F1504="","",'DDF Original'!F1504)</f>
        <v/>
      </c>
      <c r="E1504" s="38" t="str">
        <f>'Recálculo Confissão (85-B)'!N1504</f>
        <v/>
      </c>
      <c r="F1504" s="20" t="str">
        <f t="shared" si="46"/>
        <v/>
      </c>
      <c r="G1504" s="20" t="str">
        <f t="shared" si="47"/>
        <v/>
      </c>
    </row>
    <row r="1505" spans="2:7" x14ac:dyDescent="0.2">
      <c r="B1505" s="19" t="str">
        <f>IF('DDF Original'!B1505="","",'DDF Original'!B1505)</f>
        <v/>
      </c>
      <c r="C1505" s="20" t="str">
        <f>IF('DDF Original'!C1505="","",'DDF Original'!C1505)</f>
        <v/>
      </c>
      <c r="D1505" s="20" t="str">
        <f>IF('DDF Original'!F1505="","",'DDF Original'!F1505)</f>
        <v/>
      </c>
      <c r="E1505" s="38" t="str">
        <f>'Recálculo Confissão (85-B)'!N1505</f>
        <v/>
      </c>
      <c r="F1505" s="20" t="str">
        <f t="shared" si="46"/>
        <v/>
      </c>
      <c r="G1505" s="20" t="str">
        <f t="shared" si="47"/>
        <v/>
      </c>
    </row>
    <row r="1506" spans="2:7" x14ac:dyDescent="0.2">
      <c r="B1506" s="19" t="str">
        <f>IF('DDF Original'!B1506="","",'DDF Original'!B1506)</f>
        <v/>
      </c>
      <c r="C1506" s="20" t="str">
        <f>IF('DDF Original'!C1506="","",'DDF Original'!C1506)</f>
        <v/>
      </c>
      <c r="D1506" s="20" t="str">
        <f>IF('DDF Original'!F1506="","",'DDF Original'!F1506)</f>
        <v/>
      </c>
      <c r="E1506" s="38" t="str">
        <f>'Recálculo Confissão (85-B)'!N1506</f>
        <v/>
      </c>
      <c r="F1506" s="20" t="str">
        <f t="shared" si="46"/>
        <v/>
      </c>
      <c r="G1506" s="20" t="str">
        <f t="shared" si="47"/>
        <v/>
      </c>
    </row>
    <row r="1507" spans="2:7" x14ac:dyDescent="0.2">
      <c r="B1507" s="19" t="str">
        <f>IF('DDF Original'!B1507="","",'DDF Original'!B1507)</f>
        <v/>
      </c>
      <c r="C1507" s="20" t="str">
        <f>IF('DDF Original'!C1507="","",'DDF Original'!C1507)</f>
        <v/>
      </c>
      <c r="D1507" s="20" t="str">
        <f>IF('DDF Original'!F1507="","",'DDF Original'!F1507)</f>
        <v/>
      </c>
      <c r="E1507" s="38" t="str">
        <f>'Recálculo Confissão (85-B)'!N1507</f>
        <v/>
      </c>
      <c r="F1507" s="20" t="str">
        <f t="shared" si="46"/>
        <v/>
      </c>
      <c r="G1507" s="20" t="str">
        <f t="shared" si="47"/>
        <v/>
      </c>
    </row>
    <row r="1508" spans="2:7" x14ac:dyDescent="0.2">
      <c r="B1508" s="19" t="str">
        <f>IF('DDF Original'!B1508="","",'DDF Original'!B1508)</f>
        <v/>
      </c>
      <c r="C1508" s="20" t="str">
        <f>IF('DDF Original'!C1508="","",'DDF Original'!C1508)</f>
        <v/>
      </c>
      <c r="D1508" s="20" t="str">
        <f>IF('DDF Original'!F1508="","",'DDF Original'!F1508)</f>
        <v/>
      </c>
      <c r="E1508" s="38" t="str">
        <f>'Recálculo Confissão (85-B)'!N1508</f>
        <v/>
      </c>
      <c r="F1508" s="20" t="str">
        <f t="shared" si="46"/>
        <v/>
      </c>
      <c r="G1508" s="20" t="str">
        <f t="shared" si="47"/>
        <v/>
      </c>
    </row>
  </sheetData>
  <sheetProtection sheet="1" objects="1" scenarios="1" formatColumns="0"/>
  <mergeCells count="3">
    <mergeCell ref="C2:D2"/>
    <mergeCell ref="E4:F4"/>
    <mergeCell ref="B6:G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>
    <pageSetUpPr fitToPage="1"/>
  </sheetPr>
  <dimension ref="A1:S41"/>
  <sheetViews>
    <sheetView showGridLines="0" tabSelected="1" workbookViewId="0">
      <selection activeCell="B38" sqref="B38"/>
    </sheetView>
  </sheetViews>
  <sheetFormatPr defaultRowHeight="15" x14ac:dyDescent="0.25"/>
  <cols>
    <col min="1" max="1" width="3.140625" customWidth="1"/>
    <col min="2" max="2" width="12" customWidth="1"/>
    <col min="3" max="3" width="18.5703125" customWidth="1"/>
    <col min="4" max="4" width="18.7109375" customWidth="1"/>
    <col min="5" max="5" width="2.42578125" customWidth="1"/>
    <col min="6" max="6" width="3.85546875" customWidth="1"/>
    <col min="7" max="7" width="18" customWidth="1"/>
    <col min="8" max="8" width="9.7109375" customWidth="1"/>
    <col min="9" max="9" width="9.42578125" customWidth="1"/>
    <col min="10" max="10" width="12.7109375" customWidth="1"/>
    <col min="11" max="11" width="1.5703125" customWidth="1"/>
    <col min="12" max="12" width="11" customWidth="1"/>
    <col min="19" max="19" width="9.5703125" bestFit="1" customWidth="1"/>
  </cols>
  <sheetData>
    <row r="1" spans="1:12" ht="9" customHeight="1" thickBo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ht="14.25" customHeight="1" x14ac:dyDescent="0.25">
      <c r="A2" s="13"/>
      <c r="B2" s="48"/>
      <c r="C2" s="100" t="s">
        <v>63</v>
      </c>
      <c r="D2" s="100"/>
      <c r="E2" s="100"/>
      <c r="F2" s="50"/>
      <c r="G2" s="48"/>
      <c r="H2" s="49"/>
      <c r="I2" s="49"/>
      <c r="J2" s="49"/>
      <c r="K2" s="50"/>
      <c r="L2" s="13"/>
    </row>
    <row r="3" spans="1:12" ht="15.75" x14ac:dyDescent="0.25">
      <c r="A3" s="13"/>
      <c r="B3" s="51"/>
      <c r="C3" s="109" t="s">
        <v>72</v>
      </c>
      <c r="D3" s="109"/>
      <c r="E3" s="109"/>
      <c r="F3" s="60"/>
      <c r="G3" s="61"/>
      <c r="H3" s="101" t="s">
        <v>64</v>
      </c>
      <c r="I3" s="101"/>
      <c r="J3" s="59"/>
      <c r="K3" s="60"/>
      <c r="L3" s="59"/>
    </row>
    <row r="4" spans="1:12" ht="2.25" customHeight="1" x14ac:dyDescent="0.25">
      <c r="A4" s="13"/>
      <c r="B4" s="57"/>
      <c r="C4" s="39"/>
      <c r="D4" s="39"/>
      <c r="E4" s="39"/>
      <c r="F4" s="52"/>
      <c r="G4" s="51"/>
      <c r="H4" s="47"/>
      <c r="I4" s="47"/>
      <c r="J4" s="47"/>
      <c r="K4" s="52"/>
      <c r="L4" s="13"/>
    </row>
    <row r="5" spans="1:12" x14ac:dyDescent="0.25">
      <c r="A5" s="13"/>
      <c r="B5" s="58"/>
      <c r="C5" s="102" t="s">
        <v>73</v>
      </c>
      <c r="D5" s="102"/>
      <c r="E5" s="102"/>
      <c r="F5" s="52"/>
      <c r="G5" s="112" t="s">
        <v>62</v>
      </c>
      <c r="H5" s="113" t="str">
        <f>IF('DDF Original'!C4="","",'DDF Original'!C4)</f>
        <v/>
      </c>
      <c r="I5" s="113" t="s">
        <v>61</v>
      </c>
      <c r="J5" s="114">
        <f ca="1">IF('DDF Original'!J4="","",'DDF Original'!J4)</f>
        <v>44621</v>
      </c>
      <c r="K5" s="52"/>
      <c r="L5" s="13"/>
    </row>
    <row r="6" spans="1:12" x14ac:dyDescent="0.25">
      <c r="A6" s="13"/>
      <c r="B6" s="57"/>
      <c r="C6" s="111"/>
      <c r="D6" s="111"/>
      <c r="E6" s="111"/>
      <c r="F6" s="53"/>
      <c r="G6" s="112"/>
      <c r="H6" s="113"/>
      <c r="I6" s="113"/>
      <c r="J6" s="114"/>
      <c r="K6" s="53"/>
      <c r="L6" s="42"/>
    </row>
    <row r="7" spans="1:12" ht="4.5" customHeight="1" thickBot="1" x14ac:dyDescent="0.3">
      <c r="A7" s="13"/>
      <c r="B7" s="54"/>
      <c r="C7" s="55"/>
      <c r="D7" s="55"/>
      <c r="E7" s="55"/>
      <c r="F7" s="56"/>
      <c r="G7" s="54"/>
      <c r="H7" s="55"/>
      <c r="I7" s="55"/>
      <c r="J7" s="55"/>
      <c r="K7" s="56"/>
      <c r="L7" s="13"/>
    </row>
    <row r="8" spans="1:12" ht="42.75" customHeight="1" thickBot="1" x14ac:dyDescent="0.3">
      <c r="A8" s="15"/>
      <c r="B8" s="107" t="s">
        <v>47</v>
      </c>
      <c r="C8" s="110"/>
      <c r="D8" s="110"/>
      <c r="E8" s="110"/>
      <c r="F8" s="110"/>
      <c r="G8" s="110"/>
      <c r="H8" s="110"/>
      <c r="I8" s="110"/>
      <c r="J8" s="110"/>
      <c r="K8" s="108"/>
      <c r="L8" s="46"/>
    </row>
    <row r="9" spans="1:12" s="41" customFormat="1" ht="29.25" customHeight="1" thickBot="1" x14ac:dyDescent="0.3">
      <c r="A9" s="40"/>
      <c r="B9" s="107" t="s">
        <v>54</v>
      </c>
      <c r="C9" s="110"/>
      <c r="D9" s="110"/>
      <c r="E9" s="108"/>
      <c r="F9" s="107" t="s">
        <v>55</v>
      </c>
      <c r="G9" s="108"/>
      <c r="H9" s="107" t="s">
        <v>56</v>
      </c>
      <c r="I9" s="110"/>
      <c r="J9" s="110"/>
      <c r="K9" s="108"/>
      <c r="L9" s="46"/>
    </row>
    <row r="10" spans="1:12" x14ac:dyDescent="0.25">
      <c r="B10" s="115" t="s">
        <v>57</v>
      </c>
      <c r="C10" s="116"/>
      <c r="D10" s="116"/>
      <c r="E10" s="117"/>
      <c r="F10" s="103">
        <f>SUM('Cálculo do Desconto'!$C$9:$C$1508)</f>
        <v>0</v>
      </c>
      <c r="G10" s="104"/>
      <c r="H10" s="103">
        <f>SUM('Cálculo do Desconto'!$C$9:$C$1508)</f>
        <v>0</v>
      </c>
      <c r="I10" s="121"/>
      <c r="J10" s="121"/>
      <c r="K10" s="104"/>
      <c r="L10" s="45"/>
    </row>
    <row r="11" spans="1:12" x14ac:dyDescent="0.25">
      <c r="B11" s="118" t="s">
        <v>58</v>
      </c>
      <c r="C11" s="119"/>
      <c r="D11" s="119"/>
      <c r="E11" s="120"/>
      <c r="F11" s="105">
        <f>SUM('Cálculo do Desconto'!$D$9:$D$1508)</f>
        <v>0</v>
      </c>
      <c r="G11" s="106"/>
      <c r="H11" s="105">
        <f>SUM('Cálculo do Desconto'!$D$9:$D$1508)</f>
        <v>0</v>
      </c>
      <c r="I11" s="122"/>
      <c r="J11" s="122"/>
      <c r="K11" s="106"/>
      <c r="L11" s="45"/>
    </row>
    <row r="12" spans="1:12" ht="15.75" thickBot="1" x14ac:dyDescent="0.3">
      <c r="B12" s="131" t="s">
        <v>59</v>
      </c>
      <c r="C12" s="132"/>
      <c r="D12" s="132"/>
      <c r="E12" s="133"/>
      <c r="F12" s="123">
        <f>SUM('Cálculo do Desconto'!$F$9:$F$1508)</f>
        <v>0</v>
      </c>
      <c r="G12" s="125"/>
      <c r="H12" s="123">
        <f>SUM('Cálculo do Desconto'!$G$9:$G$1508)</f>
        <v>0</v>
      </c>
      <c r="I12" s="124"/>
      <c r="J12" s="124"/>
      <c r="K12" s="125"/>
      <c r="L12" s="43"/>
    </row>
    <row r="13" spans="1:12" ht="15.75" thickBot="1" x14ac:dyDescent="0.3">
      <c r="B13" s="134" t="s">
        <v>60</v>
      </c>
      <c r="C13" s="135"/>
      <c r="D13" s="135"/>
      <c r="E13" s="136"/>
      <c r="F13" s="126">
        <f>SUM(F10:F12)</f>
        <v>0</v>
      </c>
      <c r="G13" s="128"/>
      <c r="H13" s="126">
        <f>SUM(H10:H12)</f>
        <v>0</v>
      </c>
      <c r="I13" s="127"/>
      <c r="J13" s="127"/>
      <c r="K13" s="128"/>
      <c r="L13" s="44"/>
    </row>
    <row r="16" spans="1:12" ht="15.75" customHeight="1" x14ac:dyDescent="0.25">
      <c r="B16" s="137" t="s">
        <v>68</v>
      </c>
      <c r="C16" s="137"/>
      <c r="D16" s="137"/>
      <c r="E16" s="137"/>
      <c r="F16" s="137"/>
      <c r="G16" s="137"/>
      <c r="H16" s="137"/>
      <c r="I16" s="137"/>
      <c r="J16" s="137"/>
      <c r="K16" s="74"/>
    </row>
    <row r="17" spans="2:19" ht="15" customHeight="1" x14ac:dyDescent="0.25">
      <c r="B17" s="137"/>
      <c r="C17" s="137"/>
      <c r="D17" s="137"/>
      <c r="E17" s="137"/>
      <c r="F17" s="137"/>
      <c r="G17" s="137"/>
      <c r="H17" s="137"/>
      <c r="I17" s="137"/>
      <c r="J17" s="137"/>
      <c r="K17" s="78"/>
    </row>
    <row r="18" spans="2:19" ht="15" customHeight="1" x14ac:dyDescent="0.25">
      <c r="B18" s="137"/>
      <c r="C18" s="137"/>
      <c r="D18" s="137"/>
      <c r="E18" s="137"/>
      <c r="F18" s="137"/>
      <c r="G18" s="137"/>
      <c r="H18" s="137"/>
      <c r="I18" s="137"/>
      <c r="J18" s="137"/>
      <c r="K18" s="78"/>
      <c r="S18" s="73" t="str">
        <f>FIXED('DDF Original'!$Q$4,2,1)</f>
        <v>29,09</v>
      </c>
    </row>
    <row r="19" spans="2:19" ht="15" customHeight="1" x14ac:dyDescent="0.25">
      <c r="B19" s="137"/>
      <c r="C19" s="137"/>
      <c r="D19" s="137"/>
      <c r="E19" s="137"/>
      <c r="F19" s="137"/>
      <c r="G19" s="137"/>
      <c r="H19" s="137"/>
      <c r="I19" s="137"/>
      <c r="J19" s="137"/>
      <c r="K19" s="79"/>
      <c r="S19" s="72" t="s">
        <v>65</v>
      </c>
    </row>
    <row r="20" spans="2:19" ht="6.75" customHeight="1" x14ac:dyDescent="0.25">
      <c r="B20" s="79"/>
      <c r="C20" s="79"/>
      <c r="D20" s="79"/>
      <c r="E20" s="79"/>
      <c r="F20" s="79"/>
      <c r="G20" s="79"/>
      <c r="H20" s="79"/>
      <c r="I20" s="79"/>
      <c r="J20" s="79"/>
      <c r="K20" s="79"/>
    </row>
    <row r="21" spans="2:19" ht="15.75" customHeight="1" x14ac:dyDescent="0.25">
      <c r="B21" s="137" t="s">
        <v>67</v>
      </c>
      <c r="C21" s="137"/>
      <c r="D21" s="137"/>
      <c r="E21" s="137"/>
      <c r="F21" s="137"/>
      <c r="G21" s="137"/>
      <c r="H21" s="137"/>
      <c r="I21" s="137"/>
      <c r="J21" s="137"/>
      <c r="K21" s="137"/>
      <c r="S21" s="70"/>
    </row>
    <row r="22" spans="2:19" ht="15" customHeight="1" x14ac:dyDescent="0.25"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S22" s="71"/>
    </row>
    <row r="23" spans="2:19" ht="15" customHeight="1" x14ac:dyDescent="0.25">
      <c r="B23" s="137"/>
      <c r="C23" s="137"/>
      <c r="D23" s="137"/>
      <c r="E23" s="137"/>
      <c r="F23" s="137"/>
      <c r="G23" s="137"/>
      <c r="H23" s="137"/>
      <c r="I23" s="137"/>
      <c r="J23" s="137"/>
      <c r="K23" s="137"/>
    </row>
    <row r="24" spans="2:19" ht="15" customHeight="1" x14ac:dyDescent="0.25"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2:19" ht="8.25" customHeight="1" x14ac:dyDescent="0.25">
      <c r="B25" s="79"/>
      <c r="C25" s="79"/>
      <c r="D25" s="79"/>
      <c r="E25" s="79"/>
      <c r="F25" s="79"/>
      <c r="G25" s="79"/>
      <c r="H25" s="79"/>
      <c r="I25" s="79"/>
      <c r="J25" s="79"/>
      <c r="K25" s="79"/>
    </row>
    <row r="26" spans="2:19" ht="15.75" customHeight="1" x14ac:dyDescent="0.25">
      <c r="B26" s="130" t="s">
        <v>69</v>
      </c>
      <c r="C26" s="130"/>
      <c r="D26" s="130"/>
      <c r="E26" s="130"/>
      <c r="F26" s="130"/>
      <c r="G26" s="130"/>
      <c r="H26" s="130"/>
      <c r="I26" s="130"/>
      <c r="J26" s="130"/>
      <c r="K26" s="74"/>
      <c r="L26" s="63"/>
    </row>
    <row r="27" spans="2:19" ht="15" customHeight="1" x14ac:dyDescent="0.25">
      <c r="B27" s="130"/>
      <c r="C27" s="130"/>
      <c r="D27" s="130"/>
      <c r="E27" s="130"/>
      <c r="F27" s="130"/>
      <c r="G27" s="130"/>
      <c r="H27" s="130"/>
      <c r="I27" s="130"/>
      <c r="J27" s="130"/>
      <c r="K27" s="74"/>
      <c r="L27" s="63"/>
    </row>
    <row r="28" spans="2:19" ht="15" customHeight="1" x14ac:dyDescent="0.25">
      <c r="B28" s="130"/>
      <c r="C28" s="130"/>
      <c r="D28" s="130"/>
      <c r="E28" s="130"/>
      <c r="F28" s="130"/>
      <c r="G28" s="130"/>
      <c r="H28" s="130"/>
      <c r="I28" s="130"/>
      <c r="J28" s="130"/>
      <c r="K28" s="74"/>
      <c r="L28" s="63"/>
      <c r="S28" s="69"/>
    </row>
    <row r="29" spans="2:19" ht="15" customHeight="1" x14ac:dyDescent="0.25">
      <c r="B29" s="80" t="s">
        <v>70</v>
      </c>
      <c r="C29" s="76"/>
      <c r="D29" s="76"/>
      <c r="E29" s="76"/>
      <c r="F29" s="76"/>
      <c r="G29" s="76"/>
      <c r="H29" s="76"/>
      <c r="I29" s="76"/>
      <c r="J29" s="76"/>
      <c r="K29" s="76"/>
      <c r="L29" s="63"/>
    </row>
    <row r="30" spans="2:19" ht="15.75" customHeight="1" x14ac:dyDescent="0.25">
      <c r="B30" s="129" t="s">
        <v>74</v>
      </c>
      <c r="C30" s="129"/>
      <c r="D30" s="129"/>
      <c r="E30" s="129"/>
      <c r="F30" s="129"/>
      <c r="G30" s="129"/>
      <c r="H30" s="129"/>
      <c r="I30" s="129"/>
      <c r="J30" s="129"/>
      <c r="K30" s="77"/>
    </row>
    <row r="31" spans="2:19" ht="15.75" x14ac:dyDescent="0.25">
      <c r="B31" s="129"/>
      <c r="C31" s="129"/>
      <c r="D31" s="129"/>
      <c r="E31" s="129"/>
      <c r="F31" s="129"/>
      <c r="G31" s="129"/>
      <c r="H31" s="129"/>
      <c r="I31" s="129"/>
      <c r="J31" s="129"/>
      <c r="K31" s="75"/>
    </row>
    <row r="32" spans="2:19" ht="15.75" customHeight="1" x14ac:dyDescent="0.25">
      <c r="B32" s="129"/>
      <c r="C32" s="129"/>
      <c r="D32" s="129"/>
      <c r="E32" s="129"/>
      <c r="F32" s="129"/>
      <c r="G32" s="129"/>
      <c r="H32" s="129"/>
      <c r="I32" s="129"/>
      <c r="J32" s="129"/>
      <c r="K32" s="62"/>
    </row>
    <row r="33" spans="2:10" ht="15" customHeight="1" x14ac:dyDescent="0.25">
      <c r="B33" s="129"/>
      <c r="C33" s="129"/>
      <c r="D33" s="129"/>
      <c r="E33" s="129"/>
      <c r="F33" s="129"/>
      <c r="G33" s="129"/>
      <c r="H33" s="129"/>
      <c r="I33" s="129"/>
      <c r="J33" s="129"/>
    </row>
    <row r="34" spans="2:10" ht="15" customHeight="1" x14ac:dyDescent="0.25">
      <c r="B34" s="129"/>
      <c r="C34" s="129"/>
      <c r="D34" s="129"/>
      <c r="E34" s="129"/>
      <c r="F34" s="129"/>
      <c r="G34" s="129"/>
      <c r="H34" s="129"/>
      <c r="I34" s="129"/>
      <c r="J34" s="129"/>
    </row>
    <row r="35" spans="2:10" x14ac:dyDescent="0.25">
      <c r="B35" s="129"/>
      <c r="C35" s="129"/>
      <c r="D35" s="129"/>
      <c r="E35" s="129"/>
      <c r="F35" s="129"/>
      <c r="G35" s="129"/>
      <c r="H35" s="129"/>
      <c r="I35" s="129"/>
      <c r="J35" s="129"/>
    </row>
    <row r="36" spans="2:10" x14ac:dyDescent="0.25">
      <c r="B36" s="129"/>
      <c r="C36" s="129"/>
      <c r="D36" s="129"/>
      <c r="E36" s="129"/>
      <c r="F36" s="129"/>
      <c r="G36" s="129"/>
      <c r="H36" s="129"/>
      <c r="I36" s="129"/>
      <c r="J36" s="129"/>
    </row>
    <row r="37" spans="2:10" x14ac:dyDescent="0.25">
      <c r="B37" s="129"/>
      <c r="C37" s="129"/>
      <c r="D37" s="129"/>
      <c r="E37" s="129"/>
      <c r="F37" s="129"/>
      <c r="G37" s="129"/>
      <c r="H37" s="129"/>
      <c r="I37" s="129"/>
      <c r="J37" s="129"/>
    </row>
    <row r="38" spans="2:10" x14ac:dyDescent="0.25">
      <c r="B38" s="62"/>
      <c r="C38" s="62"/>
      <c r="D38" s="62"/>
      <c r="E38" s="62"/>
      <c r="F38" s="62"/>
      <c r="G38" s="62"/>
      <c r="H38" s="62"/>
      <c r="I38" s="62"/>
      <c r="J38" s="62"/>
    </row>
    <row r="39" spans="2:10" x14ac:dyDescent="0.25">
      <c r="B39" s="62"/>
      <c r="C39" s="62"/>
      <c r="D39" s="62"/>
      <c r="E39" s="62"/>
      <c r="F39" s="62"/>
      <c r="G39" s="62"/>
      <c r="H39" s="62"/>
      <c r="I39" s="62"/>
      <c r="J39" s="62"/>
    </row>
    <row r="40" spans="2:10" x14ac:dyDescent="0.25">
      <c r="B40" s="62"/>
      <c r="C40" s="62"/>
      <c r="D40" s="62"/>
      <c r="E40" s="62"/>
      <c r="F40" s="62"/>
      <c r="G40" s="62"/>
      <c r="H40" s="62"/>
      <c r="I40" s="62"/>
      <c r="J40" s="62"/>
    </row>
    <row r="41" spans="2:10" x14ac:dyDescent="0.25">
      <c r="B41" s="62"/>
      <c r="C41" s="62"/>
      <c r="D41" s="62"/>
      <c r="E41" s="62"/>
      <c r="F41" s="62"/>
      <c r="G41" s="62"/>
      <c r="H41" s="62"/>
      <c r="I41" s="62"/>
      <c r="J41" s="62"/>
    </row>
  </sheetData>
  <mergeCells count="29">
    <mergeCell ref="B30:J37"/>
    <mergeCell ref="B26:J28"/>
    <mergeCell ref="B12:E12"/>
    <mergeCell ref="B13:E13"/>
    <mergeCell ref="F12:G12"/>
    <mergeCell ref="F13:G13"/>
    <mergeCell ref="B16:J19"/>
    <mergeCell ref="B21:K24"/>
    <mergeCell ref="H9:K9"/>
    <mergeCell ref="H10:K10"/>
    <mergeCell ref="H11:K11"/>
    <mergeCell ref="H12:K12"/>
    <mergeCell ref="H13:K13"/>
    <mergeCell ref="C2:E2"/>
    <mergeCell ref="H3:I3"/>
    <mergeCell ref="C5:E5"/>
    <mergeCell ref="F10:G10"/>
    <mergeCell ref="F11:G11"/>
    <mergeCell ref="F9:G9"/>
    <mergeCell ref="C3:E3"/>
    <mergeCell ref="B8:K8"/>
    <mergeCell ref="C6:E6"/>
    <mergeCell ref="G5:G6"/>
    <mergeCell ref="H5:H6"/>
    <mergeCell ref="I5:I6"/>
    <mergeCell ref="J5:J6"/>
    <mergeCell ref="B9:E9"/>
    <mergeCell ref="B10:E10"/>
    <mergeCell ref="B11:E11"/>
  </mergeCells>
  <pageMargins left="0.511811024" right="0.511811024" top="0.78740157499999996" bottom="0.78740157499999996" header="0.31496062000000002" footer="0.31496062000000002"/>
  <pageSetup paperSize="9" scale="84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541D2B110056F438DE90E06F2A06077" ma:contentTypeVersion="0" ma:contentTypeDescription="Crie um novo documento." ma:contentTypeScope="" ma:versionID="eba464b6ffecac241903f98a25c5d5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cb358bd3c4937f8c29cf3e1e721863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A5E1FC-1279-42D4-B169-4EBCCFD26094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3A934C8-70A5-4F9D-807A-71DE378AA1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D54C15-68DF-4AFF-8AAE-8F820C739B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Ajuda</vt:lpstr>
      <vt:lpstr>DDF Original</vt:lpstr>
      <vt:lpstr>Recálculo Confissão (85-B)</vt:lpstr>
      <vt:lpstr>Cálculo do Desconto</vt:lpstr>
      <vt:lpstr>Demonstr Pagto Após Confissão</vt:lpstr>
      <vt:lpstr>Ajuda!Area_de_impressao</vt:lpstr>
      <vt:lpstr>'Demonstr Pagto Após Confissão'!Area_de_impressao</vt:lpstr>
      <vt:lpstr>Ajuda!Titulos_de_impressao</vt:lpstr>
    </vt:vector>
  </TitlesOfParts>
  <Company>Secretaria da Fazenda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QUADRO 3 - Demonstrativo para Pagamento Após a Confissão</dc:title>
  <dc:creator>Eduardo Fileno Batista</dc:creator>
  <dc:description>Última versão: 16/04/2018</dc:description>
  <cp:lastModifiedBy>Alexandre Palmeira Mendonça</cp:lastModifiedBy>
  <cp:lastPrinted>2018-01-18T15:15:48Z</cp:lastPrinted>
  <dcterms:created xsi:type="dcterms:W3CDTF">2017-08-04T12:53:42Z</dcterms:created>
  <dcterms:modified xsi:type="dcterms:W3CDTF">2022-03-01T13:52:21Z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0x010100E541D2B110056F438DE90E06F2A06077</vt:lpwstr>
  </property>
</Properties>
</file>